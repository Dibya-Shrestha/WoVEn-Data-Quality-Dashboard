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filterPrivacy="1" hidePivotFieldList="1" defaultThemeVersion="202300"/>
  <xr:revisionPtr revIDLastSave="505" documentId="8_{EC26787A-851C-4F61-A01C-0F835BA41617}" xr6:coauthVersionLast="47" xr6:coauthVersionMax="47" xr10:uidLastSave="{C879F0A4-8B50-4850-8A1C-025254D3A099}"/>
  <bookViews>
    <workbookView showHorizontalScroll="0" showVerticalScroll="0" xWindow="-108" yWindow="-108" windowWidth="23256" windowHeight="12456" activeTab="2" xr2:uid="{7AA3C19D-720E-4258-A768-6AFE4AC24DB7}"/>
  </bookViews>
  <sheets>
    <sheet name="Introduction" sheetId="1" r:id="rId1"/>
    <sheet name="Original Data" sheetId="12" r:id="rId2"/>
    <sheet name="Dashboard" sheetId="35" r:id="rId3"/>
    <sheet name="High Performing Org Based on VP" sheetId="29" r:id="rId4"/>
    <sheet name="Monthly Quartile Composition" sheetId="25" r:id="rId5"/>
    <sheet name="Monthly Performance Movement Tr" sheetId="26" r:id="rId6"/>
    <sheet name="Average VPD Count By Quartile" sheetId="30" r:id="rId7"/>
    <sheet name="Total Org Analysed" sheetId="32" r:id="rId8"/>
    <sheet name="Benchmark group distribut" sheetId="27" r:id="rId9"/>
    <sheet name="Records submitted" sheetId="34" r:id="rId10"/>
  </sheets>
  <definedNames>
    <definedName name="_xleta.CODE" hidden="1" xlm="1">#NAME?</definedName>
    <definedName name="_xleta.LEFT" hidden="1" xlm="1">#NAME?</definedName>
    <definedName name="Slicer_Months__YearMonth">#N/A</definedName>
  </definedNames>
  <calcPr calcId="191029"/>
  <pivotCaches>
    <pivotCache cacheId="60" r:id="rId11"/>
  </pivotCaches>
  <fileRecoveryPr autoRecover="0"/>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2" l="1"/>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E2001" i="12"/>
  <c r="E2002" i="12"/>
  <c r="E2003" i="12"/>
  <c r="E2004" i="12"/>
  <c r="E2005" i="12"/>
  <c r="E2006" i="12"/>
  <c r="B2" i="12"/>
  <c r="B3"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B2001" i="12"/>
  <c r="B2002" i="12"/>
  <c r="B2003" i="12"/>
  <c r="B2004" i="12"/>
  <c r="B2005" i="12"/>
  <c r="B2006" i="12"/>
  <c r="K1820" i="12"/>
  <c r="K1819" i="12"/>
  <c r="K1534" i="12"/>
  <c r="K1533" i="12"/>
  <c r="K1245" i="12"/>
  <c r="K957" i="12"/>
  <c r="K672" i="12"/>
  <c r="K384" i="12"/>
  <c r="K97" i="12"/>
  <c r="K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K2001" i="12"/>
  <c r="K2002" i="12"/>
  <c r="K2003" i="12"/>
  <c r="K2004" i="12"/>
  <c r="K2005" i="12"/>
  <c r="K2006" i="12"/>
  <c r="D25" i="34"/>
  <c r="B6" i="32"/>
  <c r="G2005" i="12" l="1" a="1"/>
  <c r="G2005" i="12" s="1"/>
  <c r="H2005" i="12" s="1"/>
  <c r="G1993" i="12" a="1"/>
  <c r="G1993" i="12" s="1"/>
  <c r="H1993" i="12" s="1"/>
  <c r="G1981" i="12" a="1"/>
  <c r="G1981" i="12" s="1"/>
  <c r="H1981" i="12" s="1"/>
  <c r="G1885" i="12" a="1"/>
  <c r="G1885" i="12" s="1"/>
  <c r="H1885" i="12" s="1"/>
  <c r="G1825" i="12" a="1"/>
  <c r="G1825" i="12" s="1"/>
  <c r="H1825" i="12" s="1"/>
  <c r="G1729" i="12" a="1"/>
  <c r="G1729" i="12" s="1"/>
  <c r="H1729" i="12" s="1"/>
  <c r="G1633" i="12" a="1"/>
  <c r="G1633" i="12" s="1"/>
  <c r="H1633" i="12" s="1"/>
  <c r="I1633" i="12" s="1"/>
  <c r="G1537" i="12" a="1"/>
  <c r="G1537" i="12" s="1"/>
  <c r="H1537" i="12" s="1"/>
  <c r="I1537" i="12" s="1"/>
  <c r="G1441" i="12" a="1"/>
  <c r="G1441" i="12" s="1"/>
  <c r="H1441" i="12" s="1"/>
  <c r="I1441" i="12" s="1"/>
  <c r="G1345" i="12" a="1"/>
  <c r="G1345" i="12" s="1"/>
  <c r="H1345" i="12" s="1"/>
  <c r="I1345" i="12" s="1"/>
  <c r="G1249" i="12" a="1"/>
  <c r="G1249" i="12" s="1"/>
  <c r="H1249" i="12" s="1"/>
  <c r="I1249" i="12" s="1"/>
  <c r="G1153" i="12" a="1"/>
  <c r="G1153" i="12" s="1"/>
  <c r="H1153" i="12" s="1"/>
  <c r="I1153" i="12" s="1"/>
  <c r="G1057" i="12" a="1"/>
  <c r="G1057" i="12" s="1"/>
  <c r="H1057" i="12" s="1"/>
  <c r="I1057" i="12" s="1"/>
  <c r="G1906" i="12" a="1"/>
  <c r="G1906" i="12" s="1"/>
  <c r="H1906" i="12" s="1"/>
  <c r="G1426" i="12" a="1"/>
  <c r="G1426" i="12" s="1"/>
  <c r="H1426" i="12" s="1"/>
  <c r="I1426" i="12" s="1"/>
  <c r="G1909" i="12" a="1"/>
  <c r="G1909" i="12" s="1"/>
  <c r="H1909" i="12" s="1"/>
  <c r="G1837" i="12" a="1"/>
  <c r="G1837" i="12" s="1"/>
  <c r="H1837" i="12" s="1"/>
  <c r="G1765" i="12" a="1"/>
  <c r="G1765" i="12" s="1"/>
  <c r="H1765" i="12" s="1"/>
  <c r="G1669" i="12" a="1"/>
  <c r="G1669" i="12" s="1"/>
  <c r="H1669" i="12" s="1"/>
  <c r="I1669" i="12" s="1"/>
  <c r="G1573" i="12" a="1"/>
  <c r="G1573" i="12" s="1"/>
  <c r="H1573" i="12" s="1"/>
  <c r="I1573" i="12" s="1"/>
  <c r="G1477" i="12" a="1"/>
  <c r="G1477" i="12" s="1"/>
  <c r="H1477" i="12" s="1"/>
  <c r="I1477" i="12" s="1"/>
  <c r="G1393" i="12" a="1"/>
  <c r="G1393" i="12" s="1"/>
  <c r="H1393" i="12" s="1"/>
  <c r="I1393" i="12" s="1"/>
  <c r="G1297" i="12" a="1"/>
  <c r="G1297" i="12" s="1"/>
  <c r="H1297" i="12" s="1"/>
  <c r="I1297" i="12" s="1"/>
  <c r="G1201" i="12" a="1"/>
  <c r="G1201" i="12" s="1"/>
  <c r="H1201" i="12" s="1"/>
  <c r="I1201" i="12" s="1"/>
  <c r="G1081" i="12" a="1"/>
  <c r="G1081" i="12" s="1"/>
  <c r="H1081" i="12" s="1"/>
  <c r="I1081" i="12" s="1"/>
  <c r="G1811" i="12" a="1"/>
  <c r="G1811" i="12" s="1"/>
  <c r="H1811" i="12" s="1"/>
  <c r="G1869" i="12" a="1"/>
  <c r="G1869" i="12" s="1"/>
  <c r="H1869" i="12" s="1"/>
  <c r="G1868" i="12" a="1"/>
  <c r="G1868" i="12" s="1"/>
  <c r="H1868" i="12" s="1"/>
  <c r="G1957" i="12" a="1"/>
  <c r="G1957" i="12" s="1"/>
  <c r="H1957" i="12" s="1"/>
  <c r="G1741" i="12" a="1"/>
  <c r="G1741" i="12" s="1"/>
  <c r="H1741" i="12" s="1"/>
  <c r="G1645" i="12" a="1"/>
  <c r="G1645" i="12" s="1"/>
  <c r="H1645" i="12" s="1"/>
  <c r="I1645" i="12" s="1"/>
  <c r="G1549" i="12" a="1"/>
  <c r="G1549" i="12" s="1"/>
  <c r="H1549" i="12" s="1"/>
  <c r="I1549" i="12" s="1"/>
  <c r="G1453" i="12" a="1"/>
  <c r="G1453" i="12" s="1"/>
  <c r="H1453" i="12" s="1"/>
  <c r="I1453" i="12" s="1"/>
  <c r="G1357" i="12" a="1"/>
  <c r="G1357" i="12" s="1"/>
  <c r="H1357" i="12" s="1"/>
  <c r="I1357" i="12" s="1"/>
  <c r="G1261" i="12" a="1"/>
  <c r="G1261" i="12" s="1"/>
  <c r="H1261" i="12" s="1"/>
  <c r="I1261" i="12" s="1"/>
  <c r="G1165" i="12" a="1"/>
  <c r="G1165" i="12" s="1"/>
  <c r="H1165" i="12" s="1"/>
  <c r="I1165" i="12" s="1"/>
  <c r="G1045" i="12" a="1"/>
  <c r="G1045" i="12" s="1"/>
  <c r="H1045" i="12" s="1"/>
  <c r="I1045" i="12" s="1"/>
  <c r="G1905" i="12" a="1"/>
  <c r="G1905" i="12" s="1"/>
  <c r="H1905" i="12" s="1"/>
  <c r="G1711" i="12" a="1"/>
  <c r="G1711" i="12" s="1"/>
  <c r="H1711" i="12" s="1"/>
  <c r="I1711" i="12" s="1"/>
  <c r="G1933" i="12" a="1"/>
  <c r="G1933" i="12" s="1"/>
  <c r="H1933" i="12" s="1"/>
  <c r="G1861" i="12" a="1"/>
  <c r="G1861" i="12" s="1"/>
  <c r="H1861" i="12" s="1"/>
  <c r="G1789" i="12" a="1"/>
  <c r="G1789" i="12" s="1"/>
  <c r="H1789" i="12" s="1"/>
  <c r="G1693" i="12" a="1"/>
  <c r="G1693" i="12" s="1"/>
  <c r="H1693" i="12" s="1"/>
  <c r="I1693" i="12" s="1"/>
  <c r="G1597" i="12" a="1"/>
  <c r="G1597" i="12" s="1"/>
  <c r="H1597" i="12" s="1"/>
  <c r="I1597" i="12" s="1"/>
  <c r="G1489" i="12" a="1"/>
  <c r="G1489" i="12" s="1"/>
  <c r="H1489" i="12" s="1"/>
  <c r="I1489" i="12" s="1"/>
  <c r="G1381" i="12" a="1"/>
  <c r="G1381" i="12" s="1"/>
  <c r="H1381" i="12" s="1"/>
  <c r="I1381" i="12" s="1"/>
  <c r="G1285" i="12" a="1"/>
  <c r="G1285" i="12" s="1"/>
  <c r="H1285" i="12" s="1"/>
  <c r="I1285" i="12" s="1"/>
  <c r="G1189" i="12" a="1"/>
  <c r="G1189" i="12" s="1"/>
  <c r="H1189" i="12" s="1"/>
  <c r="I1189" i="12" s="1"/>
  <c r="G1105" i="12" a="1"/>
  <c r="G1105" i="12" s="1"/>
  <c r="H1105" i="12" s="1"/>
  <c r="I1105" i="12" s="1"/>
  <c r="G1427" i="12" a="1"/>
  <c r="G1427" i="12" s="1"/>
  <c r="H1427" i="12" s="1"/>
  <c r="I1427" i="12" s="1"/>
  <c r="G1916" i="12" a="1"/>
  <c r="G1916" i="12" s="1"/>
  <c r="H1916" i="12" s="1"/>
  <c r="G1939" i="12" a="1"/>
  <c r="G1939" i="12" s="1"/>
  <c r="H1939" i="12" s="1"/>
  <c r="G1921" i="12" a="1"/>
  <c r="G1921" i="12" s="1"/>
  <c r="H1921" i="12" s="1"/>
  <c r="G1849" i="12" a="1"/>
  <c r="G1849" i="12" s="1"/>
  <c r="H1849" i="12" s="1"/>
  <c r="G1777" i="12" a="1"/>
  <c r="G1777" i="12" s="1"/>
  <c r="H1777" i="12" s="1"/>
  <c r="G1681" i="12" a="1"/>
  <c r="G1681" i="12" s="1"/>
  <c r="H1681" i="12" s="1"/>
  <c r="I1681" i="12" s="1"/>
  <c r="G1585" i="12" a="1"/>
  <c r="G1585" i="12" s="1"/>
  <c r="H1585" i="12" s="1"/>
  <c r="I1585" i="12" s="1"/>
  <c r="G1501" i="12" a="1"/>
  <c r="G1501" i="12" s="1"/>
  <c r="H1501" i="12" s="1"/>
  <c r="I1501" i="12" s="1"/>
  <c r="G1405" i="12" a="1"/>
  <c r="G1405" i="12" s="1"/>
  <c r="H1405" i="12" s="1"/>
  <c r="I1405" i="12" s="1"/>
  <c r="G1309" i="12" a="1"/>
  <c r="G1309" i="12" s="1"/>
  <c r="H1309" i="12" s="1"/>
  <c r="I1309" i="12" s="1"/>
  <c r="G1213" i="12" a="1"/>
  <c r="G1213" i="12" s="1"/>
  <c r="H1213" i="12" s="1"/>
  <c r="I1213" i="12" s="1"/>
  <c r="G1117" i="12" a="1"/>
  <c r="G1117" i="12" s="1"/>
  <c r="H1117" i="12" s="1"/>
  <c r="I1117" i="12" s="1"/>
  <c r="G1584" i="12" a="1"/>
  <c r="G1584" i="12" s="1"/>
  <c r="H1584" i="12" s="1"/>
  <c r="I1584" i="12" s="1"/>
  <c r="G1945" i="12" a="1"/>
  <c r="G1945" i="12" s="1"/>
  <c r="H1945" i="12" s="1"/>
  <c r="G1801" i="12" a="1"/>
  <c r="G1801" i="12" s="1"/>
  <c r="H1801" i="12" s="1"/>
  <c r="G1705" i="12" a="1"/>
  <c r="G1705" i="12" s="1"/>
  <c r="H1705" i="12" s="1"/>
  <c r="I1705" i="12" s="1"/>
  <c r="G1609" i="12" a="1"/>
  <c r="G1609" i="12" s="1"/>
  <c r="H1609" i="12" s="1"/>
  <c r="I1609" i="12" s="1"/>
  <c r="G1513" i="12" a="1"/>
  <c r="G1513" i="12" s="1"/>
  <c r="H1513" i="12" s="1"/>
  <c r="I1513" i="12" s="1"/>
  <c r="G1417" i="12" a="1"/>
  <c r="G1417" i="12" s="1"/>
  <c r="H1417" i="12" s="1"/>
  <c r="I1417" i="12" s="1"/>
  <c r="G1321" i="12" a="1"/>
  <c r="G1321" i="12" s="1"/>
  <c r="H1321" i="12" s="1"/>
  <c r="I1321" i="12" s="1"/>
  <c r="G1225" i="12" a="1"/>
  <c r="G1225" i="12" s="1"/>
  <c r="H1225" i="12" s="1"/>
  <c r="I1225" i="12" s="1"/>
  <c r="G1141" i="12" a="1"/>
  <c r="G1141" i="12" s="1"/>
  <c r="H1141" i="12" s="1"/>
  <c r="I1141" i="12" s="1"/>
  <c r="G1069" i="12" a="1"/>
  <c r="G1069" i="12" s="1"/>
  <c r="H1069" i="12" s="1"/>
  <c r="I1069" i="12" s="1"/>
  <c r="G1954" i="12" a="1"/>
  <c r="G1954" i="12" s="1"/>
  <c r="H1954" i="12" s="1"/>
  <c r="G1960" i="12" a="1"/>
  <c r="G1960" i="12" s="1"/>
  <c r="H1960" i="12" s="1"/>
  <c r="G1804" i="12" a="1"/>
  <c r="G1804" i="12" s="1"/>
  <c r="H1804" i="12" s="1"/>
  <c r="G1969" i="12" a="1"/>
  <c r="G1969" i="12" s="1"/>
  <c r="H1969" i="12" s="1"/>
  <c r="G1873" i="12" a="1"/>
  <c r="G1873" i="12" s="1"/>
  <c r="H1873" i="12" s="1"/>
  <c r="G1813" i="12" a="1"/>
  <c r="G1813" i="12" s="1"/>
  <c r="H1813" i="12" s="1"/>
  <c r="G1717" i="12" a="1"/>
  <c r="G1717" i="12" s="1"/>
  <c r="H1717" i="12" s="1"/>
  <c r="I1717" i="12" s="1"/>
  <c r="G1621" i="12" a="1"/>
  <c r="G1621" i="12" s="1"/>
  <c r="H1621" i="12" s="1"/>
  <c r="I1621" i="12" s="1"/>
  <c r="G1525" i="12" a="1"/>
  <c r="G1525" i="12" s="1"/>
  <c r="H1525" i="12" s="1"/>
  <c r="I1525" i="12" s="1"/>
  <c r="G1429" i="12" a="1"/>
  <c r="G1429" i="12" s="1"/>
  <c r="H1429" i="12" s="1"/>
  <c r="I1429" i="12" s="1"/>
  <c r="G1333" i="12" a="1"/>
  <c r="G1333" i="12" s="1"/>
  <c r="H1333" i="12" s="1"/>
  <c r="I1333" i="12" s="1"/>
  <c r="G1237" i="12" a="1"/>
  <c r="G1237" i="12" s="1"/>
  <c r="H1237" i="12" s="1"/>
  <c r="I1237" i="12" s="1"/>
  <c r="G1129" i="12" a="1"/>
  <c r="G1129" i="12" s="1"/>
  <c r="H1129" i="12" s="1"/>
  <c r="I1129" i="12" s="1"/>
  <c r="G1033" i="12" a="1"/>
  <c r="G1033" i="12" s="1"/>
  <c r="H1033" i="12" s="1"/>
  <c r="I1033" i="12" s="1"/>
  <c r="G1822" i="12" a="1"/>
  <c r="G1822" i="12" s="1"/>
  <c r="H1822" i="12" s="1"/>
  <c r="G1863" i="12" a="1"/>
  <c r="G1863" i="12" s="1"/>
  <c r="H1863" i="12" s="1"/>
  <c r="G1897" i="12" a="1"/>
  <c r="G1897" i="12" s="1"/>
  <c r="H1897" i="12" s="1"/>
  <c r="G1753" i="12" a="1"/>
  <c r="G1753" i="12" s="1"/>
  <c r="H1753" i="12" s="1"/>
  <c r="G1657" i="12" a="1"/>
  <c r="G1657" i="12" s="1"/>
  <c r="H1657" i="12" s="1"/>
  <c r="I1657" i="12" s="1"/>
  <c r="G1561" i="12" a="1"/>
  <c r="G1561" i="12" s="1"/>
  <c r="H1561" i="12" s="1"/>
  <c r="I1561" i="12" s="1"/>
  <c r="G1465" i="12" a="1"/>
  <c r="G1465" i="12" s="1"/>
  <c r="H1465" i="12" s="1"/>
  <c r="I1465" i="12" s="1"/>
  <c r="G1369" i="12" a="1"/>
  <c r="G1369" i="12" s="1"/>
  <c r="H1369" i="12" s="1"/>
  <c r="I1369" i="12" s="1"/>
  <c r="G1273" i="12" a="1"/>
  <c r="G1273" i="12" s="1"/>
  <c r="H1273" i="12" s="1"/>
  <c r="I1273" i="12" s="1"/>
  <c r="G1177" i="12" a="1"/>
  <c r="G1177" i="12" s="1"/>
  <c r="H1177" i="12" s="1"/>
  <c r="I1177" i="12" s="1"/>
  <c r="G1093" i="12" a="1"/>
  <c r="G1093" i="12" s="1"/>
  <c r="H1093" i="12" s="1"/>
  <c r="I1093" i="12" s="1"/>
  <c r="G2004" i="12" a="1"/>
  <c r="G2004" i="12" s="1"/>
  <c r="H2004" i="12" s="1"/>
  <c r="G1702" i="12" a="1"/>
  <c r="G1702" i="12" s="1"/>
  <c r="H1702" i="12" s="1"/>
  <c r="I1702" i="12" s="1"/>
  <c r="G1586" i="12" a="1"/>
  <c r="G1586" i="12" s="1"/>
  <c r="H1586" i="12" s="1"/>
  <c r="I1586" i="12" s="1"/>
  <c r="G1980" i="12" a="1"/>
  <c r="G1980" i="12" s="1"/>
  <c r="H1980" i="12" s="1"/>
  <c r="G1908" i="12" a="1"/>
  <c r="G1908" i="12" s="1"/>
  <c r="H1908" i="12" s="1"/>
  <c r="G1848" i="12" a="1"/>
  <c r="G1848" i="12" s="1"/>
  <c r="H1848" i="12" s="1"/>
  <c r="G1764" i="12" a="1"/>
  <c r="G1764" i="12" s="1"/>
  <c r="H1764" i="12" s="1"/>
  <c r="G1692" i="12" a="1"/>
  <c r="G1692" i="12" s="1"/>
  <c r="H1692" i="12" s="1"/>
  <c r="I1692" i="12" s="1"/>
  <c r="G1608" i="12" a="1"/>
  <c r="G1608" i="12" s="1"/>
  <c r="H1608" i="12" s="1"/>
  <c r="I1608" i="12" s="1"/>
  <c r="G1512" i="12" a="1"/>
  <c r="G1512" i="12" s="1"/>
  <c r="H1512" i="12" s="1"/>
  <c r="I1512" i="12" s="1"/>
  <c r="G1416" i="12" a="1"/>
  <c r="G1416" i="12" s="1"/>
  <c r="H1416" i="12" s="1"/>
  <c r="I1416" i="12" s="1"/>
  <c r="G1332" i="12" a="1"/>
  <c r="G1332" i="12" s="1"/>
  <c r="H1332" i="12" s="1"/>
  <c r="I1332" i="12" s="1"/>
  <c r="G1248" i="12" a="1"/>
  <c r="G1248" i="12" s="1"/>
  <c r="H1248" i="12" s="1"/>
  <c r="I1248" i="12" s="1"/>
  <c r="G1164" i="12" a="1"/>
  <c r="G1164" i="12" s="1"/>
  <c r="H1164" i="12" s="1"/>
  <c r="I1164" i="12" s="1"/>
  <c r="G1080" i="12" a="1"/>
  <c r="G1080" i="12" s="1"/>
  <c r="H1080" i="12" s="1"/>
  <c r="I1080" i="12" s="1"/>
  <c r="G1008" i="12" a="1"/>
  <c r="G1008" i="12" s="1"/>
  <c r="H1008" i="12" s="1"/>
  <c r="I1008" i="12" s="1"/>
  <c r="G924" i="12" a="1"/>
  <c r="G924" i="12" s="1"/>
  <c r="H924" i="12" s="1"/>
  <c r="I924" i="12" s="1"/>
  <c r="G840" i="12" a="1"/>
  <c r="G840" i="12" s="1"/>
  <c r="H840" i="12" s="1"/>
  <c r="I840" i="12" s="1"/>
  <c r="G780" i="12" a="1"/>
  <c r="G780" i="12" s="1"/>
  <c r="H780" i="12" s="1"/>
  <c r="I780" i="12" s="1"/>
  <c r="G1955" i="12" a="1"/>
  <c r="G1955" i="12" s="1"/>
  <c r="H1955" i="12" s="1"/>
  <c r="G1883" i="12" a="1"/>
  <c r="G1883" i="12" s="1"/>
  <c r="H1883" i="12" s="1"/>
  <c r="G1823" i="12" a="1"/>
  <c r="G1823" i="12" s="1"/>
  <c r="H1823" i="12" s="1"/>
  <c r="G1763" i="12" a="1"/>
  <c r="G1763" i="12" s="1"/>
  <c r="H1763" i="12" s="1"/>
  <c r="G1703" i="12" a="1"/>
  <c r="G1703" i="12" s="1"/>
  <c r="H1703" i="12" s="1"/>
  <c r="I1703" i="12" s="1"/>
  <c r="G1631" i="12" a="1"/>
  <c r="G1631" i="12" s="1"/>
  <c r="H1631" i="12" s="1"/>
  <c r="I1631" i="12" s="1"/>
  <c r="G1559" i="12" a="1"/>
  <c r="G1559" i="12" s="1"/>
  <c r="H1559" i="12" s="1"/>
  <c r="I1559" i="12" s="1"/>
  <c r="G1475" i="12" a="1"/>
  <c r="G1475" i="12" s="1"/>
  <c r="H1475" i="12" s="1"/>
  <c r="I1475" i="12" s="1"/>
  <c r="G1391" i="12" a="1"/>
  <c r="G1391" i="12" s="1"/>
  <c r="H1391" i="12" s="1"/>
  <c r="I1391" i="12" s="1"/>
  <c r="G1319" i="12" a="1"/>
  <c r="G1319" i="12" s="1"/>
  <c r="H1319" i="12" s="1"/>
  <c r="I1319" i="12" s="1"/>
  <c r="G1247" i="12" a="1"/>
  <c r="G1247" i="12" s="1"/>
  <c r="H1247" i="12" s="1"/>
  <c r="I1247" i="12" s="1"/>
  <c r="G1175" i="12" a="1"/>
  <c r="G1175" i="12" s="1"/>
  <c r="H1175" i="12" s="1"/>
  <c r="I1175" i="12" s="1"/>
  <c r="G1103" i="12" a="1"/>
  <c r="G1103" i="12" s="1"/>
  <c r="H1103" i="12" s="1"/>
  <c r="I1103" i="12" s="1"/>
  <c r="G1019" i="12" a="1"/>
  <c r="G1019" i="12" s="1"/>
  <c r="H1019" i="12" s="1"/>
  <c r="I1019" i="12" s="1"/>
  <c r="G935" i="12" a="1"/>
  <c r="G935" i="12" s="1"/>
  <c r="H935" i="12" s="1"/>
  <c r="I935" i="12" s="1"/>
  <c r="G863" i="12" a="1"/>
  <c r="G863" i="12" s="1"/>
  <c r="H863" i="12" s="1"/>
  <c r="I863" i="12" s="1"/>
  <c r="G791" i="12" a="1"/>
  <c r="G791" i="12" s="1"/>
  <c r="H791" i="12" s="1"/>
  <c r="I791" i="12" s="1"/>
  <c r="G719" i="12" a="1"/>
  <c r="G719" i="12" s="1"/>
  <c r="H719" i="12" s="1"/>
  <c r="I719" i="12" s="1"/>
  <c r="G647" i="12" a="1"/>
  <c r="G647" i="12" s="1"/>
  <c r="H647" i="12" s="1"/>
  <c r="I647" i="12" s="1"/>
  <c r="G575" i="12" a="1"/>
  <c r="G575" i="12" s="1"/>
  <c r="H575" i="12" s="1"/>
  <c r="I575" i="12" s="1"/>
  <c r="G515" i="12" a="1"/>
  <c r="G515" i="12" s="1"/>
  <c r="H515" i="12" s="1"/>
  <c r="I515" i="12" s="1"/>
  <c r="G455" i="12" a="1"/>
  <c r="G455" i="12" s="1"/>
  <c r="H455" i="12" s="1"/>
  <c r="I455" i="12" s="1"/>
  <c r="G383" i="12" a="1"/>
  <c r="G383" i="12" s="1"/>
  <c r="H383" i="12" s="1"/>
  <c r="I383" i="12" s="1"/>
  <c r="G371" i="12" a="1"/>
  <c r="G371" i="12" s="1"/>
  <c r="H371" i="12" s="1"/>
  <c r="I371" i="12" s="1"/>
  <c r="G359" i="12" a="1"/>
  <c r="G359" i="12" s="1"/>
  <c r="H359" i="12" s="1"/>
  <c r="I359" i="12" s="1"/>
  <c r="G347" i="12" a="1"/>
  <c r="G347" i="12" s="1"/>
  <c r="H347" i="12" s="1"/>
  <c r="I347" i="12" s="1"/>
  <c r="G335" i="12" a="1"/>
  <c r="G335" i="12" s="1"/>
  <c r="H335" i="12" s="1"/>
  <c r="I335" i="12" s="1"/>
  <c r="G323" i="12" a="1"/>
  <c r="G323" i="12" s="1"/>
  <c r="H323" i="12" s="1"/>
  <c r="I323" i="12" s="1"/>
  <c r="G311" i="12" a="1"/>
  <c r="G311" i="12" s="1"/>
  <c r="H311" i="12" s="1"/>
  <c r="I311" i="12" s="1"/>
  <c r="G299" i="12" a="1"/>
  <c r="G299" i="12" s="1"/>
  <c r="H299" i="12" s="1"/>
  <c r="I299" i="12" s="1"/>
  <c r="G287" i="12" a="1"/>
  <c r="G287" i="12" s="1"/>
  <c r="H287" i="12" s="1"/>
  <c r="I287" i="12" s="1"/>
  <c r="G275" i="12" a="1"/>
  <c r="G275" i="12" s="1"/>
  <c r="H275" i="12" s="1"/>
  <c r="I275" i="12" s="1"/>
  <c r="G263" i="12" a="1"/>
  <c r="G263" i="12" s="1"/>
  <c r="H263" i="12" s="1"/>
  <c r="I263" i="12" s="1"/>
  <c r="G251" i="12" a="1"/>
  <c r="G251" i="12" s="1"/>
  <c r="H251" i="12" s="1"/>
  <c r="I251" i="12" s="1"/>
  <c r="G239" i="12" a="1"/>
  <c r="G239" i="12" s="1"/>
  <c r="H239" i="12" s="1"/>
  <c r="I239" i="12" s="1"/>
  <c r="G227" i="12" a="1"/>
  <c r="G227" i="12" s="1"/>
  <c r="H227" i="12" s="1"/>
  <c r="I227" i="12" s="1"/>
  <c r="G215" i="12" a="1"/>
  <c r="G215" i="12" s="1"/>
  <c r="H215" i="12" s="1"/>
  <c r="I215" i="12" s="1"/>
  <c r="G203" i="12" a="1"/>
  <c r="G203" i="12" s="1"/>
  <c r="H203" i="12" s="1"/>
  <c r="I203" i="12" s="1"/>
  <c r="G191" i="12" a="1"/>
  <c r="G191" i="12" s="1"/>
  <c r="H191" i="12" s="1"/>
  <c r="I191" i="12" s="1"/>
  <c r="G179" i="12" a="1"/>
  <c r="G179" i="12" s="1"/>
  <c r="H179" i="12" s="1"/>
  <c r="I179" i="12" s="1"/>
  <c r="G167" i="12" a="1"/>
  <c r="G167" i="12" s="1"/>
  <c r="H167" i="12" s="1"/>
  <c r="I167" i="12" s="1"/>
  <c r="G155" i="12" a="1"/>
  <c r="G155" i="12" s="1"/>
  <c r="H155" i="12" s="1"/>
  <c r="I155" i="12" s="1"/>
  <c r="G143" i="12" a="1"/>
  <c r="G143" i="12" s="1"/>
  <c r="H143" i="12" s="1"/>
  <c r="I143" i="12" s="1"/>
  <c r="G131" i="12" a="1"/>
  <c r="G131" i="12" s="1"/>
  <c r="H131" i="12" s="1"/>
  <c r="I131" i="12" s="1"/>
  <c r="G119" i="12" a="1"/>
  <c r="G119" i="12" s="1"/>
  <c r="H119" i="12" s="1"/>
  <c r="I119" i="12" s="1"/>
  <c r="G107" i="12" a="1"/>
  <c r="G107" i="12" s="1"/>
  <c r="H107" i="12" s="1"/>
  <c r="I107" i="12" s="1"/>
  <c r="G95" i="12" a="1"/>
  <c r="G95" i="12" s="1"/>
  <c r="H95" i="12" s="1"/>
  <c r="I95" i="12" s="1"/>
  <c r="G83" i="12" a="1"/>
  <c r="G83" i="12" s="1"/>
  <c r="H83" i="12" s="1"/>
  <c r="I83" i="12" s="1"/>
  <c r="G71" i="12" a="1"/>
  <c r="G71" i="12" s="1"/>
  <c r="H71" i="12" s="1"/>
  <c r="I71" i="12" s="1"/>
  <c r="G59" i="12" a="1"/>
  <c r="G59" i="12" s="1"/>
  <c r="H59" i="12" s="1"/>
  <c r="I59" i="12" s="1"/>
  <c r="G47" i="12" a="1"/>
  <c r="G47" i="12" s="1"/>
  <c r="H47" i="12" s="1"/>
  <c r="I47" i="12" s="1"/>
  <c r="G35" i="12" a="1"/>
  <c r="G35" i="12" s="1"/>
  <c r="H35" i="12" s="1"/>
  <c r="I35" i="12" s="1"/>
  <c r="G23" i="12" a="1"/>
  <c r="G23" i="12" s="1"/>
  <c r="H23" i="12" s="1"/>
  <c r="I23" i="12" s="1"/>
  <c r="G11" i="12" a="1"/>
  <c r="G11" i="12" s="1"/>
  <c r="H11" i="12" s="1"/>
  <c r="I11" i="12" s="1"/>
  <c r="G1956" i="12" a="1"/>
  <c r="G1956" i="12" s="1"/>
  <c r="H1956" i="12" s="1"/>
  <c r="G1896" i="12" a="1"/>
  <c r="G1896" i="12" s="1"/>
  <c r="H1896" i="12" s="1"/>
  <c r="G1812" i="12" a="1"/>
  <c r="G1812" i="12" s="1"/>
  <c r="H1812" i="12" s="1"/>
  <c r="G1740" i="12" a="1"/>
  <c r="G1740" i="12" s="1"/>
  <c r="H1740" i="12" s="1"/>
  <c r="G1656" i="12" a="1"/>
  <c r="G1656" i="12" s="1"/>
  <c r="H1656" i="12" s="1"/>
  <c r="I1656" i="12" s="1"/>
  <c r="G1560" i="12" a="1"/>
  <c r="G1560" i="12" s="1"/>
  <c r="H1560" i="12" s="1"/>
  <c r="I1560" i="12" s="1"/>
  <c r="G1464" i="12" a="1"/>
  <c r="G1464" i="12" s="1"/>
  <c r="H1464" i="12" s="1"/>
  <c r="I1464" i="12" s="1"/>
  <c r="G1392" i="12" a="1"/>
  <c r="G1392" i="12" s="1"/>
  <c r="H1392" i="12" s="1"/>
  <c r="I1392" i="12" s="1"/>
  <c r="G1308" i="12" a="1"/>
  <c r="G1308" i="12" s="1"/>
  <c r="H1308" i="12" s="1"/>
  <c r="I1308" i="12" s="1"/>
  <c r="G1212" i="12" a="1"/>
  <c r="G1212" i="12" s="1"/>
  <c r="H1212" i="12" s="1"/>
  <c r="I1212" i="12" s="1"/>
  <c r="G1140" i="12" a="1"/>
  <c r="G1140" i="12" s="1"/>
  <c r="H1140" i="12" s="1"/>
  <c r="I1140" i="12" s="1"/>
  <c r="G1056" i="12" a="1"/>
  <c r="G1056" i="12" s="1"/>
  <c r="H1056" i="12" s="1"/>
  <c r="I1056" i="12" s="1"/>
  <c r="G972" i="12" a="1"/>
  <c r="G972" i="12" s="1"/>
  <c r="H972" i="12" s="1"/>
  <c r="I972" i="12" s="1"/>
  <c r="G888" i="12" a="1"/>
  <c r="G888" i="12" s="1"/>
  <c r="H888" i="12" s="1"/>
  <c r="I888" i="12" s="1"/>
  <c r="G816" i="12" a="1"/>
  <c r="G816" i="12" s="1"/>
  <c r="H816" i="12" s="1"/>
  <c r="I816" i="12" s="1"/>
  <c r="G2003" i="12" a="1"/>
  <c r="G2003" i="12" s="1"/>
  <c r="H2003" i="12" s="1"/>
  <c r="G1931" i="12" a="1"/>
  <c r="G1931" i="12" s="1"/>
  <c r="H1931" i="12" s="1"/>
  <c r="G1859" i="12" a="1"/>
  <c r="G1859" i="12" s="1"/>
  <c r="H1859" i="12" s="1"/>
  <c r="G1787" i="12" a="1"/>
  <c r="G1787" i="12" s="1"/>
  <c r="H1787" i="12" s="1"/>
  <c r="G1727" i="12" a="1"/>
  <c r="G1727" i="12" s="1"/>
  <c r="H1727" i="12" s="1"/>
  <c r="G1655" i="12" a="1"/>
  <c r="G1655" i="12" s="1"/>
  <c r="H1655" i="12" s="1"/>
  <c r="I1655" i="12" s="1"/>
  <c r="G1571" i="12" a="1"/>
  <c r="G1571" i="12" s="1"/>
  <c r="H1571" i="12" s="1"/>
  <c r="I1571" i="12" s="1"/>
  <c r="G1511" i="12" a="1"/>
  <c r="G1511" i="12" s="1"/>
  <c r="H1511" i="12" s="1"/>
  <c r="I1511" i="12" s="1"/>
  <c r="G1439" i="12" a="1"/>
  <c r="G1439" i="12" s="1"/>
  <c r="H1439" i="12" s="1"/>
  <c r="I1439" i="12" s="1"/>
  <c r="G1355" i="12" a="1"/>
  <c r="G1355" i="12" s="1"/>
  <c r="H1355" i="12" s="1"/>
  <c r="I1355" i="12" s="1"/>
  <c r="G1283" i="12" a="1"/>
  <c r="G1283" i="12" s="1"/>
  <c r="H1283" i="12" s="1"/>
  <c r="I1283" i="12" s="1"/>
  <c r="G1199" i="12" a="1"/>
  <c r="G1199" i="12" s="1"/>
  <c r="H1199" i="12" s="1"/>
  <c r="I1199" i="12" s="1"/>
  <c r="G1127" i="12" a="1"/>
  <c r="G1127" i="12" s="1"/>
  <c r="H1127" i="12" s="1"/>
  <c r="I1127" i="12" s="1"/>
  <c r="G1055" i="12" a="1"/>
  <c r="G1055" i="12" s="1"/>
  <c r="H1055" i="12" s="1"/>
  <c r="I1055" i="12" s="1"/>
  <c r="G983" i="12" a="1"/>
  <c r="G983" i="12" s="1"/>
  <c r="H983" i="12" s="1"/>
  <c r="I983" i="12" s="1"/>
  <c r="G911" i="12" a="1"/>
  <c r="G911" i="12" s="1"/>
  <c r="H911" i="12" s="1"/>
  <c r="I911" i="12" s="1"/>
  <c r="G839" i="12" a="1"/>
  <c r="G839" i="12" s="1"/>
  <c r="H839" i="12" s="1"/>
  <c r="I839" i="12" s="1"/>
  <c r="G767" i="12" a="1"/>
  <c r="G767" i="12" s="1"/>
  <c r="H767" i="12" s="1"/>
  <c r="I767" i="12" s="1"/>
  <c r="G695" i="12" a="1"/>
  <c r="G695" i="12" s="1"/>
  <c r="H695" i="12" s="1"/>
  <c r="I695" i="12" s="1"/>
  <c r="G611" i="12" a="1"/>
  <c r="G611" i="12" s="1"/>
  <c r="H611" i="12" s="1"/>
  <c r="I611" i="12" s="1"/>
  <c r="G539" i="12" a="1"/>
  <c r="G539" i="12" s="1"/>
  <c r="H539" i="12" s="1"/>
  <c r="I539" i="12" s="1"/>
  <c r="G479" i="12" a="1"/>
  <c r="G479" i="12" s="1"/>
  <c r="H479" i="12" s="1"/>
  <c r="I479" i="12" s="1"/>
  <c r="G407" i="12" a="1"/>
  <c r="G407" i="12" s="1"/>
  <c r="H407" i="12" s="1"/>
  <c r="I407" i="12" s="1"/>
  <c r="G1942" i="12" a="1"/>
  <c r="G1942" i="12" s="1"/>
  <c r="H1942" i="12" s="1"/>
  <c r="G1870" i="12" a="1"/>
  <c r="G1870" i="12" s="1"/>
  <c r="H1870" i="12" s="1"/>
  <c r="G1798" i="12" a="1"/>
  <c r="G1798" i="12" s="1"/>
  <c r="H1798" i="12" s="1"/>
  <c r="G1750" i="12" a="1"/>
  <c r="G1750" i="12" s="1"/>
  <c r="H1750" i="12" s="1"/>
  <c r="G1642" i="12" a="1"/>
  <c r="G1642" i="12" s="1"/>
  <c r="H1642" i="12" s="1"/>
  <c r="I1642" i="12" s="1"/>
  <c r="G1594" i="12" a="1"/>
  <c r="G1594" i="12" s="1"/>
  <c r="H1594" i="12" s="1"/>
  <c r="I1594" i="12" s="1"/>
  <c r="G1534" i="12" a="1"/>
  <c r="G1534" i="12" s="1"/>
  <c r="H1534" i="12" s="1"/>
  <c r="I1534" i="12" s="1"/>
  <c r="G1462" i="12" a="1"/>
  <c r="G1462" i="12" s="1"/>
  <c r="H1462" i="12" s="1"/>
  <c r="I1462" i="12" s="1"/>
  <c r="G1390" i="12" a="1"/>
  <c r="G1390" i="12" s="1"/>
  <c r="H1390" i="12" s="1"/>
  <c r="I1390" i="12" s="1"/>
  <c r="G1330" i="12" a="1"/>
  <c r="G1330" i="12" s="1"/>
  <c r="H1330" i="12" s="1"/>
  <c r="I1330" i="12" s="1"/>
  <c r="G1258" i="12" a="1"/>
  <c r="G1258" i="12" s="1"/>
  <c r="H1258" i="12" s="1"/>
  <c r="I1258" i="12" s="1"/>
  <c r="G1210" i="12" a="1"/>
  <c r="G1210" i="12" s="1"/>
  <c r="H1210" i="12" s="1"/>
  <c r="I1210" i="12" s="1"/>
  <c r="G1150" i="12" a="1"/>
  <c r="G1150" i="12" s="1"/>
  <c r="H1150" i="12" s="1"/>
  <c r="I1150" i="12" s="1"/>
  <c r="G1102" i="12" a="1"/>
  <c r="G1102" i="12" s="1"/>
  <c r="H1102" i="12" s="1"/>
  <c r="I1102" i="12" s="1"/>
  <c r="G1030" i="12" a="1"/>
  <c r="G1030" i="12" s="1"/>
  <c r="H1030" i="12" s="1"/>
  <c r="I1030" i="12" s="1"/>
  <c r="G958" i="12" a="1"/>
  <c r="G958" i="12" s="1"/>
  <c r="H958" i="12" s="1"/>
  <c r="I958" i="12" s="1"/>
  <c r="G910" i="12" a="1"/>
  <c r="G910" i="12" s="1"/>
  <c r="H910" i="12" s="1"/>
  <c r="I910" i="12" s="1"/>
  <c r="G862" i="12" a="1"/>
  <c r="G862" i="12" s="1"/>
  <c r="H862" i="12" s="1"/>
  <c r="I862" i="12" s="1"/>
  <c r="G802" i="12" a="1"/>
  <c r="G802" i="12" s="1"/>
  <c r="H802" i="12" s="1"/>
  <c r="I802" i="12" s="1"/>
  <c r="G742" i="12" a="1"/>
  <c r="G742" i="12" s="1"/>
  <c r="H742" i="12" s="1"/>
  <c r="I742" i="12" s="1"/>
  <c r="G670" i="12" a="1"/>
  <c r="G670" i="12" s="1"/>
  <c r="H670" i="12" s="1"/>
  <c r="I670" i="12" s="1"/>
  <c r="G622" i="12" a="1"/>
  <c r="G622" i="12" s="1"/>
  <c r="H622" i="12" s="1"/>
  <c r="I622" i="12" s="1"/>
  <c r="G550" i="12" a="1"/>
  <c r="G550" i="12" s="1"/>
  <c r="H550" i="12" s="1"/>
  <c r="I550" i="12" s="1"/>
  <c r="G478" i="12" a="1"/>
  <c r="G478" i="12" s="1"/>
  <c r="H478" i="12" s="1"/>
  <c r="I478" i="12" s="1"/>
  <c r="G406" i="12" a="1"/>
  <c r="G406" i="12" s="1"/>
  <c r="H406" i="12" s="1"/>
  <c r="I406" i="12" s="1"/>
  <c r="G346" i="12" a="1"/>
  <c r="G346" i="12" s="1"/>
  <c r="H346" i="12" s="1"/>
  <c r="I346" i="12" s="1"/>
  <c r="G262" i="12" a="1"/>
  <c r="G262" i="12" s="1"/>
  <c r="H262" i="12" s="1"/>
  <c r="I262" i="12" s="1"/>
  <c r="G190" i="12" a="1"/>
  <c r="G190" i="12" s="1"/>
  <c r="H190" i="12" s="1"/>
  <c r="I190" i="12" s="1"/>
  <c r="G118" i="12" a="1"/>
  <c r="G118" i="12" s="1"/>
  <c r="H118" i="12" s="1"/>
  <c r="I118" i="12" s="1"/>
  <c r="G106" i="12" a="1"/>
  <c r="G106" i="12" s="1"/>
  <c r="H106" i="12" s="1"/>
  <c r="I106" i="12" s="1"/>
  <c r="G94" i="12" a="1"/>
  <c r="G94" i="12" s="1"/>
  <c r="H94" i="12" s="1"/>
  <c r="I94" i="12" s="1"/>
  <c r="G82" i="12" a="1"/>
  <c r="G82" i="12" s="1"/>
  <c r="H82" i="12" s="1"/>
  <c r="I82" i="12" s="1"/>
  <c r="G70" i="12" a="1"/>
  <c r="G70" i="12" s="1"/>
  <c r="H70" i="12" s="1"/>
  <c r="I70" i="12" s="1"/>
  <c r="G58" i="12" a="1"/>
  <c r="G58" i="12" s="1"/>
  <c r="H58" i="12" s="1"/>
  <c r="I58" i="12" s="1"/>
  <c r="G46" i="12" a="1"/>
  <c r="G46" i="12" s="1"/>
  <c r="H46" i="12" s="1"/>
  <c r="I46" i="12" s="1"/>
  <c r="G34" i="12" a="1"/>
  <c r="G34" i="12" s="1"/>
  <c r="H34" i="12" s="1"/>
  <c r="I34" i="12" s="1"/>
  <c r="G22" i="12" a="1"/>
  <c r="G22" i="12" s="1"/>
  <c r="H22" i="12" s="1"/>
  <c r="I22" i="12" s="1"/>
  <c r="G10" i="12" a="1"/>
  <c r="G10" i="12" s="1"/>
  <c r="H10" i="12" s="1"/>
  <c r="I10" i="12" s="1"/>
  <c r="G723" i="12" a="1"/>
  <c r="G723" i="12" s="1"/>
  <c r="H723" i="12" s="1"/>
  <c r="I723" i="12" s="1"/>
  <c r="G1766" i="12" a="1"/>
  <c r="G1766" i="12" s="1"/>
  <c r="H1766" i="12" s="1"/>
  <c r="G1565" i="12" a="1"/>
  <c r="G1565" i="12" s="1"/>
  <c r="H1565" i="12" s="1"/>
  <c r="I1565" i="12" s="1"/>
  <c r="G1944" i="12" a="1"/>
  <c r="G1944" i="12" s="1"/>
  <c r="H1944" i="12" s="1"/>
  <c r="G1872" i="12" a="1"/>
  <c r="G1872" i="12" s="1"/>
  <c r="H1872" i="12" s="1"/>
  <c r="G1776" i="12" a="1"/>
  <c r="G1776" i="12" s="1"/>
  <c r="H1776" i="12" s="1"/>
  <c r="G1704" i="12" a="1"/>
  <c r="G1704" i="12" s="1"/>
  <c r="H1704" i="12" s="1"/>
  <c r="I1704" i="12" s="1"/>
  <c r="G1620" i="12" a="1"/>
  <c r="G1620" i="12" s="1"/>
  <c r="H1620" i="12" s="1"/>
  <c r="I1620" i="12" s="1"/>
  <c r="G1524" i="12" a="1"/>
  <c r="G1524" i="12" s="1"/>
  <c r="H1524" i="12" s="1"/>
  <c r="I1524" i="12" s="1"/>
  <c r="G1440" i="12" a="1"/>
  <c r="G1440" i="12" s="1"/>
  <c r="H1440" i="12" s="1"/>
  <c r="I1440" i="12" s="1"/>
  <c r="G1344" i="12" a="1"/>
  <c r="G1344" i="12" s="1"/>
  <c r="H1344" i="12" s="1"/>
  <c r="I1344" i="12" s="1"/>
  <c r="G1272" i="12" a="1"/>
  <c r="G1272" i="12" s="1"/>
  <c r="H1272" i="12" s="1"/>
  <c r="I1272" i="12" s="1"/>
  <c r="G1188" i="12" a="1"/>
  <c r="G1188" i="12" s="1"/>
  <c r="H1188" i="12" s="1"/>
  <c r="I1188" i="12" s="1"/>
  <c r="G1104" i="12" a="1"/>
  <c r="G1104" i="12" s="1"/>
  <c r="H1104" i="12" s="1"/>
  <c r="I1104" i="12" s="1"/>
  <c r="G1032" i="12" a="1"/>
  <c r="G1032" i="12" s="1"/>
  <c r="H1032" i="12" s="1"/>
  <c r="I1032" i="12" s="1"/>
  <c r="G948" i="12" a="1"/>
  <c r="G948" i="12" s="1"/>
  <c r="H948" i="12" s="1"/>
  <c r="I948" i="12" s="1"/>
  <c r="G864" i="12" a="1"/>
  <c r="G864" i="12" s="1"/>
  <c r="H864" i="12" s="1"/>
  <c r="I864" i="12" s="1"/>
  <c r="G792" i="12" a="1"/>
  <c r="G792" i="12" s="1"/>
  <c r="H792" i="12" s="1"/>
  <c r="I792" i="12" s="1"/>
  <c r="G1979" i="12" a="1"/>
  <c r="G1979" i="12" s="1"/>
  <c r="H1979" i="12" s="1"/>
  <c r="G1907" i="12" a="1"/>
  <c r="G1907" i="12" s="1"/>
  <c r="H1907" i="12" s="1"/>
  <c r="G1835" i="12" a="1"/>
  <c r="G1835" i="12" s="1"/>
  <c r="H1835" i="12" s="1"/>
  <c r="G1751" i="12" a="1"/>
  <c r="G1751" i="12" s="1"/>
  <c r="H1751" i="12" s="1"/>
  <c r="G1679" i="12" a="1"/>
  <c r="G1679" i="12" s="1"/>
  <c r="H1679" i="12" s="1"/>
  <c r="I1679" i="12" s="1"/>
  <c r="G1607" i="12" a="1"/>
  <c r="G1607" i="12" s="1"/>
  <c r="H1607" i="12" s="1"/>
  <c r="I1607" i="12" s="1"/>
  <c r="G1535" i="12" a="1"/>
  <c r="G1535" i="12" s="1"/>
  <c r="H1535" i="12" s="1"/>
  <c r="I1535" i="12" s="1"/>
  <c r="G1451" i="12" a="1"/>
  <c r="G1451" i="12" s="1"/>
  <c r="H1451" i="12" s="1"/>
  <c r="I1451" i="12" s="1"/>
  <c r="G1367" i="12" a="1"/>
  <c r="G1367" i="12" s="1"/>
  <c r="H1367" i="12" s="1"/>
  <c r="I1367" i="12" s="1"/>
  <c r="G1307" i="12" a="1"/>
  <c r="G1307" i="12" s="1"/>
  <c r="H1307" i="12" s="1"/>
  <c r="I1307" i="12" s="1"/>
  <c r="G1235" i="12" a="1"/>
  <c r="G1235" i="12" s="1"/>
  <c r="H1235" i="12" s="1"/>
  <c r="I1235" i="12" s="1"/>
  <c r="G1163" i="12" a="1"/>
  <c r="G1163" i="12" s="1"/>
  <c r="H1163" i="12" s="1"/>
  <c r="I1163" i="12" s="1"/>
  <c r="G1091" i="12" a="1"/>
  <c r="G1091" i="12" s="1"/>
  <c r="H1091" i="12" s="1"/>
  <c r="I1091" i="12" s="1"/>
  <c r="G1031" i="12" a="1"/>
  <c r="G1031" i="12" s="1"/>
  <c r="H1031" i="12" s="1"/>
  <c r="I1031" i="12" s="1"/>
  <c r="G959" i="12" a="1"/>
  <c r="G959" i="12" s="1"/>
  <c r="H959" i="12" s="1"/>
  <c r="I959" i="12" s="1"/>
  <c r="G875" i="12" a="1"/>
  <c r="G875" i="12" s="1"/>
  <c r="H875" i="12" s="1"/>
  <c r="I875" i="12" s="1"/>
  <c r="G803" i="12" a="1"/>
  <c r="G803" i="12" s="1"/>
  <c r="H803" i="12" s="1"/>
  <c r="I803" i="12" s="1"/>
  <c r="G731" i="12" a="1"/>
  <c r="G731" i="12" s="1"/>
  <c r="H731" i="12" s="1"/>
  <c r="I731" i="12" s="1"/>
  <c r="G659" i="12" a="1"/>
  <c r="G659" i="12" s="1"/>
  <c r="H659" i="12" s="1"/>
  <c r="I659" i="12" s="1"/>
  <c r="G587" i="12" a="1"/>
  <c r="G587" i="12" s="1"/>
  <c r="H587" i="12" s="1"/>
  <c r="I587" i="12" s="1"/>
  <c r="G491" i="12" a="1"/>
  <c r="G491" i="12" s="1"/>
  <c r="H491" i="12" s="1"/>
  <c r="I491" i="12" s="1"/>
  <c r="G431" i="12" a="1"/>
  <c r="G431" i="12" s="1"/>
  <c r="H431" i="12" s="1"/>
  <c r="I431" i="12" s="1"/>
  <c r="G1990" i="12" a="1"/>
  <c r="G1990" i="12" s="1"/>
  <c r="H1990" i="12" s="1"/>
  <c r="G1918" i="12" a="1"/>
  <c r="G1918" i="12" s="1"/>
  <c r="H1918" i="12" s="1"/>
  <c r="G1846" i="12" a="1"/>
  <c r="G1846" i="12" s="1"/>
  <c r="H1846" i="12" s="1"/>
  <c r="G1774" i="12" a="1"/>
  <c r="G1774" i="12" s="1"/>
  <c r="H1774" i="12" s="1"/>
  <c r="G1726" i="12" a="1"/>
  <c r="G1726" i="12" s="1"/>
  <c r="H1726" i="12" s="1"/>
  <c r="G1666" i="12" a="1"/>
  <c r="G1666" i="12" s="1"/>
  <c r="H1666" i="12" s="1"/>
  <c r="I1666" i="12" s="1"/>
  <c r="G1606" i="12" a="1"/>
  <c r="G1606" i="12" s="1"/>
  <c r="H1606" i="12" s="1"/>
  <c r="I1606" i="12" s="1"/>
  <c r="G1546" i="12" a="1"/>
  <c r="G1546" i="12" s="1"/>
  <c r="H1546" i="12" s="1"/>
  <c r="I1546" i="12" s="1"/>
  <c r="G1486" i="12" a="1"/>
  <c r="G1486" i="12" s="1"/>
  <c r="H1486" i="12" s="1"/>
  <c r="I1486" i="12" s="1"/>
  <c r="G1414" i="12" a="1"/>
  <c r="G1414" i="12" s="1"/>
  <c r="H1414" i="12" s="1"/>
  <c r="I1414" i="12" s="1"/>
  <c r="G1354" i="12" a="1"/>
  <c r="G1354" i="12" s="1"/>
  <c r="H1354" i="12" s="1"/>
  <c r="I1354" i="12" s="1"/>
  <c r="G1294" i="12" a="1"/>
  <c r="G1294" i="12" s="1"/>
  <c r="H1294" i="12" s="1"/>
  <c r="I1294" i="12" s="1"/>
  <c r="G1234" i="12" a="1"/>
  <c r="G1234" i="12" s="1"/>
  <c r="H1234" i="12" s="1"/>
  <c r="I1234" i="12" s="1"/>
  <c r="G1186" i="12" a="1"/>
  <c r="G1186" i="12" s="1"/>
  <c r="H1186" i="12" s="1"/>
  <c r="I1186" i="12" s="1"/>
  <c r="G1126" i="12" a="1"/>
  <c r="G1126" i="12" s="1"/>
  <c r="H1126" i="12" s="1"/>
  <c r="I1126" i="12" s="1"/>
  <c r="G1066" i="12" a="1"/>
  <c r="G1066" i="12" s="1"/>
  <c r="H1066" i="12" s="1"/>
  <c r="I1066" i="12" s="1"/>
  <c r="G1006" i="12" a="1"/>
  <c r="G1006" i="12" s="1"/>
  <c r="H1006" i="12" s="1"/>
  <c r="I1006" i="12" s="1"/>
  <c r="G946" i="12" a="1"/>
  <c r="G946" i="12" s="1"/>
  <c r="H946" i="12" s="1"/>
  <c r="I946" i="12" s="1"/>
  <c r="G874" i="12" a="1"/>
  <c r="G874" i="12" s="1"/>
  <c r="H874" i="12" s="1"/>
  <c r="I874" i="12" s="1"/>
  <c r="G826" i="12" a="1"/>
  <c r="G826" i="12" s="1"/>
  <c r="H826" i="12" s="1"/>
  <c r="I826" i="12" s="1"/>
  <c r="G766" i="12" a="1"/>
  <c r="G766" i="12" s="1"/>
  <c r="H766" i="12" s="1"/>
  <c r="I766" i="12" s="1"/>
  <c r="G694" i="12" a="1"/>
  <c r="G694" i="12" s="1"/>
  <c r="H694" i="12" s="1"/>
  <c r="I694" i="12" s="1"/>
  <c r="G634" i="12" a="1"/>
  <c r="G634" i="12" s="1"/>
  <c r="H634" i="12" s="1"/>
  <c r="I634" i="12" s="1"/>
  <c r="G586" i="12" a="1"/>
  <c r="G586" i="12" s="1"/>
  <c r="H586" i="12" s="1"/>
  <c r="I586" i="12" s="1"/>
  <c r="G526" i="12" a="1"/>
  <c r="G526" i="12" s="1"/>
  <c r="H526" i="12" s="1"/>
  <c r="I526" i="12" s="1"/>
  <c r="G454" i="12" a="1"/>
  <c r="G454" i="12" s="1"/>
  <c r="H454" i="12" s="1"/>
  <c r="I454" i="12" s="1"/>
  <c r="G382" i="12" a="1"/>
  <c r="G382" i="12" s="1"/>
  <c r="H382" i="12" s="1"/>
  <c r="I382" i="12" s="1"/>
  <c r="G310" i="12" a="1"/>
  <c r="G310" i="12" s="1"/>
  <c r="H310" i="12" s="1"/>
  <c r="I310" i="12" s="1"/>
  <c r="G250" i="12" a="1"/>
  <c r="G250" i="12" s="1"/>
  <c r="H250" i="12" s="1"/>
  <c r="I250" i="12" s="1"/>
  <c r="G178" i="12" a="1"/>
  <c r="G178" i="12" s="1"/>
  <c r="H178" i="12" s="1"/>
  <c r="I178" i="12" s="1"/>
  <c r="G2001" i="12" a="1"/>
  <c r="G2001" i="12" s="1"/>
  <c r="H2001" i="12" s="1"/>
  <c r="G1941" i="12" a="1"/>
  <c r="G1941" i="12" s="1"/>
  <c r="H1941" i="12" s="1"/>
  <c r="G1881" i="12" a="1"/>
  <c r="G1881" i="12" s="1"/>
  <c r="H1881" i="12" s="1"/>
  <c r="G1785" i="12" a="1"/>
  <c r="G1785" i="12" s="1"/>
  <c r="H1785" i="12" s="1"/>
  <c r="G1701" i="12" a="1"/>
  <c r="G1701" i="12" s="1"/>
  <c r="H1701" i="12" s="1"/>
  <c r="I1701" i="12" s="1"/>
  <c r="G1617" i="12" a="1"/>
  <c r="G1617" i="12" s="1"/>
  <c r="H1617" i="12" s="1"/>
  <c r="I1617" i="12" s="1"/>
  <c r="G1545" i="12" a="1"/>
  <c r="G1545" i="12" s="1"/>
  <c r="H1545" i="12" s="1"/>
  <c r="I1545" i="12" s="1"/>
  <c r="G1473" i="12" a="1"/>
  <c r="G1473" i="12" s="1"/>
  <c r="H1473" i="12" s="1"/>
  <c r="I1473" i="12" s="1"/>
  <c r="G1413" i="12" a="1"/>
  <c r="G1413" i="12" s="1"/>
  <c r="H1413" i="12" s="1"/>
  <c r="I1413" i="12" s="1"/>
  <c r="G1341" i="12" a="1"/>
  <c r="G1341" i="12" s="1"/>
  <c r="H1341" i="12" s="1"/>
  <c r="I1341" i="12" s="1"/>
  <c r="G1269" i="12" a="1"/>
  <c r="G1269" i="12" s="1"/>
  <c r="H1269" i="12" s="1"/>
  <c r="I1269" i="12" s="1"/>
  <c r="G1257" i="12" a="1"/>
  <c r="G1257" i="12" s="1"/>
  <c r="H1257" i="12" s="1"/>
  <c r="I1257" i="12" s="1"/>
  <c r="G1245" i="12" a="1"/>
  <c r="G1245" i="12" s="1"/>
  <c r="H1245" i="12" s="1"/>
  <c r="I1245" i="12" s="1"/>
  <c r="G1209" i="12" a="1"/>
  <c r="G1209" i="12" s="1"/>
  <c r="H1209" i="12" s="1"/>
  <c r="I1209" i="12" s="1"/>
  <c r="G1968" i="12" a="1"/>
  <c r="G1968" i="12" s="1"/>
  <c r="H1968" i="12" s="1"/>
  <c r="G1824" i="12" a="1"/>
  <c r="G1824" i="12" s="1"/>
  <c r="H1824" i="12" s="1"/>
  <c r="G1752" i="12" a="1"/>
  <c r="G1752" i="12" s="1"/>
  <c r="H1752" i="12" s="1"/>
  <c r="G1680" i="12" a="1"/>
  <c r="G1680" i="12" s="1"/>
  <c r="H1680" i="12" s="1"/>
  <c r="I1680" i="12" s="1"/>
  <c r="G1572" i="12" a="1"/>
  <c r="G1572" i="12" s="1"/>
  <c r="H1572" i="12" s="1"/>
  <c r="I1572" i="12" s="1"/>
  <c r="G1488" i="12" a="1"/>
  <c r="G1488" i="12" s="1"/>
  <c r="H1488" i="12" s="1"/>
  <c r="I1488" i="12" s="1"/>
  <c r="G1404" i="12" a="1"/>
  <c r="G1404" i="12" s="1"/>
  <c r="H1404" i="12" s="1"/>
  <c r="I1404" i="12" s="1"/>
  <c r="G1320" i="12" a="1"/>
  <c r="G1320" i="12" s="1"/>
  <c r="H1320" i="12" s="1"/>
  <c r="I1320" i="12" s="1"/>
  <c r="G1236" i="12" a="1"/>
  <c r="G1236" i="12" s="1"/>
  <c r="H1236" i="12" s="1"/>
  <c r="I1236" i="12" s="1"/>
  <c r="G1128" i="12" a="1"/>
  <c r="G1128" i="12" s="1"/>
  <c r="H1128" i="12" s="1"/>
  <c r="I1128" i="12" s="1"/>
  <c r="G1044" i="12" a="1"/>
  <c r="G1044" i="12" s="1"/>
  <c r="H1044" i="12" s="1"/>
  <c r="I1044" i="12" s="1"/>
  <c r="G960" i="12" a="1"/>
  <c r="G960" i="12" s="1"/>
  <c r="H960" i="12" s="1"/>
  <c r="I960" i="12" s="1"/>
  <c r="G876" i="12" a="1"/>
  <c r="G876" i="12" s="1"/>
  <c r="H876" i="12" s="1"/>
  <c r="I876" i="12" s="1"/>
  <c r="G744" i="12" a="1"/>
  <c r="G744" i="12" s="1"/>
  <c r="H744" i="12" s="1"/>
  <c r="I744" i="12" s="1"/>
  <c r="G1943" i="12" a="1"/>
  <c r="G1943" i="12" s="1"/>
  <c r="H1943" i="12" s="1"/>
  <c r="G1871" i="12" a="1"/>
  <c r="G1871" i="12" s="1"/>
  <c r="H1871" i="12" s="1"/>
  <c r="G1667" i="12" a="1"/>
  <c r="G1667" i="12" s="1"/>
  <c r="H1667" i="12" s="1"/>
  <c r="I1667" i="12" s="1"/>
  <c r="G1583" i="12" a="1"/>
  <c r="G1583" i="12" s="1"/>
  <c r="H1583" i="12" s="1"/>
  <c r="I1583" i="12" s="1"/>
  <c r="G1499" i="12" a="1"/>
  <c r="G1499" i="12" s="1"/>
  <c r="H1499" i="12" s="1"/>
  <c r="I1499" i="12" s="1"/>
  <c r="G1415" i="12" a="1"/>
  <c r="G1415" i="12" s="1"/>
  <c r="H1415" i="12" s="1"/>
  <c r="I1415" i="12" s="1"/>
  <c r="G1343" i="12" a="1"/>
  <c r="G1343" i="12" s="1"/>
  <c r="H1343" i="12" s="1"/>
  <c r="I1343" i="12" s="1"/>
  <c r="G1259" i="12" a="1"/>
  <c r="G1259" i="12" s="1"/>
  <c r="H1259" i="12" s="1"/>
  <c r="I1259" i="12" s="1"/>
  <c r="G1187" i="12" a="1"/>
  <c r="G1187" i="12" s="1"/>
  <c r="H1187" i="12" s="1"/>
  <c r="I1187" i="12" s="1"/>
  <c r="G1115" i="12" a="1"/>
  <c r="G1115" i="12" s="1"/>
  <c r="H1115" i="12" s="1"/>
  <c r="I1115" i="12" s="1"/>
  <c r="G1043" i="12" a="1"/>
  <c r="G1043" i="12" s="1"/>
  <c r="H1043" i="12" s="1"/>
  <c r="I1043" i="12" s="1"/>
  <c r="G947" i="12" a="1"/>
  <c r="G947" i="12" s="1"/>
  <c r="H947" i="12" s="1"/>
  <c r="I947" i="12" s="1"/>
  <c r="G887" i="12" a="1"/>
  <c r="G887" i="12" s="1"/>
  <c r="H887" i="12" s="1"/>
  <c r="I887" i="12" s="1"/>
  <c r="G815" i="12" a="1"/>
  <c r="G815" i="12" s="1"/>
  <c r="H815" i="12" s="1"/>
  <c r="I815" i="12" s="1"/>
  <c r="G743" i="12" a="1"/>
  <c r="G743" i="12" s="1"/>
  <c r="H743" i="12" s="1"/>
  <c r="I743" i="12" s="1"/>
  <c r="G671" i="12" a="1"/>
  <c r="G671" i="12" s="1"/>
  <c r="H671" i="12" s="1"/>
  <c r="I671" i="12" s="1"/>
  <c r="G599" i="12" a="1"/>
  <c r="G599" i="12" s="1"/>
  <c r="H599" i="12" s="1"/>
  <c r="I599" i="12" s="1"/>
  <c r="G527" i="12" a="1"/>
  <c r="G527" i="12" s="1"/>
  <c r="H527" i="12" s="1"/>
  <c r="I527" i="12" s="1"/>
  <c r="G395" i="12" a="1"/>
  <c r="G395" i="12" s="1"/>
  <c r="H395" i="12" s="1"/>
  <c r="I395" i="12" s="1"/>
  <c r="G1966" i="12" a="1"/>
  <c r="G1966" i="12" s="1"/>
  <c r="H1966" i="12" s="1"/>
  <c r="G1882" i="12" a="1"/>
  <c r="G1882" i="12" s="1"/>
  <c r="H1882" i="12" s="1"/>
  <c r="G1810" i="12" a="1"/>
  <c r="G1810" i="12" s="1"/>
  <c r="H1810" i="12" s="1"/>
  <c r="G1690" i="12" a="1"/>
  <c r="G1690" i="12" s="1"/>
  <c r="H1690" i="12" s="1"/>
  <c r="I1690" i="12" s="1"/>
  <c r="G1630" i="12" a="1"/>
  <c r="G1630" i="12" s="1"/>
  <c r="H1630" i="12" s="1"/>
  <c r="I1630" i="12" s="1"/>
  <c r="G1570" i="12" a="1"/>
  <c r="G1570" i="12" s="1"/>
  <c r="H1570" i="12" s="1"/>
  <c r="I1570" i="12" s="1"/>
  <c r="G1510" i="12" a="1"/>
  <c r="G1510" i="12" s="1"/>
  <c r="H1510" i="12" s="1"/>
  <c r="I1510" i="12" s="1"/>
  <c r="G1450" i="12" a="1"/>
  <c r="G1450" i="12" s="1"/>
  <c r="H1450" i="12" s="1"/>
  <c r="I1450" i="12" s="1"/>
  <c r="G1366" i="12" a="1"/>
  <c r="G1366" i="12" s="1"/>
  <c r="H1366" i="12" s="1"/>
  <c r="I1366" i="12" s="1"/>
  <c r="G1306" i="12" a="1"/>
  <c r="G1306" i="12" s="1"/>
  <c r="H1306" i="12" s="1"/>
  <c r="I1306" i="12" s="1"/>
  <c r="G1246" i="12" a="1"/>
  <c r="G1246" i="12" s="1"/>
  <c r="H1246" i="12" s="1"/>
  <c r="I1246" i="12" s="1"/>
  <c r="G1174" i="12" a="1"/>
  <c r="G1174" i="12" s="1"/>
  <c r="H1174" i="12" s="1"/>
  <c r="I1174" i="12" s="1"/>
  <c r="G1078" i="12" a="1"/>
  <c r="G1078" i="12" s="1"/>
  <c r="H1078" i="12" s="1"/>
  <c r="I1078" i="12" s="1"/>
  <c r="G1042" i="12" a="1"/>
  <c r="G1042" i="12" s="1"/>
  <c r="H1042" i="12" s="1"/>
  <c r="I1042" i="12" s="1"/>
  <c r="G982" i="12" a="1"/>
  <c r="G982" i="12" s="1"/>
  <c r="H982" i="12" s="1"/>
  <c r="I982" i="12" s="1"/>
  <c r="G898" i="12" a="1"/>
  <c r="G898" i="12" s="1"/>
  <c r="H898" i="12" s="1"/>
  <c r="I898" i="12" s="1"/>
  <c r="G814" i="12" a="1"/>
  <c r="G814" i="12" s="1"/>
  <c r="H814" i="12" s="1"/>
  <c r="I814" i="12" s="1"/>
  <c r="G754" i="12" a="1"/>
  <c r="G754" i="12" s="1"/>
  <c r="H754" i="12" s="1"/>
  <c r="I754" i="12" s="1"/>
  <c r="G706" i="12" a="1"/>
  <c r="G706" i="12" s="1"/>
  <c r="H706" i="12" s="1"/>
  <c r="I706" i="12" s="1"/>
  <c r="G646" i="12" a="1"/>
  <c r="G646" i="12" s="1"/>
  <c r="H646" i="12" s="1"/>
  <c r="I646" i="12" s="1"/>
  <c r="G574" i="12" a="1"/>
  <c r="G574" i="12" s="1"/>
  <c r="H574" i="12" s="1"/>
  <c r="I574" i="12" s="1"/>
  <c r="G514" i="12" a="1"/>
  <c r="G514" i="12" s="1"/>
  <c r="H514" i="12" s="1"/>
  <c r="I514" i="12" s="1"/>
  <c r="G466" i="12" a="1"/>
  <c r="G466" i="12" s="1"/>
  <c r="H466" i="12" s="1"/>
  <c r="I466" i="12" s="1"/>
  <c r="G394" i="12" a="1"/>
  <c r="G394" i="12" s="1"/>
  <c r="H394" i="12" s="1"/>
  <c r="I394" i="12" s="1"/>
  <c r="G334" i="12" a="1"/>
  <c r="G334" i="12" s="1"/>
  <c r="H334" i="12" s="1"/>
  <c r="I334" i="12" s="1"/>
  <c r="G274" i="12" a="1"/>
  <c r="G274" i="12" s="1"/>
  <c r="H274" i="12" s="1"/>
  <c r="I274" i="12" s="1"/>
  <c r="G202" i="12" a="1"/>
  <c r="G202" i="12" s="1"/>
  <c r="H202" i="12" s="1"/>
  <c r="I202" i="12" s="1"/>
  <c r="G142" i="12" a="1"/>
  <c r="G142" i="12" s="1"/>
  <c r="H142" i="12" s="1"/>
  <c r="I142" i="12" s="1"/>
  <c r="G1977" i="12" a="1"/>
  <c r="G1977" i="12" s="1"/>
  <c r="H1977" i="12" s="1"/>
  <c r="G1917" i="12" a="1"/>
  <c r="G1917" i="12" s="1"/>
  <c r="H1917" i="12" s="1"/>
  <c r="G1857" i="12" a="1"/>
  <c r="G1857" i="12" s="1"/>
  <c r="H1857" i="12" s="1"/>
  <c r="G1773" i="12" a="1"/>
  <c r="G1773" i="12" s="1"/>
  <c r="H1773" i="12" s="1"/>
  <c r="G1689" i="12" a="1"/>
  <c r="G1689" i="12" s="1"/>
  <c r="H1689" i="12" s="1"/>
  <c r="I1689" i="12" s="1"/>
  <c r="G1593" i="12" a="1"/>
  <c r="G1593" i="12" s="1"/>
  <c r="H1593" i="12" s="1"/>
  <c r="I1593" i="12" s="1"/>
  <c r="G1521" i="12" a="1"/>
  <c r="G1521" i="12" s="1"/>
  <c r="H1521" i="12" s="1"/>
  <c r="I1521" i="12" s="1"/>
  <c r="G1365" i="12" a="1"/>
  <c r="G1365" i="12" s="1"/>
  <c r="H1365" i="12" s="1"/>
  <c r="I1365" i="12" s="1"/>
  <c r="G1317" i="12" a="1"/>
  <c r="G1317" i="12" s="1"/>
  <c r="H1317" i="12" s="1"/>
  <c r="I1317" i="12" s="1"/>
  <c r="G1988" i="12" a="1"/>
  <c r="G1988" i="12" s="1"/>
  <c r="H1988" i="12" s="1"/>
  <c r="G1928" i="12" a="1"/>
  <c r="G1928" i="12" s="1"/>
  <c r="H1928" i="12" s="1"/>
  <c r="G1844" i="12" a="1"/>
  <c r="G1844" i="12" s="1"/>
  <c r="H1844" i="12" s="1"/>
  <c r="G1784" i="12" a="1"/>
  <c r="G1784" i="12" s="1"/>
  <c r="H1784" i="12" s="1"/>
  <c r="G1712" i="12" a="1"/>
  <c r="G1712" i="12" s="1"/>
  <c r="H1712" i="12" s="1"/>
  <c r="I1712" i="12" s="1"/>
  <c r="G1664" i="12" a="1"/>
  <c r="G1664" i="12" s="1"/>
  <c r="H1664" i="12" s="1"/>
  <c r="I1664" i="12" s="1"/>
  <c r="G1580" i="12" a="1"/>
  <c r="G1580" i="12" s="1"/>
  <c r="H1580" i="12" s="1"/>
  <c r="I1580" i="12" s="1"/>
  <c r="G1520" i="12" a="1"/>
  <c r="G1520" i="12" s="1"/>
  <c r="H1520" i="12" s="1"/>
  <c r="I1520" i="12" s="1"/>
  <c r="G1448" i="12" a="1"/>
  <c r="G1448" i="12" s="1"/>
  <c r="H1448" i="12" s="1"/>
  <c r="I1448" i="12" s="1"/>
  <c r="G1376" i="12" a="1"/>
  <c r="G1376" i="12" s="1"/>
  <c r="H1376" i="12" s="1"/>
  <c r="I1376" i="12" s="1"/>
  <c r="G1304" i="12" a="1"/>
  <c r="G1304" i="12" s="1"/>
  <c r="H1304" i="12" s="1"/>
  <c r="I1304" i="12" s="1"/>
  <c r="G1232" i="12" a="1"/>
  <c r="G1232" i="12" s="1"/>
  <c r="H1232" i="12" s="1"/>
  <c r="I1232" i="12" s="1"/>
  <c r="G1124" i="12" a="1"/>
  <c r="G1124" i="12" s="1"/>
  <c r="H1124" i="12" s="1"/>
  <c r="I1124" i="12" s="1"/>
  <c r="G1668" i="12" a="1"/>
  <c r="G1668" i="12" s="1"/>
  <c r="H1668" i="12" s="1"/>
  <c r="I1668" i="12" s="1"/>
  <c r="G1596" i="12" a="1"/>
  <c r="G1596" i="12" s="1"/>
  <c r="H1596" i="12" s="1"/>
  <c r="I1596" i="12" s="1"/>
  <c r="G1500" i="12" a="1"/>
  <c r="G1500" i="12" s="1"/>
  <c r="H1500" i="12" s="1"/>
  <c r="I1500" i="12" s="1"/>
  <c r="G1428" i="12" a="1"/>
  <c r="G1428" i="12" s="1"/>
  <c r="H1428" i="12" s="1"/>
  <c r="I1428" i="12" s="1"/>
  <c r="G1368" i="12" a="1"/>
  <c r="G1368" i="12" s="1"/>
  <c r="H1368" i="12" s="1"/>
  <c r="I1368" i="12" s="1"/>
  <c r="G1296" i="12" a="1"/>
  <c r="G1296" i="12" s="1"/>
  <c r="H1296" i="12" s="1"/>
  <c r="I1296" i="12" s="1"/>
  <c r="G1224" i="12" a="1"/>
  <c r="G1224" i="12" s="1"/>
  <c r="H1224" i="12" s="1"/>
  <c r="I1224" i="12" s="1"/>
  <c r="G1152" i="12" a="1"/>
  <c r="G1152" i="12" s="1"/>
  <c r="H1152" i="12" s="1"/>
  <c r="I1152" i="12" s="1"/>
  <c r="G1068" i="12" a="1"/>
  <c r="G1068" i="12" s="1"/>
  <c r="H1068" i="12" s="1"/>
  <c r="I1068" i="12" s="1"/>
  <c r="G984" i="12" a="1"/>
  <c r="G984" i="12" s="1"/>
  <c r="H984" i="12" s="1"/>
  <c r="I984" i="12" s="1"/>
  <c r="G912" i="12" a="1"/>
  <c r="G912" i="12" s="1"/>
  <c r="H912" i="12" s="1"/>
  <c r="I912" i="12" s="1"/>
  <c r="G828" i="12" a="1"/>
  <c r="G828" i="12" s="1"/>
  <c r="H828" i="12" s="1"/>
  <c r="I828" i="12" s="1"/>
  <c r="G768" i="12" a="1"/>
  <c r="G768" i="12" s="1"/>
  <c r="H768" i="12" s="1"/>
  <c r="I768" i="12" s="1"/>
  <c r="G1991" i="12" a="1"/>
  <c r="G1991" i="12" s="1"/>
  <c r="H1991" i="12" s="1"/>
  <c r="G1919" i="12" a="1"/>
  <c r="G1919" i="12" s="1"/>
  <c r="H1919" i="12" s="1"/>
  <c r="G1847" i="12" a="1"/>
  <c r="G1847" i="12" s="1"/>
  <c r="H1847" i="12" s="1"/>
  <c r="G1775" i="12" a="1"/>
  <c r="G1775" i="12" s="1"/>
  <c r="H1775" i="12" s="1"/>
  <c r="G1715" i="12" a="1"/>
  <c r="G1715" i="12" s="1"/>
  <c r="H1715" i="12" s="1"/>
  <c r="I1715" i="12" s="1"/>
  <c r="G1643" i="12" a="1"/>
  <c r="G1643" i="12" s="1"/>
  <c r="H1643" i="12" s="1"/>
  <c r="I1643" i="12" s="1"/>
  <c r="G1595" i="12" a="1"/>
  <c r="G1595" i="12" s="1"/>
  <c r="H1595" i="12" s="1"/>
  <c r="I1595" i="12" s="1"/>
  <c r="G1523" i="12" a="1"/>
  <c r="G1523" i="12" s="1"/>
  <c r="H1523" i="12" s="1"/>
  <c r="I1523" i="12" s="1"/>
  <c r="G1487" i="12" a="1"/>
  <c r="G1487" i="12" s="1"/>
  <c r="H1487" i="12" s="1"/>
  <c r="I1487" i="12" s="1"/>
  <c r="G1403" i="12" a="1"/>
  <c r="G1403" i="12" s="1"/>
  <c r="H1403" i="12" s="1"/>
  <c r="I1403" i="12" s="1"/>
  <c r="G1331" i="12" a="1"/>
  <c r="G1331" i="12" s="1"/>
  <c r="H1331" i="12" s="1"/>
  <c r="I1331" i="12" s="1"/>
  <c r="G1271" i="12" a="1"/>
  <c r="G1271" i="12" s="1"/>
  <c r="H1271" i="12" s="1"/>
  <c r="I1271" i="12" s="1"/>
  <c r="G1211" i="12" a="1"/>
  <c r="G1211" i="12" s="1"/>
  <c r="H1211" i="12" s="1"/>
  <c r="I1211" i="12" s="1"/>
  <c r="G1139" i="12" a="1"/>
  <c r="G1139" i="12" s="1"/>
  <c r="H1139" i="12" s="1"/>
  <c r="I1139" i="12" s="1"/>
  <c r="G1067" i="12" a="1"/>
  <c r="G1067" i="12" s="1"/>
  <c r="H1067" i="12" s="1"/>
  <c r="I1067" i="12" s="1"/>
  <c r="G995" i="12" a="1"/>
  <c r="G995" i="12" s="1"/>
  <c r="H995" i="12" s="1"/>
  <c r="I995" i="12" s="1"/>
  <c r="G971" i="12" a="1"/>
  <c r="G971" i="12" s="1"/>
  <c r="H971" i="12" s="1"/>
  <c r="I971" i="12" s="1"/>
  <c r="G899" i="12" a="1"/>
  <c r="G899" i="12" s="1"/>
  <c r="H899" i="12" s="1"/>
  <c r="I899" i="12" s="1"/>
  <c r="G827" i="12" a="1"/>
  <c r="G827" i="12" s="1"/>
  <c r="H827" i="12" s="1"/>
  <c r="I827" i="12" s="1"/>
  <c r="G755" i="12" a="1"/>
  <c r="G755" i="12" s="1"/>
  <c r="H755" i="12" s="1"/>
  <c r="I755" i="12" s="1"/>
  <c r="G683" i="12" a="1"/>
  <c r="G683" i="12" s="1"/>
  <c r="H683" i="12" s="1"/>
  <c r="I683" i="12" s="1"/>
  <c r="G623" i="12" a="1"/>
  <c r="G623" i="12" s="1"/>
  <c r="H623" i="12" s="1"/>
  <c r="I623" i="12" s="1"/>
  <c r="G551" i="12" a="1"/>
  <c r="G551" i="12" s="1"/>
  <c r="H551" i="12" s="1"/>
  <c r="I551" i="12" s="1"/>
  <c r="G467" i="12" a="1"/>
  <c r="G467" i="12" s="1"/>
  <c r="H467" i="12" s="1"/>
  <c r="I467" i="12" s="1"/>
  <c r="G419" i="12" a="1"/>
  <c r="G419" i="12" s="1"/>
  <c r="H419" i="12" s="1"/>
  <c r="I419" i="12" s="1"/>
  <c r="G1978" i="12" a="1"/>
  <c r="G1978" i="12" s="1"/>
  <c r="H1978" i="12" s="1"/>
  <c r="G1894" i="12" a="1"/>
  <c r="G1894" i="12" s="1"/>
  <c r="H1894" i="12" s="1"/>
  <c r="G1834" i="12" a="1"/>
  <c r="G1834" i="12" s="1"/>
  <c r="H1834" i="12" s="1"/>
  <c r="G1762" i="12" a="1"/>
  <c r="G1762" i="12" s="1"/>
  <c r="H1762" i="12" s="1"/>
  <c r="G1714" i="12" a="1"/>
  <c r="G1714" i="12" s="1"/>
  <c r="H1714" i="12" s="1"/>
  <c r="I1714" i="12" s="1"/>
  <c r="G1678" i="12" a="1"/>
  <c r="G1678" i="12" s="1"/>
  <c r="H1678" i="12" s="1"/>
  <c r="I1678" i="12" s="1"/>
  <c r="G1618" i="12" a="1"/>
  <c r="G1618" i="12" s="1"/>
  <c r="H1618" i="12" s="1"/>
  <c r="I1618" i="12" s="1"/>
  <c r="G1558" i="12" a="1"/>
  <c r="G1558" i="12" s="1"/>
  <c r="H1558" i="12" s="1"/>
  <c r="I1558" i="12" s="1"/>
  <c r="G1498" i="12" a="1"/>
  <c r="G1498" i="12" s="1"/>
  <c r="H1498" i="12" s="1"/>
  <c r="I1498" i="12" s="1"/>
  <c r="G1438" i="12" a="1"/>
  <c r="G1438" i="12" s="1"/>
  <c r="H1438" i="12" s="1"/>
  <c r="I1438" i="12" s="1"/>
  <c r="G1378" i="12" a="1"/>
  <c r="G1378" i="12" s="1"/>
  <c r="H1378" i="12" s="1"/>
  <c r="I1378" i="12" s="1"/>
  <c r="G1318" i="12" a="1"/>
  <c r="G1318" i="12" s="1"/>
  <c r="H1318" i="12" s="1"/>
  <c r="I1318" i="12" s="1"/>
  <c r="G1270" i="12" a="1"/>
  <c r="G1270" i="12" s="1"/>
  <c r="H1270" i="12" s="1"/>
  <c r="I1270" i="12" s="1"/>
  <c r="G1198" i="12" a="1"/>
  <c r="G1198" i="12" s="1"/>
  <c r="H1198" i="12" s="1"/>
  <c r="I1198" i="12" s="1"/>
  <c r="G1138" i="12" a="1"/>
  <c r="G1138" i="12" s="1"/>
  <c r="H1138" i="12" s="1"/>
  <c r="I1138" i="12" s="1"/>
  <c r="G1090" i="12" a="1"/>
  <c r="G1090" i="12" s="1"/>
  <c r="H1090" i="12" s="1"/>
  <c r="I1090" i="12" s="1"/>
  <c r="G1054" i="12" a="1"/>
  <c r="G1054" i="12" s="1"/>
  <c r="H1054" i="12" s="1"/>
  <c r="I1054" i="12" s="1"/>
  <c r="G994" i="12" a="1"/>
  <c r="G994" i="12" s="1"/>
  <c r="H994" i="12" s="1"/>
  <c r="I994" i="12" s="1"/>
  <c r="G934" i="12" a="1"/>
  <c r="G934" i="12" s="1"/>
  <c r="H934" i="12" s="1"/>
  <c r="I934" i="12" s="1"/>
  <c r="G886" i="12" a="1"/>
  <c r="G886" i="12" s="1"/>
  <c r="H886" i="12" s="1"/>
  <c r="I886" i="12" s="1"/>
  <c r="G838" i="12" a="1"/>
  <c r="G838" i="12" s="1"/>
  <c r="H838" i="12" s="1"/>
  <c r="I838" i="12" s="1"/>
  <c r="G778" i="12" a="1"/>
  <c r="G778" i="12" s="1"/>
  <c r="H778" i="12" s="1"/>
  <c r="I778" i="12" s="1"/>
  <c r="G718" i="12" a="1"/>
  <c r="G718" i="12" s="1"/>
  <c r="H718" i="12" s="1"/>
  <c r="I718" i="12" s="1"/>
  <c r="G658" i="12" a="1"/>
  <c r="G658" i="12" s="1"/>
  <c r="H658" i="12" s="1"/>
  <c r="I658" i="12" s="1"/>
  <c r="G598" i="12" a="1"/>
  <c r="G598" i="12" s="1"/>
  <c r="H598" i="12" s="1"/>
  <c r="I598" i="12" s="1"/>
  <c r="G538" i="12" a="1"/>
  <c r="G538" i="12" s="1"/>
  <c r="H538" i="12" s="1"/>
  <c r="I538" i="12" s="1"/>
  <c r="G490" i="12" a="1"/>
  <c r="G490" i="12" s="1"/>
  <c r="H490" i="12" s="1"/>
  <c r="I490" i="12" s="1"/>
  <c r="G430" i="12" a="1"/>
  <c r="G430" i="12" s="1"/>
  <c r="H430" i="12" s="1"/>
  <c r="I430" i="12" s="1"/>
  <c r="G370" i="12" a="1"/>
  <c r="G370" i="12" s="1"/>
  <c r="H370" i="12" s="1"/>
  <c r="I370" i="12" s="1"/>
  <c r="G298" i="12" a="1"/>
  <c r="G298" i="12" s="1"/>
  <c r="H298" i="12" s="1"/>
  <c r="I298" i="12" s="1"/>
  <c r="G226" i="12" a="1"/>
  <c r="G226" i="12" s="1"/>
  <c r="H226" i="12" s="1"/>
  <c r="I226" i="12" s="1"/>
  <c r="G166" i="12" a="1"/>
  <c r="G166" i="12" s="1"/>
  <c r="H166" i="12" s="1"/>
  <c r="I166" i="12" s="1"/>
  <c r="G1989" i="12" a="1"/>
  <c r="G1989" i="12" s="1"/>
  <c r="H1989" i="12" s="1"/>
  <c r="G1929" i="12" a="1"/>
  <c r="G1929" i="12" s="1"/>
  <c r="H1929" i="12" s="1"/>
  <c r="G1809" i="12" a="1"/>
  <c r="G1809" i="12" s="1"/>
  <c r="H1809" i="12" s="1"/>
  <c r="G1713" i="12" a="1"/>
  <c r="G1713" i="12" s="1"/>
  <c r="H1713" i="12" s="1"/>
  <c r="I1713" i="12" s="1"/>
  <c r="G1641" i="12" a="1"/>
  <c r="G1641" i="12" s="1"/>
  <c r="H1641" i="12" s="1"/>
  <c r="I1641" i="12" s="1"/>
  <c r="G1569" i="12" a="1"/>
  <c r="G1569" i="12" s="1"/>
  <c r="H1569" i="12" s="1"/>
  <c r="I1569" i="12" s="1"/>
  <c r="G1497" i="12" a="1"/>
  <c r="G1497" i="12" s="1"/>
  <c r="H1497" i="12" s="1"/>
  <c r="I1497" i="12" s="1"/>
  <c r="G1425" i="12" a="1"/>
  <c r="G1425" i="12" s="1"/>
  <c r="H1425" i="12" s="1"/>
  <c r="I1425" i="12" s="1"/>
  <c r="G1377" i="12" a="1"/>
  <c r="G1377" i="12" s="1"/>
  <c r="H1377" i="12" s="1"/>
  <c r="I1377" i="12" s="1"/>
  <c r="G1305" i="12" a="1"/>
  <c r="G1305" i="12" s="1"/>
  <c r="H1305" i="12" s="1"/>
  <c r="I1305" i="12" s="1"/>
  <c r="G1964" i="12" a="1"/>
  <c r="G1964" i="12" s="1"/>
  <c r="H1964" i="12" s="1"/>
  <c r="G1904" i="12" a="1"/>
  <c r="G1904" i="12" s="1"/>
  <c r="H1904" i="12" s="1"/>
  <c r="G1832" i="12" a="1"/>
  <c r="G1832" i="12" s="1"/>
  <c r="H1832" i="12" s="1"/>
  <c r="G1796" i="12" a="1"/>
  <c r="G1796" i="12" s="1"/>
  <c r="H1796" i="12" s="1"/>
  <c r="G1736" i="12" a="1"/>
  <c r="G1736" i="12" s="1"/>
  <c r="H1736" i="12" s="1"/>
  <c r="G1676" i="12" a="1"/>
  <c r="G1676" i="12" s="1"/>
  <c r="H1676" i="12" s="1"/>
  <c r="I1676" i="12" s="1"/>
  <c r="G1628" i="12" a="1"/>
  <c r="G1628" i="12" s="1"/>
  <c r="H1628" i="12" s="1"/>
  <c r="I1628" i="12" s="1"/>
  <c r="G1568" i="12" a="1"/>
  <c r="G1568" i="12" s="1"/>
  <c r="H1568" i="12" s="1"/>
  <c r="I1568" i="12" s="1"/>
  <c r="G1508" i="12" a="1"/>
  <c r="G1508" i="12" s="1"/>
  <c r="H1508" i="12" s="1"/>
  <c r="I1508" i="12" s="1"/>
  <c r="G1436" i="12" a="1"/>
  <c r="G1436" i="12" s="1"/>
  <c r="H1436" i="12" s="1"/>
  <c r="I1436" i="12" s="1"/>
  <c r="G1364" i="12" a="1"/>
  <c r="G1364" i="12" s="1"/>
  <c r="H1364" i="12" s="1"/>
  <c r="I1364" i="12" s="1"/>
  <c r="G1292" i="12" a="1"/>
  <c r="G1292" i="12" s="1"/>
  <c r="H1292" i="12" s="1"/>
  <c r="I1292" i="12" s="1"/>
  <c r="G1184" i="12" a="1"/>
  <c r="G1184" i="12" s="1"/>
  <c r="H1184" i="12" s="1"/>
  <c r="I1184" i="12" s="1"/>
  <c r="G1112" i="12" a="1"/>
  <c r="G1112" i="12" s="1"/>
  <c r="H1112" i="12" s="1"/>
  <c r="I1112" i="12" s="1"/>
  <c r="G1746" i="12" a="1"/>
  <c r="G1746" i="12" s="1"/>
  <c r="H1746" i="12" s="1"/>
  <c r="G1963" i="12" a="1"/>
  <c r="G1963" i="12" s="1"/>
  <c r="H1963" i="12" s="1"/>
  <c r="G1903" i="12" a="1"/>
  <c r="G1903" i="12" s="1"/>
  <c r="H1903" i="12" s="1"/>
  <c r="G1831" i="12" a="1"/>
  <c r="G1831" i="12" s="1"/>
  <c r="H1831" i="12" s="1"/>
  <c r="G1771" i="12" a="1"/>
  <c r="G1771" i="12" s="1"/>
  <c r="H1771" i="12" s="1"/>
  <c r="G1699" i="12" a="1"/>
  <c r="G1699" i="12" s="1"/>
  <c r="H1699" i="12" s="1"/>
  <c r="I1699" i="12" s="1"/>
  <c r="G1639" i="12" a="1"/>
  <c r="G1639" i="12" s="1"/>
  <c r="H1639" i="12" s="1"/>
  <c r="I1639" i="12" s="1"/>
  <c r="G1579" i="12" a="1"/>
  <c r="G1579" i="12" s="1"/>
  <c r="H1579" i="12" s="1"/>
  <c r="I1579" i="12" s="1"/>
  <c r="G1519" i="12" a="1"/>
  <c r="G1519" i="12" s="1"/>
  <c r="H1519" i="12" s="1"/>
  <c r="I1519" i="12" s="1"/>
  <c r="G1459" i="12" a="1"/>
  <c r="G1459" i="12" s="1"/>
  <c r="H1459" i="12" s="1"/>
  <c r="I1459" i="12" s="1"/>
  <c r="G1447" i="12" a="1"/>
  <c r="G1447" i="12" s="1"/>
  <c r="H1447" i="12" s="1"/>
  <c r="I1447" i="12" s="1"/>
  <c r="G1435" i="12" a="1"/>
  <c r="G1435" i="12" s="1"/>
  <c r="H1435" i="12" s="1"/>
  <c r="I1435" i="12" s="1"/>
  <c r="G1423" i="12" a="1"/>
  <c r="G1423" i="12" s="1"/>
  <c r="H1423" i="12" s="1"/>
  <c r="I1423" i="12" s="1"/>
  <c r="G1411" i="12" a="1"/>
  <c r="G1411" i="12" s="1"/>
  <c r="H1411" i="12" s="1"/>
  <c r="I1411" i="12" s="1"/>
  <c r="G1399" i="12" a="1"/>
  <c r="G1399" i="12" s="1"/>
  <c r="H1399" i="12" s="1"/>
  <c r="I1399" i="12" s="1"/>
  <c r="G1387" i="12" a="1"/>
  <c r="G1387" i="12" s="1"/>
  <c r="H1387" i="12" s="1"/>
  <c r="I1387" i="12" s="1"/>
  <c r="G1375" i="12" a="1"/>
  <c r="G1375" i="12" s="1"/>
  <c r="H1375" i="12" s="1"/>
  <c r="I1375" i="12" s="1"/>
  <c r="G1363" i="12" a="1"/>
  <c r="G1363" i="12" s="1"/>
  <c r="H1363" i="12" s="1"/>
  <c r="I1363" i="12" s="1"/>
  <c r="G1351" i="12" a="1"/>
  <c r="G1351" i="12" s="1"/>
  <c r="H1351" i="12" s="1"/>
  <c r="I1351" i="12" s="1"/>
  <c r="G1339" i="12" a="1"/>
  <c r="G1339" i="12" s="1"/>
  <c r="H1339" i="12" s="1"/>
  <c r="I1339" i="12" s="1"/>
  <c r="G1327" i="12" a="1"/>
  <c r="G1327" i="12" s="1"/>
  <c r="H1327" i="12" s="1"/>
  <c r="I1327" i="12" s="1"/>
  <c r="G1315" i="12" a="1"/>
  <c r="G1315" i="12" s="1"/>
  <c r="H1315" i="12" s="1"/>
  <c r="I1315" i="12" s="1"/>
  <c r="G1303" i="12" a="1"/>
  <c r="G1303" i="12" s="1"/>
  <c r="H1303" i="12" s="1"/>
  <c r="I1303" i="12" s="1"/>
  <c r="G1291" i="12" a="1"/>
  <c r="G1291" i="12" s="1"/>
  <c r="H1291" i="12" s="1"/>
  <c r="I1291" i="12" s="1"/>
  <c r="G1279" i="12" a="1"/>
  <c r="G1279" i="12" s="1"/>
  <c r="H1279" i="12" s="1"/>
  <c r="I1279" i="12" s="1"/>
  <c r="G1267" i="12" a="1"/>
  <c r="G1267" i="12" s="1"/>
  <c r="H1267" i="12" s="1"/>
  <c r="I1267" i="12" s="1"/>
  <c r="G1255" i="12" a="1"/>
  <c r="G1255" i="12" s="1"/>
  <c r="H1255" i="12" s="1"/>
  <c r="I1255" i="12" s="1"/>
  <c r="G1243" i="12" a="1"/>
  <c r="G1243" i="12" s="1"/>
  <c r="H1243" i="12" s="1"/>
  <c r="I1243" i="12" s="1"/>
  <c r="G1992" i="12" a="1"/>
  <c r="G1992" i="12" s="1"/>
  <c r="H1992" i="12" s="1"/>
  <c r="G1920" i="12" a="1"/>
  <c r="G1920" i="12" s="1"/>
  <c r="H1920" i="12" s="1"/>
  <c r="G1860" i="12" a="1"/>
  <c r="G1860" i="12" s="1"/>
  <c r="H1860" i="12" s="1"/>
  <c r="G1788" i="12" a="1"/>
  <c r="G1788" i="12" s="1"/>
  <c r="H1788" i="12" s="1"/>
  <c r="G1716" i="12" a="1"/>
  <c r="G1716" i="12" s="1"/>
  <c r="H1716" i="12" s="1"/>
  <c r="I1716" i="12" s="1"/>
  <c r="G1632" i="12" a="1"/>
  <c r="G1632" i="12" s="1"/>
  <c r="H1632" i="12" s="1"/>
  <c r="I1632" i="12" s="1"/>
  <c r="G1536" i="12" a="1"/>
  <c r="G1536" i="12" s="1"/>
  <c r="H1536" i="12" s="1"/>
  <c r="I1536" i="12" s="1"/>
  <c r="G1452" i="12" a="1"/>
  <c r="G1452" i="12" s="1"/>
  <c r="H1452" i="12" s="1"/>
  <c r="I1452" i="12" s="1"/>
  <c r="G1356" i="12" a="1"/>
  <c r="G1356" i="12" s="1"/>
  <c r="H1356" i="12" s="1"/>
  <c r="I1356" i="12" s="1"/>
  <c r="G1260" i="12" a="1"/>
  <c r="G1260" i="12" s="1"/>
  <c r="H1260" i="12" s="1"/>
  <c r="I1260" i="12" s="1"/>
  <c r="G1176" i="12" a="1"/>
  <c r="G1176" i="12" s="1"/>
  <c r="H1176" i="12" s="1"/>
  <c r="I1176" i="12" s="1"/>
  <c r="G1092" i="12" a="1"/>
  <c r="G1092" i="12" s="1"/>
  <c r="H1092" i="12" s="1"/>
  <c r="I1092" i="12" s="1"/>
  <c r="G1020" i="12" a="1"/>
  <c r="G1020" i="12" s="1"/>
  <c r="H1020" i="12" s="1"/>
  <c r="I1020" i="12" s="1"/>
  <c r="G936" i="12" a="1"/>
  <c r="G936" i="12" s="1"/>
  <c r="H936" i="12" s="1"/>
  <c r="I936" i="12" s="1"/>
  <c r="G852" i="12" a="1"/>
  <c r="G852" i="12" s="1"/>
  <c r="H852" i="12" s="1"/>
  <c r="I852" i="12" s="1"/>
  <c r="G756" i="12" a="1"/>
  <c r="G756" i="12" s="1"/>
  <c r="H756" i="12" s="1"/>
  <c r="I756" i="12" s="1"/>
  <c r="G1967" i="12" a="1"/>
  <c r="G1967" i="12" s="1"/>
  <c r="H1967" i="12" s="1"/>
  <c r="G1895" i="12" a="1"/>
  <c r="G1895" i="12" s="1"/>
  <c r="H1895" i="12" s="1"/>
  <c r="G1799" i="12" a="1"/>
  <c r="G1799" i="12" s="1"/>
  <c r="H1799" i="12" s="1"/>
  <c r="G1739" i="12" a="1"/>
  <c r="G1739" i="12" s="1"/>
  <c r="H1739" i="12" s="1"/>
  <c r="G1691" i="12" a="1"/>
  <c r="G1691" i="12" s="1"/>
  <c r="H1691" i="12" s="1"/>
  <c r="I1691" i="12" s="1"/>
  <c r="G1619" i="12" a="1"/>
  <c r="G1619" i="12" s="1"/>
  <c r="H1619" i="12" s="1"/>
  <c r="I1619" i="12" s="1"/>
  <c r="G1547" i="12" a="1"/>
  <c r="G1547" i="12" s="1"/>
  <c r="H1547" i="12" s="1"/>
  <c r="I1547" i="12" s="1"/>
  <c r="G1463" i="12" a="1"/>
  <c r="G1463" i="12" s="1"/>
  <c r="H1463" i="12" s="1"/>
  <c r="I1463" i="12" s="1"/>
  <c r="G1379" i="12" a="1"/>
  <c r="G1379" i="12" s="1"/>
  <c r="H1379" i="12" s="1"/>
  <c r="I1379" i="12" s="1"/>
  <c r="G1295" i="12" a="1"/>
  <c r="G1295" i="12" s="1"/>
  <c r="H1295" i="12" s="1"/>
  <c r="I1295" i="12" s="1"/>
  <c r="G1223" i="12" a="1"/>
  <c r="G1223" i="12" s="1"/>
  <c r="H1223" i="12" s="1"/>
  <c r="I1223" i="12" s="1"/>
  <c r="G1151" i="12" a="1"/>
  <c r="G1151" i="12" s="1"/>
  <c r="H1151" i="12" s="1"/>
  <c r="I1151" i="12" s="1"/>
  <c r="G1079" i="12" a="1"/>
  <c r="G1079" i="12" s="1"/>
  <c r="H1079" i="12" s="1"/>
  <c r="I1079" i="12" s="1"/>
  <c r="G1007" i="12" a="1"/>
  <c r="G1007" i="12" s="1"/>
  <c r="H1007" i="12" s="1"/>
  <c r="I1007" i="12" s="1"/>
  <c r="G923" i="12" a="1"/>
  <c r="G923" i="12" s="1"/>
  <c r="H923" i="12" s="1"/>
  <c r="I923" i="12" s="1"/>
  <c r="G851" i="12" a="1"/>
  <c r="G851" i="12" s="1"/>
  <c r="H851" i="12" s="1"/>
  <c r="I851" i="12" s="1"/>
  <c r="G779" i="12" a="1"/>
  <c r="G779" i="12" s="1"/>
  <c r="H779" i="12" s="1"/>
  <c r="I779" i="12" s="1"/>
  <c r="G707" i="12" a="1"/>
  <c r="G707" i="12" s="1"/>
  <c r="H707" i="12" s="1"/>
  <c r="I707" i="12" s="1"/>
  <c r="G635" i="12" a="1"/>
  <c r="G635" i="12" s="1"/>
  <c r="H635" i="12" s="1"/>
  <c r="I635" i="12" s="1"/>
  <c r="G563" i="12" a="1"/>
  <c r="G563" i="12" s="1"/>
  <c r="H563" i="12" s="1"/>
  <c r="I563" i="12" s="1"/>
  <c r="G503" i="12" a="1"/>
  <c r="G503" i="12" s="1"/>
  <c r="H503" i="12" s="1"/>
  <c r="I503" i="12" s="1"/>
  <c r="G443" i="12" a="1"/>
  <c r="G443" i="12" s="1"/>
  <c r="H443" i="12" s="1"/>
  <c r="I443" i="12" s="1"/>
  <c r="G2002" i="12" a="1"/>
  <c r="G2002" i="12" s="1"/>
  <c r="H2002" i="12" s="1"/>
  <c r="G1930" i="12" a="1"/>
  <c r="G1930" i="12" s="1"/>
  <c r="H1930" i="12" s="1"/>
  <c r="G1858" i="12" a="1"/>
  <c r="G1858" i="12" s="1"/>
  <c r="H1858" i="12" s="1"/>
  <c r="G1786" i="12" a="1"/>
  <c r="G1786" i="12" s="1"/>
  <c r="H1786" i="12" s="1"/>
  <c r="G1738" i="12" a="1"/>
  <c r="G1738" i="12" s="1"/>
  <c r="H1738" i="12" s="1"/>
  <c r="G1654" i="12" a="1"/>
  <c r="G1654" i="12" s="1"/>
  <c r="H1654" i="12" s="1"/>
  <c r="I1654" i="12" s="1"/>
  <c r="G1582" i="12" a="1"/>
  <c r="G1582" i="12" s="1"/>
  <c r="H1582" i="12" s="1"/>
  <c r="I1582" i="12" s="1"/>
  <c r="G1522" i="12" a="1"/>
  <c r="G1522" i="12" s="1"/>
  <c r="H1522" i="12" s="1"/>
  <c r="I1522" i="12" s="1"/>
  <c r="G1474" i="12" a="1"/>
  <c r="G1474" i="12" s="1"/>
  <c r="H1474" i="12" s="1"/>
  <c r="I1474" i="12" s="1"/>
  <c r="G1402" i="12" a="1"/>
  <c r="G1402" i="12" s="1"/>
  <c r="H1402" i="12" s="1"/>
  <c r="I1402" i="12" s="1"/>
  <c r="G1342" i="12" a="1"/>
  <c r="G1342" i="12" s="1"/>
  <c r="H1342" i="12" s="1"/>
  <c r="I1342" i="12" s="1"/>
  <c r="G1282" i="12" a="1"/>
  <c r="G1282" i="12" s="1"/>
  <c r="H1282" i="12" s="1"/>
  <c r="I1282" i="12" s="1"/>
  <c r="G1222" i="12" a="1"/>
  <c r="G1222" i="12" s="1"/>
  <c r="H1222" i="12" s="1"/>
  <c r="I1222" i="12" s="1"/>
  <c r="G1162" i="12" a="1"/>
  <c r="G1162" i="12" s="1"/>
  <c r="H1162" i="12" s="1"/>
  <c r="I1162" i="12" s="1"/>
  <c r="G1114" i="12" a="1"/>
  <c r="G1114" i="12" s="1"/>
  <c r="H1114" i="12" s="1"/>
  <c r="I1114" i="12" s="1"/>
  <c r="G1018" i="12" a="1"/>
  <c r="G1018" i="12" s="1"/>
  <c r="H1018" i="12" s="1"/>
  <c r="I1018" i="12" s="1"/>
  <c r="G970" i="12" a="1"/>
  <c r="G970" i="12" s="1"/>
  <c r="H970" i="12" s="1"/>
  <c r="I970" i="12" s="1"/>
  <c r="G922" i="12" a="1"/>
  <c r="G922" i="12" s="1"/>
  <c r="H922" i="12" s="1"/>
  <c r="I922" i="12" s="1"/>
  <c r="G850" i="12" a="1"/>
  <c r="G850" i="12" s="1"/>
  <c r="H850" i="12" s="1"/>
  <c r="I850" i="12" s="1"/>
  <c r="G790" i="12" a="1"/>
  <c r="G790" i="12" s="1"/>
  <c r="H790" i="12" s="1"/>
  <c r="I790" i="12" s="1"/>
  <c r="G730" i="12" a="1"/>
  <c r="G730" i="12" s="1"/>
  <c r="H730" i="12" s="1"/>
  <c r="I730" i="12" s="1"/>
  <c r="G682" i="12" a="1"/>
  <c r="G682" i="12" s="1"/>
  <c r="H682" i="12" s="1"/>
  <c r="I682" i="12" s="1"/>
  <c r="G610" i="12" a="1"/>
  <c r="G610" i="12" s="1"/>
  <c r="H610" i="12" s="1"/>
  <c r="I610" i="12" s="1"/>
  <c r="G562" i="12" a="1"/>
  <c r="G562" i="12" s="1"/>
  <c r="H562" i="12" s="1"/>
  <c r="I562" i="12" s="1"/>
  <c r="G502" i="12" a="1"/>
  <c r="G502" i="12" s="1"/>
  <c r="H502" i="12" s="1"/>
  <c r="I502" i="12" s="1"/>
  <c r="G442" i="12" a="1"/>
  <c r="G442" i="12" s="1"/>
  <c r="H442" i="12" s="1"/>
  <c r="I442" i="12" s="1"/>
  <c r="G358" i="12" a="1"/>
  <c r="G358" i="12" s="1"/>
  <c r="H358" i="12" s="1"/>
  <c r="I358" i="12" s="1"/>
  <c r="G286" i="12" a="1"/>
  <c r="G286" i="12" s="1"/>
  <c r="H286" i="12" s="1"/>
  <c r="I286" i="12" s="1"/>
  <c r="G214" i="12" a="1"/>
  <c r="G214" i="12" s="1"/>
  <c r="H214" i="12" s="1"/>
  <c r="I214" i="12" s="1"/>
  <c r="G130" i="12" a="1"/>
  <c r="G130" i="12" s="1"/>
  <c r="H130" i="12" s="1"/>
  <c r="I130" i="12" s="1"/>
  <c r="G1965" i="12" a="1"/>
  <c r="G1965" i="12" s="1"/>
  <c r="H1965" i="12" s="1"/>
  <c r="G1893" i="12" a="1"/>
  <c r="G1893" i="12" s="1"/>
  <c r="H1893" i="12" s="1"/>
  <c r="G1821" i="12" a="1"/>
  <c r="G1821" i="12" s="1"/>
  <c r="H1821" i="12" s="1"/>
  <c r="G1737" i="12" a="1"/>
  <c r="G1737" i="12" s="1"/>
  <c r="H1737" i="12" s="1"/>
  <c r="G1653" i="12" a="1"/>
  <c r="G1653" i="12" s="1"/>
  <c r="H1653" i="12" s="1"/>
  <c r="I1653" i="12" s="1"/>
  <c r="G1557" i="12" a="1"/>
  <c r="G1557" i="12" s="1"/>
  <c r="H1557" i="12" s="1"/>
  <c r="I1557" i="12" s="1"/>
  <c r="G1485" i="12" a="1"/>
  <c r="G1485" i="12" s="1"/>
  <c r="H1485" i="12" s="1"/>
  <c r="I1485" i="12" s="1"/>
  <c r="G1449" i="12" a="1"/>
  <c r="G1449" i="12" s="1"/>
  <c r="H1449" i="12" s="1"/>
  <c r="I1449" i="12" s="1"/>
  <c r="G1353" i="12" a="1"/>
  <c r="G1353" i="12" s="1"/>
  <c r="H1353" i="12" s="1"/>
  <c r="I1353" i="12" s="1"/>
  <c r="G1293" i="12" a="1"/>
  <c r="G1293" i="12" s="1"/>
  <c r="H1293" i="12" s="1"/>
  <c r="I1293" i="12" s="1"/>
  <c r="G1976" i="12" a="1"/>
  <c r="G1976" i="12" s="1"/>
  <c r="H1976" i="12" s="1"/>
  <c r="G1892" i="12" a="1"/>
  <c r="G1892" i="12" s="1"/>
  <c r="H1892" i="12" s="1"/>
  <c r="G1820" i="12" a="1"/>
  <c r="G1820" i="12" s="1"/>
  <c r="H1820" i="12" s="1"/>
  <c r="G1760" i="12" a="1"/>
  <c r="G1760" i="12" s="1"/>
  <c r="H1760" i="12" s="1"/>
  <c r="G1700" i="12" a="1"/>
  <c r="G1700" i="12" s="1"/>
  <c r="H1700" i="12" s="1"/>
  <c r="I1700" i="12" s="1"/>
  <c r="G1640" i="12" a="1"/>
  <c r="G1640" i="12" s="1"/>
  <c r="H1640" i="12" s="1"/>
  <c r="I1640" i="12" s="1"/>
  <c r="G1592" i="12" a="1"/>
  <c r="G1592" i="12" s="1"/>
  <c r="H1592" i="12" s="1"/>
  <c r="I1592" i="12" s="1"/>
  <c r="G1532" i="12" a="1"/>
  <c r="G1532" i="12" s="1"/>
  <c r="H1532" i="12" s="1"/>
  <c r="I1532" i="12" s="1"/>
  <c r="G1472" i="12" a="1"/>
  <c r="G1472" i="12" s="1"/>
  <c r="H1472" i="12" s="1"/>
  <c r="I1472" i="12" s="1"/>
  <c r="G1400" i="12" a="1"/>
  <c r="G1400" i="12" s="1"/>
  <c r="H1400" i="12" s="1"/>
  <c r="I1400" i="12" s="1"/>
  <c r="G1328" i="12" a="1"/>
  <c r="G1328" i="12" s="1"/>
  <c r="H1328" i="12" s="1"/>
  <c r="I1328" i="12" s="1"/>
  <c r="G1256" i="12" a="1"/>
  <c r="G1256" i="12" s="1"/>
  <c r="H1256" i="12" s="1"/>
  <c r="I1256" i="12" s="1"/>
  <c r="G1196" i="12" a="1"/>
  <c r="G1196" i="12" s="1"/>
  <c r="H1196" i="12" s="1"/>
  <c r="I1196" i="12" s="1"/>
  <c r="G1136" i="12" a="1"/>
  <c r="G1136" i="12" s="1"/>
  <c r="H1136" i="12" s="1"/>
  <c r="I1136" i="12" s="1"/>
  <c r="G836" i="12" a="1"/>
  <c r="G836" i="12" s="1"/>
  <c r="H836" i="12" s="1"/>
  <c r="I836" i="12" s="1"/>
  <c r="G1987" i="12" a="1"/>
  <c r="G1987" i="12" s="1"/>
  <c r="H1987" i="12" s="1"/>
  <c r="G1915" i="12" a="1"/>
  <c r="G1915" i="12" s="1"/>
  <c r="H1915" i="12" s="1"/>
  <c r="G1855" i="12" a="1"/>
  <c r="G1855" i="12" s="1"/>
  <c r="H1855" i="12" s="1"/>
  <c r="G1807" i="12" a="1"/>
  <c r="G1807" i="12" s="1"/>
  <c r="H1807" i="12" s="1"/>
  <c r="G1759" i="12" a="1"/>
  <c r="G1759" i="12" s="1"/>
  <c r="H1759" i="12" s="1"/>
  <c r="G1687" i="12" a="1"/>
  <c r="G1687" i="12" s="1"/>
  <c r="H1687" i="12" s="1"/>
  <c r="I1687" i="12" s="1"/>
  <c r="G1627" i="12" a="1"/>
  <c r="G1627" i="12" s="1"/>
  <c r="H1627" i="12" s="1"/>
  <c r="I1627" i="12" s="1"/>
  <c r="G1567" i="12" a="1"/>
  <c r="G1567" i="12" s="1"/>
  <c r="H1567" i="12" s="1"/>
  <c r="I1567" i="12" s="1"/>
  <c r="G1507" i="12" a="1"/>
  <c r="G1507" i="12" s="1"/>
  <c r="H1507" i="12" s="1"/>
  <c r="I1507" i="12" s="1"/>
  <c r="G1998" i="12" a="1"/>
  <c r="G1998" i="12" s="1"/>
  <c r="H1998" i="12" s="1"/>
  <c r="G1950" i="12" a="1"/>
  <c r="G1950" i="12" s="1"/>
  <c r="H1950" i="12" s="1"/>
  <c r="G1902" i="12" a="1"/>
  <c r="G1902" i="12" s="1"/>
  <c r="H1902" i="12" s="1"/>
  <c r="G1674" i="12" a="1"/>
  <c r="G1674" i="12" s="1"/>
  <c r="H1674" i="12" s="1"/>
  <c r="I1674" i="12" s="1"/>
  <c r="G1852" i="12" a="1"/>
  <c r="G1852" i="12" s="1"/>
  <c r="H1852" i="12" s="1"/>
  <c r="G1710" i="12" a="1"/>
  <c r="G1710" i="12" s="1"/>
  <c r="H1710" i="12" s="1"/>
  <c r="I1710" i="12" s="1"/>
  <c r="G1394" i="12" a="1"/>
  <c r="G1394" i="12" s="1"/>
  <c r="H1394" i="12" s="1"/>
  <c r="I1394" i="12" s="1"/>
  <c r="G1772" i="12" a="1"/>
  <c r="G1772" i="12" s="1"/>
  <c r="H1772" i="12" s="1"/>
  <c r="G1724" i="12" a="1"/>
  <c r="G1724" i="12" s="1"/>
  <c r="H1724" i="12" s="1"/>
  <c r="G1652" i="12" a="1"/>
  <c r="G1652" i="12" s="1"/>
  <c r="H1652" i="12" s="1"/>
  <c r="I1652" i="12" s="1"/>
  <c r="G1604" i="12" a="1"/>
  <c r="G1604" i="12" s="1"/>
  <c r="H1604" i="12" s="1"/>
  <c r="I1604" i="12" s="1"/>
  <c r="G1544" i="12" a="1"/>
  <c r="G1544" i="12" s="1"/>
  <c r="H1544" i="12" s="1"/>
  <c r="I1544" i="12" s="1"/>
  <c r="G1484" i="12" a="1"/>
  <c r="G1484" i="12" s="1"/>
  <c r="H1484" i="12" s="1"/>
  <c r="I1484" i="12" s="1"/>
  <c r="G1412" i="12" a="1"/>
  <c r="G1412" i="12" s="1"/>
  <c r="H1412" i="12" s="1"/>
  <c r="I1412" i="12" s="1"/>
  <c r="G1340" i="12" a="1"/>
  <c r="G1340" i="12" s="1"/>
  <c r="H1340" i="12" s="1"/>
  <c r="I1340" i="12" s="1"/>
  <c r="G1268" i="12" a="1"/>
  <c r="G1268" i="12" s="1"/>
  <c r="H1268" i="12" s="1"/>
  <c r="I1268" i="12" s="1"/>
  <c r="G1208" i="12" a="1"/>
  <c r="G1208" i="12" s="1"/>
  <c r="H1208" i="12" s="1"/>
  <c r="I1208" i="12" s="1"/>
  <c r="G1148" i="12" a="1"/>
  <c r="G1148" i="12" s="1"/>
  <c r="H1148" i="12" s="1"/>
  <c r="I1148" i="12" s="1"/>
  <c r="G1076" i="12" a="1"/>
  <c r="G1076" i="12" s="1"/>
  <c r="H1076" i="12" s="1"/>
  <c r="I1076" i="12" s="1"/>
  <c r="G1999" i="12" a="1"/>
  <c r="G1999" i="12" s="1"/>
  <c r="H1999" i="12" s="1"/>
  <c r="G1927" i="12" a="1"/>
  <c r="G1927" i="12" s="1"/>
  <c r="H1927" i="12" s="1"/>
  <c r="G1795" i="12" a="1"/>
  <c r="G1795" i="12" s="1"/>
  <c r="H1795" i="12" s="1"/>
  <c r="G1735" i="12" a="1"/>
  <c r="G1735" i="12" s="1"/>
  <c r="H1735" i="12" s="1"/>
  <c r="G1663" i="12" a="1"/>
  <c r="G1663" i="12" s="1"/>
  <c r="H1663" i="12" s="1"/>
  <c r="I1663" i="12" s="1"/>
  <c r="G1603" i="12" a="1"/>
  <c r="G1603" i="12" s="1"/>
  <c r="H1603" i="12" s="1"/>
  <c r="I1603" i="12" s="1"/>
  <c r="G1555" i="12" a="1"/>
  <c r="G1555" i="12" s="1"/>
  <c r="H1555" i="12" s="1"/>
  <c r="I1555" i="12" s="1"/>
  <c r="G1495" i="12" a="1"/>
  <c r="G1495" i="12" s="1"/>
  <c r="H1495" i="12" s="1"/>
  <c r="I1495" i="12" s="1"/>
  <c r="G1962" i="12" a="1"/>
  <c r="G1962" i="12" s="1"/>
  <c r="H1962" i="12" s="1"/>
  <c r="G1914" i="12" a="1"/>
  <c r="G1914" i="12" s="1"/>
  <c r="H1914" i="12" s="1"/>
  <c r="G1878" i="12" a="1"/>
  <c r="G1878" i="12" s="1"/>
  <c r="H1878" i="12" s="1"/>
  <c r="G1494" i="12" a="1"/>
  <c r="G1494" i="12" s="1"/>
  <c r="H1494" i="12" s="1"/>
  <c r="I1494" i="12" s="1"/>
  <c r="G1997" i="12" a="1"/>
  <c r="G1997" i="12" s="1"/>
  <c r="H1997" i="12" s="1"/>
  <c r="G1973" i="12" a="1"/>
  <c r="G1973" i="12" s="1"/>
  <c r="H1973" i="12" s="1"/>
  <c r="G1961" i="12" a="1"/>
  <c r="G1961" i="12" s="1"/>
  <c r="H1961" i="12" s="1"/>
  <c r="G1949" i="12" a="1"/>
  <c r="G1949" i="12" s="1"/>
  <c r="H1949" i="12" s="1"/>
  <c r="G1937" i="12" a="1"/>
  <c r="G1937" i="12" s="1"/>
  <c r="H1937" i="12" s="1"/>
  <c r="G1925" i="12" a="1"/>
  <c r="G1925" i="12" s="1"/>
  <c r="H1925" i="12" s="1"/>
  <c r="G1913" i="12" a="1"/>
  <c r="G1913" i="12" s="1"/>
  <c r="H1913" i="12" s="1"/>
  <c r="G1901" i="12" a="1"/>
  <c r="G1901" i="12" s="1"/>
  <c r="H1901" i="12" s="1"/>
  <c r="G1889" i="12" a="1"/>
  <c r="G1889" i="12" s="1"/>
  <c r="H1889" i="12" s="1"/>
  <c r="G1877" i="12" a="1"/>
  <c r="G1877" i="12" s="1"/>
  <c r="H1877" i="12" s="1"/>
  <c r="G1853" i="12" a="1"/>
  <c r="G1853" i="12" s="1"/>
  <c r="H1853" i="12" s="1"/>
  <c r="G1829" i="12" a="1"/>
  <c r="G1829" i="12" s="1"/>
  <c r="H1829" i="12" s="1"/>
  <c r="G1745" i="12" a="1"/>
  <c r="G1745" i="12" s="1"/>
  <c r="H1745" i="12" s="1"/>
  <c r="G1529" i="12" a="1"/>
  <c r="G1529" i="12" s="1"/>
  <c r="H1529" i="12" s="1"/>
  <c r="I1529" i="12" s="1"/>
  <c r="G1827" i="12" a="1"/>
  <c r="G1827" i="12" s="1"/>
  <c r="H1827" i="12" s="1"/>
  <c r="G1833" i="12" a="1"/>
  <c r="G1833" i="12" s="1"/>
  <c r="H1833" i="12" s="1"/>
  <c r="G1749" i="12" a="1"/>
  <c r="G1749" i="12" s="1"/>
  <c r="H1749" i="12" s="1"/>
  <c r="G1665" i="12" a="1"/>
  <c r="G1665" i="12" s="1"/>
  <c r="H1665" i="12" s="1"/>
  <c r="I1665" i="12" s="1"/>
  <c r="G1581" i="12" a="1"/>
  <c r="G1581" i="12" s="1"/>
  <c r="H1581" i="12" s="1"/>
  <c r="I1581" i="12" s="1"/>
  <c r="G1509" i="12" a="1"/>
  <c r="G1509" i="12" s="1"/>
  <c r="H1509" i="12" s="1"/>
  <c r="I1509" i="12" s="1"/>
  <c r="G1461" i="12" a="1"/>
  <c r="G1461" i="12" s="1"/>
  <c r="H1461" i="12" s="1"/>
  <c r="I1461" i="12" s="1"/>
  <c r="G1401" i="12" a="1"/>
  <c r="G1401" i="12" s="1"/>
  <c r="H1401" i="12" s="1"/>
  <c r="I1401" i="12" s="1"/>
  <c r="G1329" i="12" a="1"/>
  <c r="G1329" i="12" s="1"/>
  <c r="H1329" i="12" s="1"/>
  <c r="I1329" i="12" s="1"/>
  <c r="G2000" i="12" a="1"/>
  <c r="G2000" i="12" s="1"/>
  <c r="H2000" i="12" s="1"/>
  <c r="G1940" i="12" a="1"/>
  <c r="G1940" i="12" s="1"/>
  <c r="H1940" i="12" s="1"/>
  <c r="G1856" i="12" a="1"/>
  <c r="G1856" i="12" s="1"/>
  <c r="H1856" i="12" s="1"/>
  <c r="G1808" i="12" a="1"/>
  <c r="G1808" i="12" s="1"/>
  <c r="H1808" i="12" s="1"/>
  <c r="G1748" i="12" a="1"/>
  <c r="G1748" i="12" s="1"/>
  <c r="H1748" i="12" s="1"/>
  <c r="G1688" i="12" a="1"/>
  <c r="G1688" i="12" s="1"/>
  <c r="H1688" i="12" s="1"/>
  <c r="I1688" i="12" s="1"/>
  <c r="G1616" i="12" a="1"/>
  <c r="G1616" i="12" s="1"/>
  <c r="H1616" i="12" s="1"/>
  <c r="I1616" i="12" s="1"/>
  <c r="G1556" i="12" a="1"/>
  <c r="G1556" i="12" s="1"/>
  <c r="H1556" i="12" s="1"/>
  <c r="I1556" i="12" s="1"/>
  <c r="G1496" i="12" a="1"/>
  <c r="G1496" i="12" s="1"/>
  <c r="H1496" i="12" s="1"/>
  <c r="I1496" i="12" s="1"/>
  <c r="G1424" i="12" a="1"/>
  <c r="G1424" i="12" s="1"/>
  <c r="H1424" i="12" s="1"/>
  <c r="I1424" i="12" s="1"/>
  <c r="G1352" i="12" a="1"/>
  <c r="G1352" i="12" s="1"/>
  <c r="H1352" i="12" s="1"/>
  <c r="I1352" i="12" s="1"/>
  <c r="G1280" i="12" a="1"/>
  <c r="G1280" i="12" s="1"/>
  <c r="H1280" i="12" s="1"/>
  <c r="I1280" i="12" s="1"/>
  <c r="G1220" i="12" a="1"/>
  <c r="G1220" i="12" s="1"/>
  <c r="H1220" i="12" s="1"/>
  <c r="I1220" i="12" s="1"/>
  <c r="G1172" i="12" a="1"/>
  <c r="G1172" i="12" s="1"/>
  <c r="H1172" i="12" s="1"/>
  <c r="I1172" i="12" s="1"/>
  <c r="G1088" i="12" a="1"/>
  <c r="G1088" i="12" s="1"/>
  <c r="H1088" i="12" s="1"/>
  <c r="I1088" i="12" s="1"/>
  <c r="G1975" i="12" a="1"/>
  <c r="G1975" i="12" s="1"/>
  <c r="H1975" i="12" s="1"/>
  <c r="G1891" i="12" a="1"/>
  <c r="G1891" i="12" s="1"/>
  <c r="H1891" i="12" s="1"/>
  <c r="G1867" i="12" a="1"/>
  <c r="G1867" i="12" s="1"/>
  <c r="H1867" i="12" s="1"/>
  <c r="G1819" i="12" a="1"/>
  <c r="G1819" i="12" s="1"/>
  <c r="H1819" i="12" s="1"/>
  <c r="G1747" i="12" a="1"/>
  <c r="G1747" i="12" s="1"/>
  <c r="H1747" i="12" s="1"/>
  <c r="G1675" i="12" a="1"/>
  <c r="G1675" i="12" s="1"/>
  <c r="H1675" i="12" s="1"/>
  <c r="I1675" i="12" s="1"/>
  <c r="G1615" i="12" a="1"/>
  <c r="G1615" i="12" s="1"/>
  <c r="H1615" i="12" s="1"/>
  <c r="I1615" i="12" s="1"/>
  <c r="G1543" i="12" a="1"/>
  <c r="G1543" i="12" s="1"/>
  <c r="H1543" i="12" s="1"/>
  <c r="I1543" i="12" s="1"/>
  <c r="G1483" i="12" a="1"/>
  <c r="G1483" i="12" s="1"/>
  <c r="H1483" i="12" s="1"/>
  <c r="I1483" i="12" s="1"/>
  <c r="G1986" i="12" a="1"/>
  <c r="G1986" i="12" s="1"/>
  <c r="H1986" i="12" s="1"/>
  <c r="G1938" i="12" a="1"/>
  <c r="G1938" i="12" s="1"/>
  <c r="H1938" i="12" s="1"/>
  <c r="G1890" i="12" a="1"/>
  <c r="G1890" i="12" s="1"/>
  <c r="H1890" i="12" s="1"/>
  <c r="G1578" i="12" a="1"/>
  <c r="G1578" i="12" s="1"/>
  <c r="H1578" i="12" s="1"/>
  <c r="I1578" i="12" s="1"/>
  <c r="G1985" i="12" a="1"/>
  <c r="G1985" i="12" s="1"/>
  <c r="H1985" i="12" s="1"/>
  <c r="G1996" i="12" a="1"/>
  <c r="G1996" i="12" s="1"/>
  <c r="H1996" i="12" s="1"/>
  <c r="G1984" i="12" a="1"/>
  <c r="G1984" i="12" s="1"/>
  <c r="H1984" i="12" s="1"/>
  <c r="G1972" i="12" a="1"/>
  <c r="G1972" i="12" s="1"/>
  <c r="H1972" i="12" s="1"/>
  <c r="G1948" i="12" a="1"/>
  <c r="G1948" i="12" s="1"/>
  <c r="H1948" i="12" s="1"/>
  <c r="G1936" i="12" a="1"/>
  <c r="G1936" i="12" s="1"/>
  <c r="H1936" i="12" s="1"/>
  <c r="G1924" i="12" a="1"/>
  <c r="G1924" i="12" s="1"/>
  <c r="H1924" i="12" s="1"/>
  <c r="G1912" i="12" a="1"/>
  <c r="G1912" i="12" s="1"/>
  <c r="H1912" i="12" s="1"/>
  <c r="G1900" i="12" a="1"/>
  <c r="G1900" i="12" s="1"/>
  <c r="H1900" i="12" s="1"/>
  <c r="G1888" i="12" a="1"/>
  <c r="G1888" i="12" s="1"/>
  <c r="H1888" i="12" s="1"/>
  <c r="G1876" i="12" a="1"/>
  <c r="G1876" i="12" s="1"/>
  <c r="H1876" i="12" s="1"/>
  <c r="G1864" i="12" a="1"/>
  <c r="G1864" i="12" s="1"/>
  <c r="H1864" i="12" s="1"/>
  <c r="G1840" i="12" a="1"/>
  <c r="G1840" i="12" s="1"/>
  <c r="H1840" i="12" s="1"/>
  <c r="G1828" i="12" a="1"/>
  <c r="G1828" i="12" s="1"/>
  <c r="H1828" i="12" s="1"/>
  <c r="G1816" i="12" a="1"/>
  <c r="G1816" i="12" s="1"/>
  <c r="H1816" i="12" s="1"/>
  <c r="G1504" i="12" a="1"/>
  <c r="G1504" i="12" s="1"/>
  <c r="H1504" i="12" s="1"/>
  <c r="I1504" i="12" s="1"/>
  <c r="G1686" i="12" a="1"/>
  <c r="G1686" i="12" s="1"/>
  <c r="H1686" i="12" s="1"/>
  <c r="I1686" i="12" s="1"/>
  <c r="G1206" i="12" a="1"/>
  <c r="G1206" i="12" s="1"/>
  <c r="H1206" i="12" s="1"/>
  <c r="I1206" i="12" s="1"/>
  <c r="G1932" i="12" a="1"/>
  <c r="G1932" i="12" s="1"/>
  <c r="H1932" i="12" s="1"/>
  <c r="G1884" i="12" a="1"/>
  <c r="G1884" i="12" s="1"/>
  <c r="H1884" i="12" s="1"/>
  <c r="G1800" i="12" a="1"/>
  <c r="G1800" i="12" s="1"/>
  <c r="H1800" i="12" s="1"/>
  <c r="G1728" i="12" a="1"/>
  <c r="G1728" i="12" s="1"/>
  <c r="H1728" i="12" s="1"/>
  <c r="G418" i="12" a="1"/>
  <c r="G418" i="12" s="1"/>
  <c r="H418" i="12" s="1"/>
  <c r="I418" i="12" s="1"/>
  <c r="G322" i="12" a="1"/>
  <c r="G322" i="12" s="1"/>
  <c r="H322" i="12" s="1"/>
  <c r="I322" i="12" s="1"/>
  <c r="G238" i="12" a="1"/>
  <c r="G238" i="12" s="1"/>
  <c r="H238" i="12" s="1"/>
  <c r="I238" i="12" s="1"/>
  <c r="G154" i="12" a="1"/>
  <c r="G154" i="12" s="1"/>
  <c r="H154" i="12" s="1"/>
  <c r="I154" i="12" s="1"/>
  <c r="G1953" i="12" a="1"/>
  <c r="G1953" i="12" s="1"/>
  <c r="H1953" i="12" s="1"/>
  <c r="G1845" i="12" a="1"/>
  <c r="G1845" i="12" s="1"/>
  <c r="H1845" i="12" s="1"/>
  <c r="G1761" i="12" a="1"/>
  <c r="G1761" i="12" s="1"/>
  <c r="H1761" i="12" s="1"/>
  <c r="G1677" i="12" a="1"/>
  <c r="G1677" i="12" s="1"/>
  <c r="H1677" i="12" s="1"/>
  <c r="I1677" i="12" s="1"/>
  <c r="G1605" i="12" a="1"/>
  <c r="G1605" i="12" s="1"/>
  <c r="H1605" i="12" s="1"/>
  <c r="I1605" i="12" s="1"/>
  <c r="G1533" i="12" a="1"/>
  <c r="G1533" i="12" s="1"/>
  <c r="H1533" i="12" s="1"/>
  <c r="I1533" i="12" s="1"/>
  <c r="G1437" i="12" a="1"/>
  <c r="G1437" i="12" s="1"/>
  <c r="H1437" i="12" s="1"/>
  <c r="I1437" i="12" s="1"/>
  <c r="G1389" i="12" a="1"/>
  <c r="G1389" i="12" s="1"/>
  <c r="H1389" i="12" s="1"/>
  <c r="I1389" i="12" s="1"/>
  <c r="G1281" i="12" a="1"/>
  <c r="G1281" i="12" s="1"/>
  <c r="H1281" i="12" s="1"/>
  <c r="I1281" i="12" s="1"/>
  <c r="G1952" i="12" a="1"/>
  <c r="G1952" i="12" s="1"/>
  <c r="H1952" i="12" s="1"/>
  <c r="G1880" i="12" a="1"/>
  <c r="G1880" i="12" s="1"/>
  <c r="H1880" i="12" s="1"/>
  <c r="G1460" i="12" a="1"/>
  <c r="G1460" i="12" s="1"/>
  <c r="H1460" i="12" s="1"/>
  <c r="I1460" i="12" s="1"/>
  <c r="G1388" i="12" a="1"/>
  <c r="G1388" i="12" s="1"/>
  <c r="H1388" i="12" s="1"/>
  <c r="I1388" i="12" s="1"/>
  <c r="G1316" i="12" a="1"/>
  <c r="G1316" i="12" s="1"/>
  <c r="H1316" i="12" s="1"/>
  <c r="I1316" i="12" s="1"/>
  <c r="G1244" i="12" a="1"/>
  <c r="G1244" i="12" s="1"/>
  <c r="H1244" i="12" s="1"/>
  <c r="I1244" i="12" s="1"/>
  <c r="G1160" i="12" a="1"/>
  <c r="G1160" i="12" s="1"/>
  <c r="H1160" i="12" s="1"/>
  <c r="I1160" i="12" s="1"/>
  <c r="G1100" i="12" a="1"/>
  <c r="G1100" i="12" s="1"/>
  <c r="H1100" i="12" s="1"/>
  <c r="I1100" i="12" s="1"/>
  <c r="G1951" i="12" a="1"/>
  <c r="G1951" i="12" s="1"/>
  <c r="H1951" i="12" s="1"/>
  <c r="G1879" i="12" a="1"/>
  <c r="G1879" i="12" s="1"/>
  <c r="H1879" i="12" s="1"/>
  <c r="G1843" i="12" a="1"/>
  <c r="G1843" i="12" s="1"/>
  <c r="H1843" i="12" s="1"/>
  <c r="G1783" i="12" a="1"/>
  <c r="G1783" i="12" s="1"/>
  <c r="H1783" i="12" s="1"/>
  <c r="G1723" i="12" a="1"/>
  <c r="G1723" i="12" s="1"/>
  <c r="H1723" i="12" s="1"/>
  <c r="G1651" i="12" a="1"/>
  <c r="G1651" i="12" s="1"/>
  <c r="H1651" i="12" s="1"/>
  <c r="I1651" i="12" s="1"/>
  <c r="G1591" i="12" a="1"/>
  <c r="G1591" i="12" s="1"/>
  <c r="H1591" i="12" s="1"/>
  <c r="I1591" i="12" s="1"/>
  <c r="G1531" i="12" a="1"/>
  <c r="G1531" i="12" s="1"/>
  <c r="H1531" i="12" s="1"/>
  <c r="I1531" i="12" s="1"/>
  <c r="G1471" i="12" a="1"/>
  <c r="G1471" i="12" s="1"/>
  <c r="H1471" i="12" s="1"/>
  <c r="I1471" i="12" s="1"/>
  <c r="G1974" i="12" a="1"/>
  <c r="G1974" i="12" s="1"/>
  <c r="H1974" i="12" s="1"/>
  <c r="G1926" i="12" a="1"/>
  <c r="G1926" i="12" s="1"/>
  <c r="H1926" i="12" s="1"/>
  <c r="G1866" i="12" a="1"/>
  <c r="G1866" i="12" s="1"/>
  <c r="H1866" i="12" s="1"/>
  <c r="G1302" i="12" a="1"/>
  <c r="G1302" i="12" s="1"/>
  <c r="H1302" i="12" s="1"/>
  <c r="I1302" i="12" s="1"/>
  <c r="G1995" i="12" a="1"/>
  <c r="G1995" i="12" s="1"/>
  <c r="H1995" i="12" s="1"/>
  <c r="G1983" i="12" a="1"/>
  <c r="G1983" i="12" s="1"/>
  <c r="H1983" i="12" s="1"/>
  <c r="G1971" i="12" a="1"/>
  <c r="G1971" i="12" s="1"/>
  <c r="H1971" i="12" s="1"/>
  <c r="G1959" i="12" a="1"/>
  <c r="G1959" i="12" s="1"/>
  <c r="H1959" i="12" s="1"/>
  <c r="G1947" i="12" a="1"/>
  <c r="G1947" i="12" s="1"/>
  <c r="H1947" i="12" s="1"/>
  <c r="G1935" i="12" a="1"/>
  <c r="G1935" i="12" s="1"/>
  <c r="H1935" i="12" s="1"/>
  <c r="G1923" i="12" a="1"/>
  <c r="G1923" i="12" s="1"/>
  <c r="H1923" i="12" s="1"/>
  <c r="G1911" i="12" a="1"/>
  <c r="G1911" i="12" s="1"/>
  <c r="H1911" i="12" s="1"/>
  <c r="G1899" i="12" a="1"/>
  <c r="G1899" i="12" s="1"/>
  <c r="H1899" i="12" s="1"/>
  <c r="G1887" i="12" a="1"/>
  <c r="G1887" i="12" s="1"/>
  <c r="H1887" i="12" s="1"/>
  <c r="G1875" i="12" a="1"/>
  <c r="G1875" i="12" s="1"/>
  <c r="H1875" i="12" s="1"/>
  <c r="G1851" i="12" a="1"/>
  <c r="G1851" i="12" s="1"/>
  <c r="H1851" i="12" s="1"/>
  <c r="G1683" i="12" a="1"/>
  <c r="G1683" i="12" s="1"/>
  <c r="H1683" i="12" s="1"/>
  <c r="I1683" i="12" s="1"/>
  <c r="G1431" i="12" a="1"/>
  <c r="G1431" i="12" s="1"/>
  <c r="H1431" i="12" s="1"/>
  <c r="I1431" i="12" s="1"/>
  <c r="G1797" i="12" a="1"/>
  <c r="G1797" i="12" s="1"/>
  <c r="H1797" i="12" s="1"/>
  <c r="G1725" i="12" a="1"/>
  <c r="G1725" i="12" s="1"/>
  <c r="H1725" i="12" s="1"/>
  <c r="G1629" i="12" a="1"/>
  <c r="G1629" i="12" s="1"/>
  <c r="H1629" i="12" s="1"/>
  <c r="I1629" i="12" s="1"/>
  <c r="G2006" i="12" a="1"/>
  <c r="G2006" i="12" s="1"/>
  <c r="H2006" i="12" s="1"/>
  <c r="G1994" i="12" a="1"/>
  <c r="G1994" i="12" s="1"/>
  <c r="H1994" i="12" s="1"/>
  <c r="G1982" i="12" a="1"/>
  <c r="G1982" i="12" s="1"/>
  <c r="H1982" i="12" s="1"/>
  <c r="G1970" i="12" a="1"/>
  <c r="G1970" i="12" s="1"/>
  <c r="H1970" i="12" s="1"/>
  <c r="G1958" i="12" a="1"/>
  <c r="G1958" i="12" s="1"/>
  <c r="H1958" i="12" s="1"/>
  <c r="G1946" i="12" a="1"/>
  <c r="G1946" i="12" s="1"/>
  <c r="H1946" i="12" s="1"/>
  <c r="G1934" i="12" a="1"/>
  <c r="G1934" i="12" s="1"/>
  <c r="H1934" i="12" s="1"/>
  <c r="G1922" i="12" a="1"/>
  <c r="G1922" i="12" s="1"/>
  <c r="H1922" i="12" s="1"/>
  <c r="G1910" i="12" a="1"/>
  <c r="G1910" i="12" s="1"/>
  <c r="H1910" i="12" s="1"/>
  <c r="G1898" i="12" a="1"/>
  <c r="G1898" i="12" s="1"/>
  <c r="H1898" i="12" s="1"/>
  <c r="G1886" i="12" a="1"/>
  <c r="G1886" i="12" s="1"/>
  <c r="H1886" i="12" s="1"/>
  <c r="G1874" i="12" a="1"/>
  <c r="G1874" i="12" s="1"/>
  <c r="H1874" i="12" s="1"/>
  <c r="G1862" i="12" a="1"/>
  <c r="G1862" i="12" s="1"/>
  <c r="H1862" i="12" s="1"/>
  <c r="G1850" i="12" a="1"/>
  <c r="G1850" i="12" s="1"/>
  <c r="H1850" i="12" s="1"/>
  <c r="G1838" i="12" a="1"/>
  <c r="G1838" i="12" s="1"/>
  <c r="H1838" i="12" s="1"/>
  <c r="G1826" i="12" a="1"/>
  <c r="G1826" i="12" s="1"/>
  <c r="H1826" i="12" s="1"/>
  <c r="G1814" i="12" a="1"/>
  <c r="G1814" i="12" s="1"/>
  <c r="H1814" i="12" s="1"/>
  <c r="G1802" i="12" a="1"/>
  <c r="G1802" i="12" s="1"/>
  <c r="H1802" i="12" s="1"/>
  <c r="G1790" i="12" a="1"/>
  <c r="G1790" i="12" s="1"/>
  <c r="H1790" i="12" s="1"/>
  <c r="G1778" i="12" a="1"/>
  <c r="G1778" i="12" s="1"/>
  <c r="H1778" i="12" s="1"/>
  <c r="G1754" i="12" a="1"/>
  <c r="G1754" i="12" s="1"/>
  <c r="H1754" i="12" s="1"/>
  <c r="G1742" i="12" a="1"/>
  <c r="G1742" i="12" s="1"/>
  <c r="H1742" i="12" s="1"/>
  <c r="G1730" i="12" a="1"/>
  <c r="G1730" i="12" s="1"/>
  <c r="H1730" i="12" s="1"/>
  <c r="G1718" i="12" a="1"/>
  <c r="G1718" i="12" s="1"/>
  <c r="H1718" i="12" s="1"/>
  <c r="I1718" i="12" s="1"/>
  <c r="G1706" i="12" a="1"/>
  <c r="G1706" i="12" s="1"/>
  <c r="H1706" i="12" s="1"/>
  <c r="I1706" i="12" s="1"/>
  <c r="G1694" i="12" a="1"/>
  <c r="G1694" i="12" s="1"/>
  <c r="H1694" i="12" s="1"/>
  <c r="I1694" i="12" s="1"/>
  <c r="G1682" i="12" a="1"/>
  <c r="G1682" i="12" s="1"/>
  <c r="H1682" i="12" s="1"/>
  <c r="I1682" i="12" s="1"/>
  <c r="G1670" i="12" a="1"/>
  <c r="G1670" i="12" s="1"/>
  <c r="H1670" i="12" s="1"/>
  <c r="I1670" i="12" s="1"/>
  <c r="G1658" i="12" a="1"/>
  <c r="G1658" i="12" s="1"/>
  <c r="H1658" i="12" s="1"/>
  <c r="I1658" i="12" s="1"/>
  <c r="G1646" i="12" a="1"/>
  <c r="G1646" i="12" s="1"/>
  <c r="H1646" i="12" s="1"/>
  <c r="I1646" i="12" s="1"/>
  <c r="G1634" i="12" a="1"/>
  <c r="G1634" i="12" s="1"/>
  <c r="H1634" i="12" s="1"/>
  <c r="I1634" i="12" s="1"/>
  <c r="G1622" i="12" a="1"/>
  <c r="G1622" i="12" s="1"/>
  <c r="H1622" i="12" s="1"/>
  <c r="I1622" i="12" s="1"/>
  <c r="G1610" i="12" a="1"/>
  <c r="G1610" i="12" s="1"/>
  <c r="H1610" i="12" s="1"/>
  <c r="I1610" i="12" s="1"/>
  <c r="G1598" i="12" a="1"/>
  <c r="G1598" i="12" s="1"/>
  <c r="H1598" i="12" s="1"/>
  <c r="I1598" i="12" s="1"/>
  <c r="G1574" i="12" a="1"/>
  <c r="G1574" i="12" s="1"/>
  <c r="H1574" i="12" s="1"/>
  <c r="I1574" i="12" s="1"/>
  <c r="G1562" i="12" a="1"/>
  <c r="G1562" i="12" s="1"/>
  <c r="H1562" i="12" s="1"/>
  <c r="I1562" i="12" s="1"/>
  <c r="G1550" i="12" a="1"/>
  <c r="G1550" i="12" s="1"/>
  <c r="H1550" i="12" s="1"/>
  <c r="I1550" i="12" s="1"/>
  <c r="G1538" i="12" a="1"/>
  <c r="G1538" i="12" s="1"/>
  <c r="H1538" i="12" s="1"/>
  <c r="I1538" i="12" s="1"/>
  <c r="G1526" i="12" a="1"/>
  <c r="G1526" i="12" s="1"/>
  <c r="H1526" i="12" s="1"/>
  <c r="I1526" i="12" s="1"/>
  <c r="G1514" i="12" a="1"/>
  <c r="G1514" i="12" s="1"/>
  <c r="H1514" i="12" s="1"/>
  <c r="I1514" i="12" s="1"/>
  <c r="G1502" i="12" a="1"/>
  <c r="G1502" i="12" s="1"/>
  <c r="H1502" i="12" s="1"/>
  <c r="I1502" i="12" s="1"/>
  <c r="G1490" i="12" a="1"/>
  <c r="G1490" i="12" s="1"/>
  <c r="H1490" i="12" s="1"/>
  <c r="I1490" i="12" s="1"/>
  <c r="G1478" i="12" a="1"/>
  <c r="G1478" i="12" s="1"/>
  <c r="H1478" i="12" s="1"/>
  <c r="I1478" i="12" s="1"/>
  <c r="G1466" i="12" a="1"/>
  <c r="G1466" i="12" s="1"/>
  <c r="H1466" i="12" s="1"/>
  <c r="I1466" i="12" s="1"/>
  <c r="G1454" i="12" a="1"/>
  <c r="G1454" i="12" s="1"/>
  <c r="H1454" i="12" s="1"/>
  <c r="I1454" i="12" s="1"/>
  <c r="G1442" i="12" a="1"/>
  <c r="G1442" i="12" s="1"/>
  <c r="H1442" i="12" s="1"/>
  <c r="I1442" i="12" s="1"/>
  <c r="G1430" i="12" a="1"/>
  <c r="G1430" i="12" s="1"/>
  <c r="H1430" i="12" s="1"/>
  <c r="I1430" i="12" s="1"/>
  <c r="G722" i="12" a="1"/>
  <c r="G722" i="12" s="1"/>
  <c r="H722" i="12" s="1"/>
  <c r="I722" i="12" s="1"/>
  <c r="G1083" i="12" a="1"/>
  <c r="G1083" i="12" s="1"/>
  <c r="H1083" i="12" s="1"/>
  <c r="I1083" i="12" s="1"/>
  <c r="G1021" i="12" a="1"/>
  <c r="G1021" i="12" s="1"/>
  <c r="H1021" i="12" s="1"/>
  <c r="I1021" i="12" s="1"/>
  <c r="G1009" i="12" a="1"/>
  <c r="G1009" i="12" s="1"/>
  <c r="H1009" i="12" s="1"/>
  <c r="I1009" i="12" s="1"/>
  <c r="G997" i="12" a="1"/>
  <c r="G997" i="12" s="1"/>
  <c r="H997" i="12" s="1"/>
  <c r="I997" i="12" s="1"/>
  <c r="G985" i="12" a="1"/>
  <c r="G985" i="12" s="1"/>
  <c r="H985" i="12" s="1"/>
  <c r="I985" i="12" s="1"/>
  <c r="G973" i="12" a="1"/>
  <c r="G973" i="12" s="1"/>
  <c r="H973" i="12" s="1"/>
  <c r="I973" i="12" s="1"/>
  <c r="G961" i="12" a="1"/>
  <c r="G961" i="12" s="1"/>
  <c r="H961" i="12" s="1"/>
  <c r="I961" i="12" s="1"/>
  <c r="G949" i="12" a="1"/>
  <c r="G949" i="12" s="1"/>
  <c r="H949" i="12" s="1"/>
  <c r="I949" i="12" s="1"/>
  <c r="G937" i="12" a="1"/>
  <c r="G937" i="12" s="1"/>
  <c r="H937" i="12" s="1"/>
  <c r="I937" i="12" s="1"/>
  <c r="G925" i="12" a="1"/>
  <c r="G925" i="12" s="1"/>
  <c r="H925" i="12" s="1"/>
  <c r="I925" i="12" s="1"/>
  <c r="G913" i="12" a="1"/>
  <c r="G913" i="12" s="1"/>
  <c r="H913" i="12" s="1"/>
  <c r="I913" i="12" s="1"/>
  <c r="G901" i="12" a="1"/>
  <c r="G901" i="12" s="1"/>
  <c r="H901" i="12" s="1"/>
  <c r="I901" i="12" s="1"/>
  <c r="G889" i="12" a="1"/>
  <c r="G889" i="12" s="1"/>
  <c r="H889" i="12" s="1"/>
  <c r="I889" i="12" s="1"/>
  <c r="G877" i="12" a="1"/>
  <c r="G877" i="12" s="1"/>
  <c r="H877" i="12" s="1"/>
  <c r="I877" i="12" s="1"/>
  <c r="G865" i="12" a="1"/>
  <c r="G865" i="12" s="1"/>
  <c r="H865" i="12" s="1"/>
  <c r="I865" i="12" s="1"/>
  <c r="G853" i="12" a="1"/>
  <c r="G853" i="12" s="1"/>
  <c r="H853" i="12" s="1"/>
  <c r="I853" i="12" s="1"/>
  <c r="G841" i="12" a="1"/>
  <c r="G841" i="12" s="1"/>
  <c r="H841" i="12" s="1"/>
  <c r="I841" i="12" s="1"/>
  <c r="G829" i="12" a="1"/>
  <c r="G829" i="12" s="1"/>
  <c r="H829" i="12" s="1"/>
  <c r="I829" i="12" s="1"/>
  <c r="G817" i="12" a="1"/>
  <c r="G817" i="12" s="1"/>
  <c r="H817" i="12" s="1"/>
  <c r="I817" i="12" s="1"/>
  <c r="G805" i="12" a="1"/>
  <c r="G805" i="12" s="1"/>
  <c r="H805" i="12" s="1"/>
  <c r="I805" i="12" s="1"/>
  <c r="G793" i="12" a="1"/>
  <c r="G793" i="12" s="1"/>
  <c r="H793" i="12" s="1"/>
  <c r="I793" i="12" s="1"/>
  <c r="G781" i="12" a="1"/>
  <c r="G781" i="12" s="1"/>
  <c r="H781" i="12" s="1"/>
  <c r="I781" i="12" s="1"/>
  <c r="G769" i="12" a="1"/>
  <c r="G769" i="12" s="1"/>
  <c r="H769" i="12" s="1"/>
  <c r="I769" i="12" s="1"/>
  <c r="G757" i="12" a="1"/>
  <c r="G757" i="12" s="1"/>
  <c r="H757" i="12" s="1"/>
  <c r="I757" i="12" s="1"/>
  <c r="G745" i="12" a="1"/>
  <c r="G745" i="12" s="1"/>
  <c r="H745" i="12" s="1"/>
  <c r="I745" i="12" s="1"/>
  <c r="G733" i="12" a="1"/>
  <c r="G733" i="12" s="1"/>
  <c r="H733" i="12" s="1"/>
  <c r="I733" i="12" s="1"/>
  <c r="G721" i="12" a="1"/>
  <c r="G721" i="12" s="1"/>
  <c r="H721" i="12" s="1"/>
  <c r="I721" i="12" s="1"/>
  <c r="G709" i="12" a="1"/>
  <c r="G709" i="12" s="1"/>
  <c r="H709" i="12" s="1"/>
  <c r="I709" i="12" s="1"/>
  <c r="G697" i="12" a="1"/>
  <c r="G697" i="12" s="1"/>
  <c r="H697" i="12" s="1"/>
  <c r="I697" i="12" s="1"/>
  <c r="G685" i="12" a="1"/>
  <c r="G685" i="12" s="1"/>
  <c r="H685" i="12" s="1"/>
  <c r="I685" i="12" s="1"/>
  <c r="G673" i="12" a="1"/>
  <c r="G673" i="12" s="1"/>
  <c r="H673" i="12" s="1"/>
  <c r="I673" i="12" s="1"/>
  <c r="G661" i="12" a="1"/>
  <c r="G661" i="12" s="1"/>
  <c r="H661" i="12" s="1"/>
  <c r="I661" i="12" s="1"/>
  <c r="G649" i="12" a="1"/>
  <c r="G649" i="12" s="1"/>
  <c r="H649" i="12" s="1"/>
  <c r="I649" i="12" s="1"/>
  <c r="G637" i="12" a="1"/>
  <c r="G637" i="12" s="1"/>
  <c r="H637" i="12" s="1"/>
  <c r="I637" i="12" s="1"/>
  <c r="G625" i="12" a="1"/>
  <c r="G625" i="12" s="1"/>
  <c r="H625" i="12" s="1"/>
  <c r="I625" i="12" s="1"/>
  <c r="G613" i="12" a="1"/>
  <c r="G613" i="12" s="1"/>
  <c r="H613" i="12" s="1"/>
  <c r="I613" i="12" s="1"/>
  <c r="G601" i="12" a="1"/>
  <c r="G601" i="12" s="1"/>
  <c r="H601" i="12" s="1"/>
  <c r="I601" i="12" s="1"/>
  <c r="G589" i="12" a="1"/>
  <c r="G589" i="12" s="1"/>
  <c r="H589" i="12" s="1"/>
  <c r="I589" i="12" s="1"/>
  <c r="G577" i="12" a="1"/>
  <c r="G577" i="12" s="1"/>
  <c r="H577" i="12" s="1"/>
  <c r="I577" i="12" s="1"/>
  <c r="G565" i="12" a="1"/>
  <c r="G565" i="12" s="1"/>
  <c r="H565" i="12" s="1"/>
  <c r="I565" i="12" s="1"/>
  <c r="G553" i="12" a="1"/>
  <c r="G553" i="12" s="1"/>
  <c r="H553" i="12" s="1"/>
  <c r="I553" i="12" s="1"/>
  <c r="G1836" i="12" a="1"/>
  <c r="G1836" i="12" s="1"/>
  <c r="H1836" i="12" s="1"/>
  <c r="G1644" i="12" a="1"/>
  <c r="G1644" i="12" s="1"/>
  <c r="H1644" i="12" s="1"/>
  <c r="I1644" i="12" s="1"/>
  <c r="G1548" i="12" a="1"/>
  <c r="G1548" i="12" s="1"/>
  <c r="H1548" i="12" s="1"/>
  <c r="I1548" i="12" s="1"/>
  <c r="G1476" i="12" a="1"/>
  <c r="G1476" i="12" s="1"/>
  <c r="H1476" i="12" s="1"/>
  <c r="I1476" i="12" s="1"/>
  <c r="G1380" i="12" a="1"/>
  <c r="G1380" i="12" s="1"/>
  <c r="H1380" i="12" s="1"/>
  <c r="I1380" i="12" s="1"/>
  <c r="G1284" i="12" a="1"/>
  <c r="G1284" i="12" s="1"/>
  <c r="H1284" i="12" s="1"/>
  <c r="I1284" i="12" s="1"/>
  <c r="G1200" i="12" a="1"/>
  <c r="G1200" i="12" s="1"/>
  <c r="H1200" i="12" s="1"/>
  <c r="I1200" i="12" s="1"/>
  <c r="G1116" i="12" a="1"/>
  <c r="G1116" i="12" s="1"/>
  <c r="H1116" i="12" s="1"/>
  <c r="I1116" i="12" s="1"/>
  <c r="G996" i="12" a="1"/>
  <c r="G996" i="12" s="1"/>
  <c r="H996" i="12" s="1"/>
  <c r="I996" i="12" s="1"/>
  <c r="G900" i="12" a="1"/>
  <c r="G900" i="12" s="1"/>
  <c r="H900" i="12" s="1"/>
  <c r="I900" i="12" s="1"/>
  <c r="G804" i="12" a="1"/>
  <c r="G804" i="12" s="1"/>
  <c r="H804" i="12" s="1"/>
  <c r="I804" i="12" s="1"/>
  <c r="G732" i="12" a="1"/>
  <c r="G732" i="12" s="1"/>
  <c r="H732" i="12" s="1"/>
  <c r="I732" i="12" s="1"/>
  <c r="G720" i="12" a="1"/>
  <c r="G720" i="12" s="1"/>
  <c r="H720" i="12" s="1"/>
  <c r="I720" i="12" s="1"/>
  <c r="G708" i="12" a="1"/>
  <c r="G708" i="12" s="1"/>
  <c r="H708" i="12" s="1"/>
  <c r="I708" i="12" s="1"/>
  <c r="G696" i="12" a="1"/>
  <c r="G696" i="12" s="1"/>
  <c r="H696" i="12" s="1"/>
  <c r="I696" i="12" s="1"/>
  <c r="G684" i="12" a="1"/>
  <c r="G684" i="12" s="1"/>
  <c r="H684" i="12" s="1"/>
  <c r="I684" i="12" s="1"/>
  <c r="G672" i="12" a="1"/>
  <c r="G672" i="12" s="1"/>
  <c r="H672" i="12" s="1"/>
  <c r="I672" i="12" s="1"/>
  <c r="G660" i="12" a="1"/>
  <c r="G660" i="12" s="1"/>
  <c r="H660" i="12" s="1"/>
  <c r="I660" i="12" s="1"/>
  <c r="G648" i="12" a="1"/>
  <c r="G648" i="12" s="1"/>
  <c r="H648" i="12" s="1"/>
  <c r="I648" i="12" s="1"/>
  <c r="G636" i="12" a="1"/>
  <c r="G636" i="12" s="1"/>
  <c r="H636" i="12" s="1"/>
  <c r="I636" i="12" s="1"/>
  <c r="G624" i="12" a="1"/>
  <c r="G624" i="12" s="1"/>
  <c r="H624" i="12" s="1"/>
  <c r="I624" i="12" s="1"/>
  <c r="G612" i="12" a="1"/>
  <c r="G612" i="12" s="1"/>
  <c r="H612" i="12" s="1"/>
  <c r="I612" i="12" s="1"/>
  <c r="G600" i="12" a="1"/>
  <c r="G600" i="12" s="1"/>
  <c r="H600" i="12" s="1"/>
  <c r="I600" i="12" s="1"/>
  <c r="G588" i="12" a="1"/>
  <c r="G588" i="12" s="1"/>
  <c r="H588" i="12" s="1"/>
  <c r="I588" i="12" s="1"/>
  <c r="G576" i="12" a="1"/>
  <c r="G576" i="12" s="1"/>
  <c r="H576" i="12" s="1"/>
  <c r="I576" i="12" s="1"/>
  <c r="G564" i="12" a="1"/>
  <c r="G564" i="12" s="1"/>
  <c r="H564" i="12" s="1"/>
  <c r="I564" i="12" s="1"/>
  <c r="G552" i="12" a="1"/>
  <c r="G552" i="12" s="1"/>
  <c r="H552" i="12" s="1"/>
  <c r="I552" i="12" s="1"/>
  <c r="G540" i="12" a="1"/>
  <c r="G540" i="12" s="1"/>
  <c r="H540" i="12" s="1"/>
  <c r="I540" i="12" s="1"/>
  <c r="G528" i="12" a="1"/>
  <c r="G528" i="12" s="1"/>
  <c r="H528" i="12" s="1"/>
  <c r="I528" i="12" s="1"/>
  <c r="G516" i="12" a="1"/>
  <c r="G516" i="12" s="1"/>
  <c r="H516" i="12" s="1"/>
  <c r="I516" i="12" s="1"/>
  <c r="G504" i="12" a="1"/>
  <c r="G504" i="12" s="1"/>
  <c r="H504" i="12" s="1"/>
  <c r="I504" i="12" s="1"/>
  <c r="G492" i="12" a="1"/>
  <c r="G492" i="12" s="1"/>
  <c r="H492" i="12" s="1"/>
  <c r="I492" i="12" s="1"/>
  <c r="G480" i="12" a="1"/>
  <c r="G480" i="12" s="1"/>
  <c r="H480" i="12" s="1"/>
  <c r="I480" i="12" s="1"/>
  <c r="G468" i="12" a="1"/>
  <c r="G468" i="12" s="1"/>
  <c r="H468" i="12" s="1"/>
  <c r="I468" i="12" s="1"/>
  <c r="G456" i="12" a="1"/>
  <c r="G456" i="12" s="1"/>
  <c r="H456" i="12" s="1"/>
  <c r="I456" i="12" s="1"/>
  <c r="G444" i="12" a="1"/>
  <c r="G444" i="12" s="1"/>
  <c r="H444" i="12" s="1"/>
  <c r="I444" i="12" s="1"/>
  <c r="G432" i="12" a="1"/>
  <c r="G432" i="12" s="1"/>
  <c r="H432" i="12" s="1"/>
  <c r="I432" i="12" s="1"/>
  <c r="G420" i="12" a="1"/>
  <c r="G420" i="12" s="1"/>
  <c r="H420" i="12" s="1"/>
  <c r="I420" i="12" s="1"/>
  <c r="G408" i="12" a="1"/>
  <c r="G408" i="12" s="1"/>
  <c r="H408" i="12" s="1"/>
  <c r="I408" i="12" s="1"/>
  <c r="G396" i="12" a="1"/>
  <c r="G396" i="12" s="1"/>
  <c r="H396" i="12" s="1"/>
  <c r="I396" i="12" s="1"/>
  <c r="G384" i="12" a="1"/>
  <c r="G384" i="12" s="1"/>
  <c r="H384" i="12" s="1"/>
  <c r="I384" i="12" s="1"/>
  <c r="G372" i="12" a="1"/>
  <c r="G372" i="12" s="1"/>
  <c r="H372" i="12" s="1"/>
  <c r="I372" i="12" s="1"/>
  <c r="G360" i="12" a="1"/>
  <c r="G360" i="12" s="1"/>
  <c r="H360" i="12" s="1"/>
  <c r="I360" i="12" s="1"/>
  <c r="G348" i="12" a="1"/>
  <c r="G348" i="12" s="1"/>
  <c r="H348" i="12" s="1"/>
  <c r="I348" i="12" s="1"/>
  <c r="G336" i="12" a="1"/>
  <c r="G336" i="12" s="1"/>
  <c r="H336" i="12" s="1"/>
  <c r="I336" i="12" s="1"/>
  <c r="G324" i="12" a="1"/>
  <c r="G324" i="12" s="1"/>
  <c r="H324" i="12" s="1"/>
  <c r="I324" i="12" s="1"/>
  <c r="G312" i="12" a="1"/>
  <c r="G312" i="12" s="1"/>
  <c r="H312" i="12" s="1"/>
  <c r="I312" i="12" s="1"/>
  <c r="G300" i="12" a="1"/>
  <c r="G300" i="12" s="1"/>
  <c r="H300" i="12" s="1"/>
  <c r="I300" i="12" s="1"/>
  <c r="G288" i="12" a="1"/>
  <c r="G288" i="12" s="1"/>
  <c r="H288" i="12" s="1"/>
  <c r="I288" i="12" s="1"/>
  <c r="G276" i="12" a="1"/>
  <c r="G276" i="12" s="1"/>
  <c r="H276" i="12" s="1"/>
  <c r="I276" i="12" s="1"/>
  <c r="G264" i="12" a="1"/>
  <c r="G264" i="12" s="1"/>
  <c r="H264" i="12" s="1"/>
  <c r="I264" i="12" s="1"/>
  <c r="G252" i="12" a="1"/>
  <c r="G252" i="12" s="1"/>
  <c r="H252" i="12" s="1"/>
  <c r="I252" i="12" s="1"/>
  <c r="G240" i="12" a="1"/>
  <c r="G240" i="12" s="1"/>
  <c r="H240" i="12" s="1"/>
  <c r="I240" i="12" s="1"/>
  <c r="G228" i="12" a="1"/>
  <c r="G228" i="12" s="1"/>
  <c r="H228" i="12" s="1"/>
  <c r="I228" i="12" s="1"/>
  <c r="G216" i="12" a="1"/>
  <c r="G216" i="12" s="1"/>
  <c r="H216" i="12" s="1"/>
  <c r="I216" i="12" s="1"/>
  <c r="G204" i="12" a="1"/>
  <c r="G204" i="12" s="1"/>
  <c r="H204" i="12" s="1"/>
  <c r="I204" i="12" s="1"/>
  <c r="G192" i="12" a="1"/>
  <c r="G192" i="12" s="1"/>
  <c r="H192" i="12" s="1"/>
  <c r="I192" i="12" s="1"/>
  <c r="G180" i="12" a="1"/>
  <c r="G180" i="12" s="1"/>
  <c r="H180" i="12" s="1"/>
  <c r="I180" i="12" s="1"/>
  <c r="G168" i="12" a="1"/>
  <c r="G168" i="12" s="1"/>
  <c r="H168" i="12" s="1"/>
  <c r="I168" i="12" s="1"/>
  <c r="G156" i="12" a="1"/>
  <c r="G156" i="12" s="1"/>
  <c r="H156" i="12" s="1"/>
  <c r="I156" i="12" s="1"/>
  <c r="G144" i="12" a="1"/>
  <c r="G144" i="12" s="1"/>
  <c r="H144" i="12" s="1"/>
  <c r="I144" i="12" s="1"/>
  <c r="G132" i="12" a="1"/>
  <c r="G132" i="12" s="1"/>
  <c r="H132" i="12" s="1"/>
  <c r="I132" i="12" s="1"/>
  <c r="G120" i="12" a="1"/>
  <c r="G120" i="12" s="1"/>
  <c r="H120" i="12" s="1"/>
  <c r="I120" i="12" s="1"/>
  <c r="G108" i="12" a="1"/>
  <c r="G108" i="12" s="1"/>
  <c r="H108" i="12" s="1"/>
  <c r="I108" i="12" s="1"/>
  <c r="G96" i="12" a="1"/>
  <c r="G96" i="12" s="1"/>
  <c r="H96" i="12" s="1"/>
  <c r="I96" i="12" s="1"/>
  <c r="G84" i="12" a="1"/>
  <c r="G84" i="12" s="1"/>
  <c r="H84" i="12" s="1"/>
  <c r="I84" i="12" s="1"/>
  <c r="G72" i="12" a="1"/>
  <c r="G72" i="12" s="1"/>
  <c r="H72" i="12" s="1"/>
  <c r="I72" i="12" s="1"/>
  <c r="G60" i="12" a="1"/>
  <c r="G60" i="12" s="1"/>
  <c r="H60" i="12" s="1"/>
  <c r="I60" i="12" s="1"/>
  <c r="G48" i="12" a="1"/>
  <c r="G48" i="12" s="1"/>
  <c r="H48" i="12" s="1"/>
  <c r="I48" i="12" s="1"/>
  <c r="G36" i="12" a="1"/>
  <c r="G36" i="12" s="1"/>
  <c r="H36" i="12" s="1"/>
  <c r="I36" i="12" s="1"/>
  <c r="G24" i="12" a="1"/>
  <c r="G24" i="12" s="1"/>
  <c r="H24" i="12" s="1"/>
  <c r="I24" i="12" s="1"/>
  <c r="G12" i="12" a="1"/>
  <c r="G12" i="12" s="1"/>
  <c r="H12" i="12" s="1"/>
  <c r="I12" i="12" s="1"/>
  <c r="G1767" i="12" a="1"/>
  <c r="G1767" i="12" s="1"/>
  <c r="H1767" i="12" s="1"/>
  <c r="G1233" i="12" a="1"/>
  <c r="G1233" i="12" s="1"/>
  <c r="H1233" i="12" s="1"/>
  <c r="I1233" i="12" s="1"/>
  <c r="G1221" i="12" a="1"/>
  <c r="G1221" i="12" s="1"/>
  <c r="H1221" i="12" s="1"/>
  <c r="I1221" i="12" s="1"/>
  <c r="G1197" i="12" a="1"/>
  <c r="G1197" i="12" s="1"/>
  <c r="H1197" i="12" s="1"/>
  <c r="I1197" i="12" s="1"/>
  <c r="G1185" i="12" a="1"/>
  <c r="G1185" i="12" s="1"/>
  <c r="H1185" i="12" s="1"/>
  <c r="I1185" i="12" s="1"/>
  <c r="G1173" i="12" a="1"/>
  <c r="G1173" i="12" s="1"/>
  <c r="H1173" i="12" s="1"/>
  <c r="I1173" i="12" s="1"/>
  <c r="G1161" i="12" a="1"/>
  <c r="G1161" i="12" s="1"/>
  <c r="H1161" i="12" s="1"/>
  <c r="I1161" i="12" s="1"/>
  <c r="G1149" i="12" a="1"/>
  <c r="G1149" i="12" s="1"/>
  <c r="H1149" i="12" s="1"/>
  <c r="I1149" i="12" s="1"/>
  <c r="G1137" i="12" a="1"/>
  <c r="G1137" i="12" s="1"/>
  <c r="H1137" i="12" s="1"/>
  <c r="I1137" i="12" s="1"/>
  <c r="G1125" i="12" a="1"/>
  <c r="G1125" i="12" s="1"/>
  <c r="H1125" i="12" s="1"/>
  <c r="I1125" i="12" s="1"/>
  <c r="G1113" i="12" a="1"/>
  <c r="G1113" i="12" s="1"/>
  <c r="H1113" i="12" s="1"/>
  <c r="I1113" i="12" s="1"/>
  <c r="G1101" i="12" a="1"/>
  <c r="G1101" i="12" s="1"/>
  <c r="H1101" i="12" s="1"/>
  <c r="I1101" i="12" s="1"/>
  <c r="G1089" i="12" a="1"/>
  <c r="G1089" i="12" s="1"/>
  <c r="H1089" i="12" s="1"/>
  <c r="I1089" i="12" s="1"/>
  <c r="G1077" i="12" a="1"/>
  <c r="G1077" i="12" s="1"/>
  <c r="H1077" i="12" s="1"/>
  <c r="I1077" i="12" s="1"/>
  <c r="G1065" i="12" a="1"/>
  <c r="G1065" i="12" s="1"/>
  <c r="H1065" i="12" s="1"/>
  <c r="I1065" i="12" s="1"/>
  <c r="G1053" i="12" a="1"/>
  <c r="G1053" i="12" s="1"/>
  <c r="H1053" i="12" s="1"/>
  <c r="I1053" i="12" s="1"/>
  <c r="G1041" i="12" a="1"/>
  <c r="G1041" i="12" s="1"/>
  <c r="H1041" i="12" s="1"/>
  <c r="I1041" i="12" s="1"/>
  <c r="G1029" i="12" a="1"/>
  <c r="G1029" i="12" s="1"/>
  <c r="H1029" i="12" s="1"/>
  <c r="I1029" i="12" s="1"/>
  <c r="G1017" i="12" a="1"/>
  <c r="G1017" i="12" s="1"/>
  <c r="H1017" i="12" s="1"/>
  <c r="I1017" i="12" s="1"/>
  <c r="G1005" i="12" a="1"/>
  <c r="G1005" i="12" s="1"/>
  <c r="H1005" i="12" s="1"/>
  <c r="I1005" i="12" s="1"/>
  <c r="G993" i="12" a="1"/>
  <c r="G993" i="12" s="1"/>
  <c r="H993" i="12" s="1"/>
  <c r="I993" i="12" s="1"/>
  <c r="G981" i="12" a="1"/>
  <c r="G981" i="12" s="1"/>
  <c r="H981" i="12" s="1"/>
  <c r="I981" i="12" s="1"/>
  <c r="G969" i="12" a="1"/>
  <c r="G969" i="12" s="1"/>
  <c r="H969" i="12" s="1"/>
  <c r="I969" i="12" s="1"/>
  <c r="G957" i="12" a="1"/>
  <c r="G957" i="12" s="1"/>
  <c r="H957" i="12" s="1"/>
  <c r="I957" i="12" s="1"/>
  <c r="G945" i="12" a="1"/>
  <c r="G945" i="12" s="1"/>
  <c r="H945" i="12" s="1"/>
  <c r="I945" i="12" s="1"/>
  <c r="G933" i="12" a="1"/>
  <c r="G933" i="12" s="1"/>
  <c r="H933" i="12" s="1"/>
  <c r="I933" i="12" s="1"/>
  <c r="G921" i="12" a="1"/>
  <c r="G921" i="12" s="1"/>
  <c r="H921" i="12" s="1"/>
  <c r="I921" i="12" s="1"/>
  <c r="G909" i="12" a="1"/>
  <c r="G909" i="12" s="1"/>
  <c r="H909" i="12" s="1"/>
  <c r="I909" i="12" s="1"/>
  <c r="G897" i="12" a="1"/>
  <c r="G897" i="12" s="1"/>
  <c r="H897" i="12" s="1"/>
  <c r="I897" i="12" s="1"/>
  <c r="G885" i="12" a="1"/>
  <c r="G885" i="12" s="1"/>
  <c r="H885" i="12" s="1"/>
  <c r="I885" i="12" s="1"/>
  <c r="G873" i="12" a="1"/>
  <c r="G873" i="12" s="1"/>
  <c r="H873" i="12" s="1"/>
  <c r="I873" i="12" s="1"/>
  <c r="G861" i="12" a="1"/>
  <c r="G861" i="12" s="1"/>
  <c r="H861" i="12" s="1"/>
  <c r="I861" i="12" s="1"/>
  <c r="G849" i="12" a="1"/>
  <c r="G849" i="12" s="1"/>
  <c r="H849" i="12" s="1"/>
  <c r="I849" i="12" s="1"/>
  <c r="G837" i="12" a="1"/>
  <c r="G837" i="12" s="1"/>
  <c r="H837" i="12" s="1"/>
  <c r="I837" i="12" s="1"/>
  <c r="G825" i="12" a="1"/>
  <c r="G825" i="12" s="1"/>
  <c r="H825" i="12" s="1"/>
  <c r="I825" i="12" s="1"/>
  <c r="G813" i="12" a="1"/>
  <c r="G813" i="12" s="1"/>
  <c r="H813" i="12" s="1"/>
  <c r="I813" i="12" s="1"/>
  <c r="G801" i="12" a="1"/>
  <c r="G801" i="12" s="1"/>
  <c r="H801" i="12" s="1"/>
  <c r="I801" i="12" s="1"/>
  <c r="G789" i="12" a="1"/>
  <c r="G789" i="12" s="1"/>
  <c r="H789" i="12" s="1"/>
  <c r="I789" i="12" s="1"/>
  <c r="G777" i="12" a="1"/>
  <c r="G777" i="12" s="1"/>
  <c r="H777" i="12" s="1"/>
  <c r="I777" i="12" s="1"/>
  <c r="G765" i="12" a="1"/>
  <c r="G765" i="12" s="1"/>
  <c r="H765" i="12" s="1"/>
  <c r="I765" i="12" s="1"/>
  <c r="G753" i="12" a="1"/>
  <c r="G753" i="12" s="1"/>
  <c r="H753" i="12" s="1"/>
  <c r="I753" i="12" s="1"/>
  <c r="G741" i="12" a="1"/>
  <c r="G741" i="12" s="1"/>
  <c r="H741" i="12" s="1"/>
  <c r="I741" i="12" s="1"/>
  <c r="G729" i="12" a="1"/>
  <c r="G729" i="12" s="1"/>
  <c r="H729" i="12" s="1"/>
  <c r="I729" i="12" s="1"/>
  <c r="G717" i="12" a="1"/>
  <c r="G717" i="12" s="1"/>
  <c r="H717" i="12" s="1"/>
  <c r="I717" i="12" s="1"/>
  <c r="G705" i="12" a="1"/>
  <c r="G705" i="12" s="1"/>
  <c r="H705" i="12" s="1"/>
  <c r="I705" i="12" s="1"/>
  <c r="G693" i="12" a="1"/>
  <c r="G693" i="12" s="1"/>
  <c r="H693" i="12" s="1"/>
  <c r="I693" i="12" s="1"/>
  <c r="G681" i="12" a="1"/>
  <c r="G681" i="12" s="1"/>
  <c r="H681" i="12" s="1"/>
  <c r="I681" i="12" s="1"/>
  <c r="G669" i="12" a="1"/>
  <c r="G669" i="12" s="1"/>
  <c r="H669" i="12" s="1"/>
  <c r="I669" i="12" s="1"/>
  <c r="G657" i="12" a="1"/>
  <c r="G657" i="12" s="1"/>
  <c r="H657" i="12" s="1"/>
  <c r="I657" i="12" s="1"/>
  <c r="G645" i="12" a="1"/>
  <c r="G645" i="12" s="1"/>
  <c r="H645" i="12" s="1"/>
  <c r="I645" i="12" s="1"/>
  <c r="G633" i="12" a="1"/>
  <c r="G633" i="12" s="1"/>
  <c r="H633" i="12" s="1"/>
  <c r="I633" i="12" s="1"/>
  <c r="G621" i="12" a="1"/>
  <c r="G621" i="12" s="1"/>
  <c r="H621" i="12" s="1"/>
  <c r="I621" i="12" s="1"/>
  <c r="G609" i="12" a="1"/>
  <c r="G609" i="12" s="1"/>
  <c r="H609" i="12" s="1"/>
  <c r="I609" i="12" s="1"/>
  <c r="G597" i="12" a="1"/>
  <c r="G597" i="12" s="1"/>
  <c r="H597" i="12" s="1"/>
  <c r="I597" i="12" s="1"/>
  <c r="G585" i="12" a="1"/>
  <c r="G585" i="12" s="1"/>
  <c r="H585" i="12" s="1"/>
  <c r="I585" i="12" s="1"/>
  <c r="G573" i="12" a="1"/>
  <c r="G573" i="12" s="1"/>
  <c r="H573" i="12" s="1"/>
  <c r="I573" i="12" s="1"/>
  <c r="G561" i="12" a="1"/>
  <c r="G561" i="12" s="1"/>
  <c r="H561" i="12" s="1"/>
  <c r="I561" i="12" s="1"/>
  <c r="G549" i="12" a="1"/>
  <c r="G549" i="12" s="1"/>
  <c r="H549" i="12" s="1"/>
  <c r="I549" i="12" s="1"/>
  <c r="G537" i="12" a="1"/>
  <c r="G537" i="12" s="1"/>
  <c r="H537" i="12" s="1"/>
  <c r="I537" i="12" s="1"/>
  <c r="G525" i="12" a="1"/>
  <c r="G525" i="12" s="1"/>
  <c r="H525" i="12" s="1"/>
  <c r="I525" i="12" s="1"/>
  <c r="G513" i="12" a="1"/>
  <c r="G513" i="12" s="1"/>
  <c r="H513" i="12" s="1"/>
  <c r="I513" i="12" s="1"/>
  <c r="G501" i="12" a="1"/>
  <c r="G501" i="12" s="1"/>
  <c r="H501" i="12" s="1"/>
  <c r="I501" i="12" s="1"/>
  <c r="G489" i="12" a="1"/>
  <c r="G489" i="12" s="1"/>
  <c r="H489" i="12" s="1"/>
  <c r="I489" i="12" s="1"/>
  <c r="G477" i="12" a="1"/>
  <c r="G477" i="12" s="1"/>
  <c r="H477" i="12" s="1"/>
  <c r="I477" i="12" s="1"/>
  <c r="G465" i="12" a="1"/>
  <c r="G465" i="12" s="1"/>
  <c r="H465" i="12" s="1"/>
  <c r="I465" i="12" s="1"/>
  <c r="G453" i="12" a="1"/>
  <c r="G453" i="12" s="1"/>
  <c r="H453" i="12" s="1"/>
  <c r="I453" i="12" s="1"/>
  <c r="G441" i="12" a="1"/>
  <c r="G441" i="12" s="1"/>
  <c r="H441" i="12" s="1"/>
  <c r="I441" i="12" s="1"/>
  <c r="G429" i="12" a="1"/>
  <c r="G429" i="12" s="1"/>
  <c r="H429" i="12" s="1"/>
  <c r="I429" i="12" s="1"/>
  <c r="G417" i="12" a="1"/>
  <c r="G417" i="12" s="1"/>
  <c r="H417" i="12" s="1"/>
  <c r="I417" i="12" s="1"/>
  <c r="G405" i="12" a="1"/>
  <c r="G405" i="12" s="1"/>
  <c r="H405" i="12" s="1"/>
  <c r="I405" i="12" s="1"/>
  <c r="G393" i="12" a="1"/>
  <c r="G393" i="12" s="1"/>
  <c r="H393" i="12" s="1"/>
  <c r="I393" i="12" s="1"/>
  <c r="G381" i="12" a="1"/>
  <c r="G381" i="12" s="1"/>
  <c r="H381" i="12" s="1"/>
  <c r="I381" i="12" s="1"/>
  <c r="G369" i="12" a="1"/>
  <c r="G369" i="12" s="1"/>
  <c r="H369" i="12" s="1"/>
  <c r="I369" i="12" s="1"/>
  <c r="G357" i="12" a="1"/>
  <c r="G357" i="12" s="1"/>
  <c r="H357" i="12" s="1"/>
  <c r="I357" i="12" s="1"/>
  <c r="G345" i="12" a="1"/>
  <c r="G345" i="12" s="1"/>
  <c r="H345" i="12" s="1"/>
  <c r="I345" i="12" s="1"/>
  <c r="G333" i="12" a="1"/>
  <c r="G333" i="12" s="1"/>
  <c r="H333" i="12" s="1"/>
  <c r="I333" i="12" s="1"/>
  <c r="G1231" i="12" a="1"/>
  <c r="G1231" i="12" s="1"/>
  <c r="H1231" i="12" s="1"/>
  <c r="I1231" i="12" s="1"/>
  <c r="G1219" i="12" a="1"/>
  <c r="G1219" i="12" s="1"/>
  <c r="H1219" i="12" s="1"/>
  <c r="I1219" i="12" s="1"/>
  <c r="G1207" i="12" a="1"/>
  <c r="G1207" i="12" s="1"/>
  <c r="H1207" i="12" s="1"/>
  <c r="I1207" i="12" s="1"/>
  <c r="G1195" i="12" a="1"/>
  <c r="G1195" i="12" s="1"/>
  <c r="H1195" i="12" s="1"/>
  <c r="I1195" i="12" s="1"/>
  <c r="G1183" i="12" a="1"/>
  <c r="G1183" i="12" s="1"/>
  <c r="H1183" i="12" s="1"/>
  <c r="I1183" i="12" s="1"/>
  <c r="G1171" i="12" a="1"/>
  <c r="G1171" i="12" s="1"/>
  <c r="H1171" i="12" s="1"/>
  <c r="I1171" i="12" s="1"/>
  <c r="G1159" i="12" a="1"/>
  <c r="G1159" i="12" s="1"/>
  <c r="H1159" i="12" s="1"/>
  <c r="I1159" i="12" s="1"/>
  <c r="G1147" i="12" a="1"/>
  <c r="G1147" i="12" s="1"/>
  <c r="H1147" i="12" s="1"/>
  <c r="I1147" i="12" s="1"/>
  <c r="G1135" i="12" a="1"/>
  <c r="G1135" i="12" s="1"/>
  <c r="H1135" i="12" s="1"/>
  <c r="I1135" i="12" s="1"/>
  <c r="G1123" i="12" a="1"/>
  <c r="G1123" i="12" s="1"/>
  <c r="H1123" i="12" s="1"/>
  <c r="I1123" i="12" s="1"/>
  <c r="G1111" i="12" a="1"/>
  <c r="G1111" i="12" s="1"/>
  <c r="H1111" i="12" s="1"/>
  <c r="I1111" i="12" s="1"/>
  <c r="G1099" i="12" a="1"/>
  <c r="G1099" i="12" s="1"/>
  <c r="H1099" i="12" s="1"/>
  <c r="I1099" i="12" s="1"/>
  <c r="G1087" i="12" a="1"/>
  <c r="G1087" i="12" s="1"/>
  <c r="H1087" i="12" s="1"/>
  <c r="I1087" i="12" s="1"/>
  <c r="G1075" i="12" a="1"/>
  <c r="G1075" i="12" s="1"/>
  <c r="H1075" i="12" s="1"/>
  <c r="I1075" i="12" s="1"/>
  <c r="G1063" i="12" a="1"/>
  <c r="G1063" i="12" s="1"/>
  <c r="H1063" i="12" s="1"/>
  <c r="I1063" i="12" s="1"/>
  <c r="G1051" i="12" a="1"/>
  <c r="G1051" i="12" s="1"/>
  <c r="H1051" i="12" s="1"/>
  <c r="I1051" i="12" s="1"/>
  <c r="G1039" i="12" a="1"/>
  <c r="G1039" i="12" s="1"/>
  <c r="H1039" i="12" s="1"/>
  <c r="I1039" i="12" s="1"/>
  <c r="G1027" i="12" a="1"/>
  <c r="G1027" i="12" s="1"/>
  <c r="H1027" i="12" s="1"/>
  <c r="I1027" i="12" s="1"/>
  <c r="G1015" i="12" a="1"/>
  <c r="G1015" i="12" s="1"/>
  <c r="H1015" i="12" s="1"/>
  <c r="I1015" i="12" s="1"/>
  <c r="G1003" i="12" a="1"/>
  <c r="G1003" i="12" s="1"/>
  <c r="H1003" i="12" s="1"/>
  <c r="I1003" i="12" s="1"/>
  <c r="G991" i="12" a="1"/>
  <c r="G991" i="12" s="1"/>
  <c r="H991" i="12" s="1"/>
  <c r="I991" i="12" s="1"/>
  <c r="G979" i="12" a="1"/>
  <c r="G979" i="12" s="1"/>
  <c r="H979" i="12" s="1"/>
  <c r="I979" i="12" s="1"/>
  <c r="G967" i="12" a="1"/>
  <c r="G967" i="12" s="1"/>
  <c r="H967" i="12" s="1"/>
  <c r="I967" i="12" s="1"/>
  <c r="G955" i="12" a="1"/>
  <c r="G955" i="12" s="1"/>
  <c r="H955" i="12" s="1"/>
  <c r="I955" i="12" s="1"/>
  <c r="G943" i="12" a="1"/>
  <c r="G943" i="12" s="1"/>
  <c r="H943" i="12" s="1"/>
  <c r="I943" i="12" s="1"/>
  <c r="G931" i="12" a="1"/>
  <c r="G931" i="12" s="1"/>
  <c r="H931" i="12" s="1"/>
  <c r="I931" i="12" s="1"/>
  <c r="G919" i="12" a="1"/>
  <c r="G919" i="12" s="1"/>
  <c r="H919" i="12" s="1"/>
  <c r="I919" i="12" s="1"/>
  <c r="G907" i="12" a="1"/>
  <c r="G907" i="12" s="1"/>
  <c r="H907" i="12" s="1"/>
  <c r="I907" i="12" s="1"/>
  <c r="G895" i="12" a="1"/>
  <c r="G895" i="12" s="1"/>
  <c r="H895" i="12" s="1"/>
  <c r="I895" i="12" s="1"/>
  <c r="G883" i="12" a="1"/>
  <c r="G883" i="12" s="1"/>
  <c r="H883" i="12" s="1"/>
  <c r="I883" i="12" s="1"/>
  <c r="G871" i="12" a="1"/>
  <c r="G871" i="12" s="1"/>
  <c r="H871" i="12" s="1"/>
  <c r="I871" i="12" s="1"/>
  <c r="G859" i="12" a="1"/>
  <c r="G859" i="12" s="1"/>
  <c r="H859" i="12" s="1"/>
  <c r="I859" i="12" s="1"/>
  <c r="G847" i="12" a="1"/>
  <c r="G847" i="12" s="1"/>
  <c r="H847" i="12" s="1"/>
  <c r="I847" i="12" s="1"/>
  <c r="G835" i="12" a="1"/>
  <c r="G835" i="12" s="1"/>
  <c r="H835" i="12" s="1"/>
  <c r="I835" i="12" s="1"/>
  <c r="G823" i="12" a="1"/>
  <c r="G823" i="12" s="1"/>
  <c r="H823" i="12" s="1"/>
  <c r="I823" i="12" s="1"/>
  <c r="G811" i="12" a="1"/>
  <c r="G811" i="12" s="1"/>
  <c r="H811" i="12" s="1"/>
  <c r="I811" i="12" s="1"/>
  <c r="G799" i="12" a="1"/>
  <c r="G799" i="12" s="1"/>
  <c r="H799" i="12" s="1"/>
  <c r="I799" i="12" s="1"/>
  <c r="G787" i="12" a="1"/>
  <c r="G787" i="12" s="1"/>
  <c r="H787" i="12" s="1"/>
  <c r="I787" i="12" s="1"/>
  <c r="G775" i="12" a="1"/>
  <c r="G775" i="12" s="1"/>
  <c r="H775" i="12" s="1"/>
  <c r="I775" i="12" s="1"/>
  <c r="G763" i="12" a="1"/>
  <c r="G763" i="12" s="1"/>
  <c r="H763" i="12" s="1"/>
  <c r="I763" i="12" s="1"/>
  <c r="G751" i="12" a="1"/>
  <c r="G751" i="12" s="1"/>
  <c r="H751" i="12" s="1"/>
  <c r="I751" i="12" s="1"/>
  <c r="G739" i="12" a="1"/>
  <c r="G739" i="12" s="1"/>
  <c r="H739" i="12" s="1"/>
  <c r="I739" i="12" s="1"/>
  <c r="G727" i="12" a="1"/>
  <c r="G727" i="12" s="1"/>
  <c r="H727" i="12" s="1"/>
  <c r="I727" i="12" s="1"/>
  <c r="G715" i="12" a="1"/>
  <c r="G715" i="12" s="1"/>
  <c r="H715" i="12" s="1"/>
  <c r="I715" i="12" s="1"/>
  <c r="G703" i="12" a="1"/>
  <c r="G703" i="12" s="1"/>
  <c r="H703" i="12" s="1"/>
  <c r="I703" i="12" s="1"/>
  <c r="G691" i="12" a="1"/>
  <c r="G691" i="12" s="1"/>
  <c r="H691" i="12" s="1"/>
  <c r="I691" i="12" s="1"/>
  <c r="G679" i="12" a="1"/>
  <c r="G679" i="12" s="1"/>
  <c r="H679" i="12" s="1"/>
  <c r="I679" i="12" s="1"/>
  <c r="G667" i="12" a="1"/>
  <c r="G667" i="12" s="1"/>
  <c r="H667" i="12" s="1"/>
  <c r="I667" i="12" s="1"/>
  <c r="G655" i="12" a="1"/>
  <c r="G655" i="12" s="1"/>
  <c r="H655" i="12" s="1"/>
  <c r="I655" i="12" s="1"/>
  <c r="G643" i="12" a="1"/>
  <c r="G643" i="12" s="1"/>
  <c r="H643" i="12" s="1"/>
  <c r="I643" i="12" s="1"/>
  <c r="G631" i="12" a="1"/>
  <c r="G631" i="12" s="1"/>
  <c r="H631" i="12" s="1"/>
  <c r="I631" i="12" s="1"/>
  <c r="G619" i="12" a="1"/>
  <c r="G619" i="12" s="1"/>
  <c r="H619" i="12" s="1"/>
  <c r="I619" i="12" s="1"/>
  <c r="G607" i="12" a="1"/>
  <c r="G607" i="12" s="1"/>
  <c r="H607" i="12" s="1"/>
  <c r="I607" i="12" s="1"/>
  <c r="G595" i="12" a="1"/>
  <c r="G595" i="12" s="1"/>
  <c r="H595" i="12" s="1"/>
  <c r="I595" i="12" s="1"/>
  <c r="G583" i="12" a="1"/>
  <c r="G583" i="12" s="1"/>
  <c r="H583" i="12" s="1"/>
  <c r="I583" i="12" s="1"/>
  <c r="G571" i="12" a="1"/>
  <c r="G571" i="12" s="1"/>
  <c r="H571" i="12" s="1"/>
  <c r="I571" i="12" s="1"/>
  <c r="G559" i="12" a="1"/>
  <c r="G559" i="12" s="1"/>
  <c r="H559" i="12" s="1"/>
  <c r="I559" i="12" s="1"/>
  <c r="G547" i="12" a="1"/>
  <c r="G547" i="12" s="1"/>
  <c r="H547" i="12" s="1"/>
  <c r="I547" i="12" s="1"/>
  <c r="G535" i="12" a="1"/>
  <c r="G535" i="12" s="1"/>
  <c r="H535" i="12" s="1"/>
  <c r="I535" i="12" s="1"/>
  <c r="G523" i="12" a="1"/>
  <c r="G523" i="12" s="1"/>
  <c r="H523" i="12" s="1"/>
  <c r="I523" i="12" s="1"/>
  <c r="G511" i="12" a="1"/>
  <c r="G511" i="12" s="1"/>
  <c r="H511" i="12" s="1"/>
  <c r="I511" i="12" s="1"/>
  <c r="G499" i="12" a="1"/>
  <c r="G499" i="12" s="1"/>
  <c r="H499" i="12" s="1"/>
  <c r="I499" i="12" s="1"/>
  <c r="G487" i="12" a="1"/>
  <c r="G487" i="12" s="1"/>
  <c r="H487" i="12" s="1"/>
  <c r="I487" i="12" s="1"/>
  <c r="G475" i="12" a="1"/>
  <c r="G475" i="12" s="1"/>
  <c r="H475" i="12" s="1"/>
  <c r="I475" i="12" s="1"/>
  <c r="G463" i="12" a="1"/>
  <c r="G463" i="12" s="1"/>
  <c r="H463" i="12" s="1"/>
  <c r="I463" i="12" s="1"/>
  <c r="G451" i="12" a="1"/>
  <c r="G451" i="12" s="1"/>
  <c r="H451" i="12" s="1"/>
  <c r="I451" i="12" s="1"/>
  <c r="G439" i="12" a="1"/>
  <c r="G439" i="12" s="1"/>
  <c r="H439" i="12" s="1"/>
  <c r="I439" i="12" s="1"/>
  <c r="G427" i="12" a="1"/>
  <c r="G427" i="12" s="1"/>
  <c r="H427" i="12" s="1"/>
  <c r="I427" i="12" s="1"/>
  <c r="G415" i="12" a="1"/>
  <c r="G415" i="12" s="1"/>
  <c r="H415" i="12" s="1"/>
  <c r="I415" i="12" s="1"/>
  <c r="G403" i="12" a="1"/>
  <c r="G403" i="12" s="1"/>
  <c r="H403" i="12" s="1"/>
  <c r="I403" i="12" s="1"/>
  <c r="G391" i="12" a="1"/>
  <c r="G391" i="12" s="1"/>
  <c r="H391" i="12" s="1"/>
  <c r="I391" i="12" s="1"/>
  <c r="G379" i="12" a="1"/>
  <c r="G379" i="12" s="1"/>
  <c r="H379" i="12" s="1"/>
  <c r="I379" i="12" s="1"/>
  <c r="G367" i="12" a="1"/>
  <c r="G367" i="12" s="1"/>
  <c r="H367" i="12" s="1"/>
  <c r="I367" i="12" s="1"/>
  <c r="G355" i="12" a="1"/>
  <c r="G355" i="12" s="1"/>
  <c r="H355" i="12" s="1"/>
  <c r="I355" i="12" s="1"/>
  <c r="G343" i="12" a="1"/>
  <c r="G343" i="12" s="1"/>
  <c r="H343" i="12" s="1"/>
  <c r="I343" i="12" s="1"/>
  <c r="G331" i="12" a="1"/>
  <c r="G331" i="12" s="1"/>
  <c r="H331" i="12" s="1"/>
  <c r="I331" i="12" s="1"/>
  <c r="G1854" i="12" a="1"/>
  <c r="G1854" i="12" s="1"/>
  <c r="H1854" i="12" s="1"/>
  <c r="G1842" i="12" a="1"/>
  <c r="G1842" i="12" s="1"/>
  <c r="H1842" i="12" s="1"/>
  <c r="G1830" i="12" a="1"/>
  <c r="G1830" i="12" s="1"/>
  <c r="H1830" i="12" s="1"/>
  <c r="G1818" i="12" a="1"/>
  <c r="G1818" i="12" s="1"/>
  <c r="H1818" i="12" s="1"/>
  <c r="G1806" i="12" a="1"/>
  <c r="G1806" i="12" s="1"/>
  <c r="H1806" i="12" s="1"/>
  <c r="G1794" i="12" a="1"/>
  <c r="G1794" i="12" s="1"/>
  <c r="H1794" i="12" s="1"/>
  <c r="G1782" i="12" a="1"/>
  <c r="G1782" i="12" s="1"/>
  <c r="H1782" i="12" s="1"/>
  <c r="G1770" i="12" a="1"/>
  <c r="G1770" i="12" s="1"/>
  <c r="H1770" i="12" s="1"/>
  <c r="G1758" i="12" a="1"/>
  <c r="G1758" i="12" s="1"/>
  <c r="H1758" i="12" s="1"/>
  <c r="G1734" i="12" a="1"/>
  <c r="G1734" i="12" s="1"/>
  <c r="H1734" i="12" s="1"/>
  <c r="G1722" i="12" a="1"/>
  <c r="G1722" i="12" s="1"/>
  <c r="H1722" i="12" s="1"/>
  <c r="G1698" i="12" a="1"/>
  <c r="G1698" i="12" s="1"/>
  <c r="H1698" i="12" s="1"/>
  <c r="I1698" i="12" s="1"/>
  <c r="G1662" i="12" a="1"/>
  <c r="G1662" i="12" s="1"/>
  <c r="H1662" i="12" s="1"/>
  <c r="I1662" i="12" s="1"/>
  <c r="G1650" i="12" a="1"/>
  <c r="G1650" i="12" s="1"/>
  <c r="H1650" i="12" s="1"/>
  <c r="I1650" i="12" s="1"/>
  <c r="G1638" i="12" a="1"/>
  <c r="G1638" i="12" s="1"/>
  <c r="H1638" i="12" s="1"/>
  <c r="I1638" i="12" s="1"/>
  <c r="G1626" i="12" a="1"/>
  <c r="G1626" i="12" s="1"/>
  <c r="H1626" i="12" s="1"/>
  <c r="I1626" i="12" s="1"/>
  <c r="G1614" i="12" a="1"/>
  <c r="G1614" i="12" s="1"/>
  <c r="H1614" i="12" s="1"/>
  <c r="I1614" i="12" s="1"/>
  <c r="G1602" i="12" a="1"/>
  <c r="G1602" i="12" s="1"/>
  <c r="H1602" i="12" s="1"/>
  <c r="I1602" i="12" s="1"/>
  <c r="G1590" i="12" a="1"/>
  <c r="G1590" i="12" s="1"/>
  <c r="H1590" i="12" s="1"/>
  <c r="I1590" i="12" s="1"/>
  <c r="G1566" i="12" a="1"/>
  <c r="G1566" i="12" s="1"/>
  <c r="H1566" i="12" s="1"/>
  <c r="I1566" i="12" s="1"/>
  <c r="G1554" i="12" a="1"/>
  <c r="G1554" i="12" s="1"/>
  <c r="H1554" i="12" s="1"/>
  <c r="I1554" i="12" s="1"/>
  <c r="G1542" i="12" a="1"/>
  <c r="G1542" i="12" s="1"/>
  <c r="H1542" i="12" s="1"/>
  <c r="I1542" i="12" s="1"/>
  <c r="G1530" i="12" a="1"/>
  <c r="G1530" i="12" s="1"/>
  <c r="H1530" i="12" s="1"/>
  <c r="I1530" i="12" s="1"/>
  <c r="G1518" i="12" a="1"/>
  <c r="G1518" i="12" s="1"/>
  <c r="H1518" i="12" s="1"/>
  <c r="I1518" i="12" s="1"/>
  <c r="G1506" i="12" a="1"/>
  <c r="G1506" i="12" s="1"/>
  <c r="H1506" i="12" s="1"/>
  <c r="I1506" i="12" s="1"/>
  <c r="G1482" i="12" a="1"/>
  <c r="G1482" i="12" s="1"/>
  <c r="H1482" i="12" s="1"/>
  <c r="I1482" i="12" s="1"/>
  <c r="G1470" i="12" a="1"/>
  <c r="G1470" i="12" s="1"/>
  <c r="H1470" i="12" s="1"/>
  <c r="I1470" i="12" s="1"/>
  <c r="G1458" i="12" a="1"/>
  <c r="G1458" i="12" s="1"/>
  <c r="H1458" i="12" s="1"/>
  <c r="I1458" i="12" s="1"/>
  <c r="G1446" i="12" a="1"/>
  <c r="G1446" i="12" s="1"/>
  <c r="H1446" i="12" s="1"/>
  <c r="I1446" i="12" s="1"/>
  <c r="G1434" i="12" a="1"/>
  <c r="G1434" i="12" s="1"/>
  <c r="H1434" i="12" s="1"/>
  <c r="I1434" i="12" s="1"/>
  <c r="G1422" i="12" a="1"/>
  <c r="G1422" i="12" s="1"/>
  <c r="H1422" i="12" s="1"/>
  <c r="I1422" i="12" s="1"/>
  <c r="G1410" i="12" a="1"/>
  <c r="G1410" i="12" s="1"/>
  <c r="H1410" i="12" s="1"/>
  <c r="I1410" i="12" s="1"/>
  <c r="G1398" i="12" a="1"/>
  <c r="G1398" i="12" s="1"/>
  <c r="H1398" i="12" s="1"/>
  <c r="I1398" i="12" s="1"/>
  <c r="G1386" i="12" a="1"/>
  <c r="G1386" i="12" s="1"/>
  <c r="H1386" i="12" s="1"/>
  <c r="I1386" i="12" s="1"/>
  <c r="G1374" i="12" a="1"/>
  <c r="G1374" i="12" s="1"/>
  <c r="H1374" i="12" s="1"/>
  <c r="I1374" i="12" s="1"/>
  <c r="G1362" i="12" a="1"/>
  <c r="G1362" i="12" s="1"/>
  <c r="H1362" i="12" s="1"/>
  <c r="I1362" i="12" s="1"/>
  <c r="G1350" i="12" a="1"/>
  <c r="G1350" i="12" s="1"/>
  <c r="H1350" i="12" s="1"/>
  <c r="I1350" i="12" s="1"/>
  <c r="G1338" i="12" a="1"/>
  <c r="G1338" i="12" s="1"/>
  <c r="H1338" i="12" s="1"/>
  <c r="I1338" i="12" s="1"/>
  <c r="G1326" i="12" a="1"/>
  <c r="G1326" i="12" s="1"/>
  <c r="H1326" i="12" s="1"/>
  <c r="I1326" i="12" s="1"/>
  <c r="G1314" i="12" a="1"/>
  <c r="G1314" i="12" s="1"/>
  <c r="H1314" i="12" s="1"/>
  <c r="I1314" i="12" s="1"/>
  <c r="G1290" i="12" a="1"/>
  <c r="G1290" i="12" s="1"/>
  <c r="H1290" i="12" s="1"/>
  <c r="I1290" i="12" s="1"/>
  <c r="G1278" i="12" a="1"/>
  <c r="G1278" i="12" s="1"/>
  <c r="H1278" i="12" s="1"/>
  <c r="I1278" i="12" s="1"/>
  <c r="G1266" i="12" a="1"/>
  <c r="G1266" i="12" s="1"/>
  <c r="H1266" i="12" s="1"/>
  <c r="I1266" i="12" s="1"/>
  <c r="G1254" i="12" a="1"/>
  <c r="G1254" i="12" s="1"/>
  <c r="H1254" i="12" s="1"/>
  <c r="I1254" i="12" s="1"/>
  <c r="G1242" i="12" a="1"/>
  <c r="G1242" i="12" s="1"/>
  <c r="H1242" i="12" s="1"/>
  <c r="I1242" i="12" s="1"/>
  <c r="G1230" i="12" a="1"/>
  <c r="G1230" i="12" s="1"/>
  <c r="H1230" i="12" s="1"/>
  <c r="I1230" i="12" s="1"/>
  <c r="G1218" i="12" a="1"/>
  <c r="G1218" i="12" s="1"/>
  <c r="H1218" i="12" s="1"/>
  <c r="I1218" i="12" s="1"/>
  <c r="G1194" i="12" a="1"/>
  <c r="G1194" i="12" s="1"/>
  <c r="H1194" i="12" s="1"/>
  <c r="I1194" i="12" s="1"/>
  <c r="G1182" i="12" a="1"/>
  <c r="G1182" i="12" s="1"/>
  <c r="H1182" i="12" s="1"/>
  <c r="I1182" i="12" s="1"/>
  <c r="G1170" i="12" a="1"/>
  <c r="G1170" i="12" s="1"/>
  <c r="H1170" i="12" s="1"/>
  <c r="I1170" i="12" s="1"/>
  <c r="G1158" i="12" a="1"/>
  <c r="G1158" i="12" s="1"/>
  <c r="H1158" i="12" s="1"/>
  <c r="I1158" i="12" s="1"/>
  <c r="G1146" i="12" a="1"/>
  <c r="G1146" i="12" s="1"/>
  <c r="H1146" i="12" s="1"/>
  <c r="I1146" i="12" s="1"/>
  <c r="G1134" i="12" a="1"/>
  <c r="G1134" i="12" s="1"/>
  <c r="H1134" i="12" s="1"/>
  <c r="I1134" i="12" s="1"/>
  <c r="G1122" i="12" a="1"/>
  <c r="G1122" i="12" s="1"/>
  <c r="H1122" i="12" s="1"/>
  <c r="I1122" i="12" s="1"/>
  <c r="G1110" i="12" a="1"/>
  <c r="G1110" i="12" s="1"/>
  <c r="H1110" i="12" s="1"/>
  <c r="I1110" i="12" s="1"/>
  <c r="G1098" i="12" a="1"/>
  <c r="G1098" i="12" s="1"/>
  <c r="H1098" i="12" s="1"/>
  <c r="I1098" i="12" s="1"/>
  <c r="G1086" i="12" a="1"/>
  <c r="G1086" i="12" s="1"/>
  <c r="H1086" i="12" s="1"/>
  <c r="I1086" i="12" s="1"/>
  <c r="G1074" i="12" a="1"/>
  <c r="G1074" i="12" s="1"/>
  <c r="H1074" i="12" s="1"/>
  <c r="I1074" i="12" s="1"/>
  <c r="G1062" i="12" a="1"/>
  <c r="G1062" i="12" s="1"/>
  <c r="H1062" i="12" s="1"/>
  <c r="I1062" i="12" s="1"/>
  <c r="G1050" i="12" a="1"/>
  <c r="G1050" i="12" s="1"/>
  <c r="H1050" i="12" s="1"/>
  <c r="I1050" i="12" s="1"/>
  <c r="G1038" i="12" a="1"/>
  <c r="G1038" i="12" s="1"/>
  <c r="H1038" i="12" s="1"/>
  <c r="I1038" i="12" s="1"/>
  <c r="G1026" i="12" a="1"/>
  <c r="G1026" i="12" s="1"/>
  <c r="H1026" i="12" s="1"/>
  <c r="I1026" i="12" s="1"/>
  <c r="G1014" i="12" a="1"/>
  <c r="G1014" i="12" s="1"/>
  <c r="H1014" i="12" s="1"/>
  <c r="I1014" i="12" s="1"/>
  <c r="G1002" i="12" a="1"/>
  <c r="G1002" i="12" s="1"/>
  <c r="H1002" i="12" s="1"/>
  <c r="I1002" i="12" s="1"/>
  <c r="G990" i="12" a="1"/>
  <c r="G990" i="12" s="1"/>
  <c r="H990" i="12" s="1"/>
  <c r="I990" i="12" s="1"/>
  <c r="G978" i="12" a="1"/>
  <c r="G978" i="12" s="1"/>
  <c r="H978" i="12" s="1"/>
  <c r="I978" i="12" s="1"/>
  <c r="G966" i="12" a="1"/>
  <c r="G966" i="12" s="1"/>
  <c r="H966" i="12" s="1"/>
  <c r="I966" i="12" s="1"/>
  <c r="G954" i="12" a="1"/>
  <c r="G954" i="12" s="1"/>
  <c r="H954" i="12" s="1"/>
  <c r="I954" i="12" s="1"/>
  <c r="G942" i="12" a="1"/>
  <c r="G942" i="12" s="1"/>
  <c r="H942" i="12" s="1"/>
  <c r="I942" i="12" s="1"/>
  <c r="G930" i="12" a="1"/>
  <c r="G930" i="12" s="1"/>
  <c r="H930" i="12" s="1"/>
  <c r="I930" i="12" s="1"/>
  <c r="G918" i="12" a="1"/>
  <c r="G918" i="12" s="1"/>
  <c r="H918" i="12" s="1"/>
  <c r="I918" i="12" s="1"/>
  <c r="G906" i="12" a="1"/>
  <c r="G906" i="12" s="1"/>
  <c r="H906" i="12" s="1"/>
  <c r="I906" i="12" s="1"/>
  <c r="G894" i="12" a="1"/>
  <c r="G894" i="12" s="1"/>
  <c r="H894" i="12" s="1"/>
  <c r="I894" i="12" s="1"/>
  <c r="G534" i="12" a="1"/>
  <c r="G534" i="12" s="1"/>
  <c r="H534" i="12" s="1"/>
  <c r="I534" i="12" s="1"/>
  <c r="G1865" i="12" a="1"/>
  <c r="G1865" i="12" s="1"/>
  <c r="H1865" i="12" s="1"/>
  <c r="G1841" i="12" a="1"/>
  <c r="G1841" i="12" s="1"/>
  <c r="H1841" i="12" s="1"/>
  <c r="G1817" i="12" a="1"/>
  <c r="G1817" i="12" s="1"/>
  <c r="H1817" i="12" s="1"/>
  <c r="G1805" i="12" a="1"/>
  <c r="G1805" i="12" s="1"/>
  <c r="H1805" i="12" s="1"/>
  <c r="G1793" i="12" a="1"/>
  <c r="G1793" i="12" s="1"/>
  <c r="H1793" i="12" s="1"/>
  <c r="G1781" i="12" a="1"/>
  <c r="G1781" i="12" s="1"/>
  <c r="H1781" i="12" s="1"/>
  <c r="G1769" i="12" a="1"/>
  <c r="G1769" i="12" s="1"/>
  <c r="H1769" i="12" s="1"/>
  <c r="G1757" i="12" a="1"/>
  <c r="G1757" i="12" s="1"/>
  <c r="H1757" i="12" s="1"/>
  <c r="G1733" i="12" a="1"/>
  <c r="G1733" i="12" s="1"/>
  <c r="H1733" i="12" s="1"/>
  <c r="G1721" i="12" a="1"/>
  <c r="G1721" i="12" s="1"/>
  <c r="H1721" i="12" s="1"/>
  <c r="G1709" i="12" a="1"/>
  <c r="G1709" i="12" s="1"/>
  <c r="H1709" i="12" s="1"/>
  <c r="I1709" i="12" s="1"/>
  <c r="G1697" i="12" a="1"/>
  <c r="G1697" i="12" s="1"/>
  <c r="H1697" i="12" s="1"/>
  <c r="I1697" i="12" s="1"/>
  <c r="G1685" i="12" a="1"/>
  <c r="G1685" i="12" s="1"/>
  <c r="H1685" i="12" s="1"/>
  <c r="I1685" i="12" s="1"/>
  <c r="G1673" i="12" a="1"/>
  <c r="G1673" i="12" s="1"/>
  <c r="H1673" i="12" s="1"/>
  <c r="I1673" i="12" s="1"/>
  <c r="G1661" i="12" a="1"/>
  <c r="G1661" i="12" s="1"/>
  <c r="H1661" i="12" s="1"/>
  <c r="I1661" i="12" s="1"/>
  <c r="G1649" i="12" a="1"/>
  <c r="G1649" i="12" s="1"/>
  <c r="H1649" i="12" s="1"/>
  <c r="I1649" i="12" s="1"/>
  <c r="G1637" i="12" a="1"/>
  <c r="G1637" i="12" s="1"/>
  <c r="H1637" i="12" s="1"/>
  <c r="I1637" i="12" s="1"/>
  <c r="G1625" i="12" a="1"/>
  <c r="G1625" i="12" s="1"/>
  <c r="H1625" i="12" s="1"/>
  <c r="I1625" i="12" s="1"/>
  <c r="G1613" i="12" a="1"/>
  <c r="G1613" i="12" s="1"/>
  <c r="H1613" i="12" s="1"/>
  <c r="I1613" i="12" s="1"/>
  <c r="G1601" i="12" a="1"/>
  <c r="G1601" i="12" s="1"/>
  <c r="H1601" i="12" s="1"/>
  <c r="I1601" i="12" s="1"/>
  <c r="G1589" i="12" a="1"/>
  <c r="G1589" i="12" s="1"/>
  <c r="H1589" i="12" s="1"/>
  <c r="I1589" i="12" s="1"/>
  <c r="G1577" i="12" a="1"/>
  <c r="G1577" i="12" s="1"/>
  <c r="H1577" i="12" s="1"/>
  <c r="I1577" i="12" s="1"/>
  <c r="G1553" i="12" a="1"/>
  <c r="G1553" i="12" s="1"/>
  <c r="H1553" i="12" s="1"/>
  <c r="I1553" i="12" s="1"/>
  <c r="G1541" i="12" a="1"/>
  <c r="G1541" i="12" s="1"/>
  <c r="H1541" i="12" s="1"/>
  <c r="I1541" i="12" s="1"/>
  <c r="G1517" i="12" a="1"/>
  <c r="G1517" i="12" s="1"/>
  <c r="H1517" i="12" s="1"/>
  <c r="I1517" i="12" s="1"/>
  <c r="G1505" i="12" a="1"/>
  <c r="G1505" i="12" s="1"/>
  <c r="H1505" i="12" s="1"/>
  <c r="I1505" i="12" s="1"/>
  <c r="G1493" i="12" a="1"/>
  <c r="G1493" i="12" s="1"/>
  <c r="H1493" i="12" s="1"/>
  <c r="I1493" i="12" s="1"/>
  <c r="G1481" i="12" a="1"/>
  <c r="G1481" i="12" s="1"/>
  <c r="H1481" i="12" s="1"/>
  <c r="I1481" i="12" s="1"/>
  <c r="G1469" i="12" a="1"/>
  <c r="G1469" i="12" s="1"/>
  <c r="H1469" i="12" s="1"/>
  <c r="I1469" i="12" s="1"/>
  <c r="G1457" i="12" a="1"/>
  <c r="G1457" i="12" s="1"/>
  <c r="H1457" i="12" s="1"/>
  <c r="I1457" i="12" s="1"/>
  <c r="G1445" i="12" a="1"/>
  <c r="G1445" i="12" s="1"/>
  <c r="H1445" i="12" s="1"/>
  <c r="I1445" i="12" s="1"/>
  <c r="G1433" i="12" a="1"/>
  <c r="G1433" i="12" s="1"/>
  <c r="H1433" i="12" s="1"/>
  <c r="I1433" i="12" s="1"/>
  <c r="G1421" i="12" a="1"/>
  <c r="G1421" i="12" s="1"/>
  <c r="H1421" i="12" s="1"/>
  <c r="I1421" i="12" s="1"/>
  <c r="G1409" i="12" a="1"/>
  <c r="G1409" i="12" s="1"/>
  <c r="H1409" i="12" s="1"/>
  <c r="I1409" i="12" s="1"/>
  <c r="G1397" i="12" a="1"/>
  <c r="G1397" i="12" s="1"/>
  <c r="H1397" i="12" s="1"/>
  <c r="I1397" i="12" s="1"/>
  <c r="G1385" i="12" a="1"/>
  <c r="G1385" i="12" s="1"/>
  <c r="H1385" i="12" s="1"/>
  <c r="I1385" i="12" s="1"/>
  <c r="G1373" i="12" a="1"/>
  <c r="G1373" i="12" s="1"/>
  <c r="H1373" i="12" s="1"/>
  <c r="I1373" i="12" s="1"/>
  <c r="G1361" i="12" a="1"/>
  <c r="G1361" i="12" s="1"/>
  <c r="H1361" i="12" s="1"/>
  <c r="I1361" i="12" s="1"/>
  <c r="G1349" i="12" a="1"/>
  <c r="G1349" i="12" s="1"/>
  <c r="H1349" i="12" s="1"/>
  <c r="I1349" i="12" s="1"/>
  <c r="G1337" i="12" a="1"/>
  <c r="G1337" i="12" s="1"/>
  <c r="H1337" i="12" s="1"/>
  <c r="I1337" i="12" s="1"/>
  <c r="G1325" i="12" a="1"/>
  <c r="G1325" i="12" s="1"/>
  <c r="H1325" i="12" s="1"/>
  <c r="I1325" i="12" s="1"/>
  <c r="G1313" i="12" a="1"/>
  <c r="G1313" i="12" s="1"/>
  <c r="H1313" i="12" s="1"/>
  <c r="I1313" i="12" s="1"/>
  <c r="G1301" i="12" a="1"/>
  <c r="G1301" i="12" s="1"/>
  <c r="H1301" i="12" s="1"/>
  <c r="I1301" i="12" s="1"/>
  <c r="G1289" i="12" a="1"/>
  <c r="G1289" i="12" s="1"/>
  <c r="H1289" i="12" s="1"/>
  <c r="I1289" i="12" s="1"/>
  <c r="G1277" i="12" a="1"/>
  <c r="G1277" i="12" s="1"/>
  <c r="H1277" i="12" s="1"/>
  <c r="I1277" i="12" s="1"/>
  <c r="G1265" i="12" a="1"/>
  <c r="G1265" i="12" s="1"/>
  <c r="H1265" i="12" s="1"/>
  <c r="I1265" i="12" s="1"/>
  <c r="G1253" i="12" a="1"/>
  <c r="G1253" i="12" s="1"/>
  <c r="H1253" i="12" s="1"/>
  <c r="I1253" i="12" s="1"/>
  <c r="G1241" i="12" a="1"/>
  <c r="G1241" i="12" s="1"/>
  <c r="H1241" i="12" s="1"/>
  <c r="I1241" i="12" s="1"/>
  <c r="G1229" i="12" a="1"/>
  <c r="G1229" i="12" s="1"/>
  <c r="H1229" i="12" s="1"/>
  <c r="I1229" i="12" s="1"/>
  <c r="G1217" i="12" a="1"/>
  <c r="G1217" i="12" s="1"/>
  <c r="H1217" i="12" s="1"/>
  <c r="I1217" i="12" s="1"/>
  <c r="G1205" i="12" a="1"/>
  <c r="G1205" i="12" s="1"/>
  <c r="H1205" i="12" s="1"/>
  <c r="I1205" i="12" s="1"/>
  <c r="G1193" i="12" a="1"/>
  <c r="G1193" i="12" s="1"/>
  <c r="H1193" i="12" s="1"/>
  <c r="I1193" i="12" s="1"/>
  <c r="G1181" i="12" a="1"/>
  <c r="G1181" i="12" s="1"/>
  <c r="H1181" i="12" s="1"/>
  <c r="I1181" i="12" s="1"/>
  <c r="G1169" i="12" a="1"/>
  <c r="G1169" i="12" s="1"/>
  <c r="H1169" i="12" s="1"/>
  <c r="I1169" i="12" s="1"/>
  <c r="G1157" i="12" a="1"/>
  <c r="G1157" i="12" s="1"/>
  <c r="H1157" i="12" s="1"/>
  <c r="I1157" i="12" s="1"/>
  <c r="G1145" i="12" a="1"/>
  <c r="G1145" i="12" s="1"/>
  <c r="H1145" i="12" s="1"/>
  <c r="I1145" i="12" s="1"/>
  <c r="G1133" i="12" a="1"/>
  <c r="G1133" i="12" s="1"/>
  <c r="H1133" i="12" s="1"/>
  <c r="I1133" i="12" s="1"/>
  <c r="G1121" i="12" a="1"/>
  <c r="G1121" i="12" s="1"/>
  <c r="H1121" i="12" s="1"/>
  <c r="I1121" i="12" s="1"/>
  <c r="G1109" i="12" a="1"/>
  <c r="G1109" i="12" s="1"/>
  <c r="H1109" i="12" s="1"/>
  <c r="I1109" i="12" s="1"/>
  <c r="G1097" i="12" a="1"/>
  <c r="G1097" i="12" s="1"/>
  <c r="H1097" i="12" s="1"/>
  <c r="I1097" i="12" s="1"/>
  <c r="G1085" i="12" a="1"/>
  <c r="G1085" i="12" s="1"/>
  <c r="H1085" i="12" s="1"/>
  <c r="I1085" i="12" s="1"/>
  <c r="G1073" i="12" a="1"/>
  <c r="G1073" i="12" s="1"/>
  <c r="H1073" i="12" s="1"/>
  <c r="I1073" i="12" s="1"/>
  <c r="G1792" i="12" a="1"/>
  <c r="G1792" i="12" s="1"/>
  <c r="H1792" i="12" s="1"/>
  <c r="G1780" i="12" a="1"/>
  <c r="G1780" i="12" s="1"/>
  <c r="H1780" i="12" s="1"/>
  <c r="G1768" i="12" a="1"/>
  <c r="G1768" i="12" s="1"/>
  <c r="H1768" i="12" s="1"/>
  <c r="G1756" i="12" a="1"/>
  <c r="G1756" i="12" s="1"/>
  <c r="H1756" i="12" s="1"/>
  <c r="G1744" i="12" a="1"/>
  <c r="G1744" i="12" s="1"/>
  <c r="H1744" i="12" s="1"/>
  <c r="G1732" i="12" a="1"/>
  <c r="G1732" i="12" s="1"/>
  <c r="H1732" i="12" s="1"/>
  <c r="G1720" i="12" a="1"/>
  <c r="G1720" i="12" s="1"/>
  <c r="H1720" i="12" s="1"/>
  <c r="G1708" i="12" a="1"/>
  <c r="G1708" i="12" s="1"/>
  <c r="H1708" i="12" s="1"/>
  <c r="I1708" i="12" s="1"/>
  <c r="G1696" i="12" a="1"/>
  <c r="G1696" i="12" s="1"/>
  <c r="H1696" i="12" s="1"/>
  <c r="I1696" i="12" s="1"/>
  <c r="G1684" i="12" a="1"/>
  <c r="G1684" i="12" s="1"/>
  <c r="H1684" i="12" s="1"/>
  <c r="I1684" i="12" s="1"/>
  <c r="G1672" i="12" a="1"/>
  <c r="G1672" i="12" s="1"/>
  <c r="H1672" i="12" s="1"/>
  <c r="I1672" i="12" s="1"/>
  <c r="G1660" i="12" a="1"/>
  <c r="G1660" i="12" s="1"/>
  <c r="H1660" i="12" s="1"/>
  <c r="I1660" i="12" s="1"/>
  <c r="G1648" i="12" a="1"/>
  <c r="G1648" i="12" s="1"/>
  <c r="H1648" i="12" s="1"/>
  <c r="I1648" i="12" s="1"/>
  <c r="G1636" i="12" a="1"/>
  <c r="G1636" i="12" s="1"/>
  <c r="H1636" i="12" s="1"/>
  <c r="I1636" i="12" s="1"/>
  <c r="G1624" i="12" a="1"/>
  <c r="G1624" i="12" s="1"/>
  <c r="H1624" i="12" s="1"/>
  <c r="I1624" i="12" s="1"/>
  <c r="G1612" i="12" a="1"/>
  <c r="G1612" i="12" s="1"/>
  <c r="H1612" i="12" s="1"/>
  <c r="I1612" i="12" s="1"/>
  <c r="G1600" i="12" a="1"/>
  <c r="G1600" i="12" s="1"/>
  <c r="H1600" i="12" s="1"/>
  <c r="I1600" i="12" s="1"/>
  <c r="G1588" i="12" a="1"/>
  <c r="G1588" i="12" s="1"/>
  <c r="H1588" i="12" s="1"/>
  <c r="I1588" i="12" s="1"/>
  <c r="G1576" i="12" a="1"/>
  <c r="G1576" i="12" s="1"/>
  <c r="H1576" i="12" s="1"/>
  <c r="I1576" i="12" s="1"/>
  <c r="G1564" i="12" a="1"/>
  <c r="G1564" i="12" s="1"/>
  <c r="H1564" i="12" s="1"/>
  <c r="I1564" i="12" s="1"/>
  <c r="G1552" i="12" a="1"/>
  <c r="G1552" i="12" s="1"/>
  <c r="H1552" i="12" s="1"/>
  <c r="I1552" i="12" s="1"/>
  <c r="G1540" i="12" a="1"/>
  <c r="G1540" i="12" s="1"/>
  <c r="H1540" i="12" s="1"/>
  <c r="I1540" i="12" s="1"/>
  <c r="G1528" i="12" a="1"/>
  <c r="G1528" i="12" s="1"/>
  <c r="H1528" i="12" s="1"/>
  <c r="I1528" i="12" s="1"/>
  <c r="G1516" i="12" a="1"/>
  <c r="G1516" i="12" s="1"/>
  <c r="H1516" i="12" s="1"/>
  <c r="I1516" i="12" s="1"/>
  <c r="G1492" i="12" a="1"/>
  <c r="G1492" i="12" s="1"/>
  <c r="H1492" i="12" s="1"/>
  <c r="I1492" i="12" s="1"/>
  <c r="G1480" i="12" a="1"/>
  <c r="G1480" i="12" s="1"/>
  <c r="H1480" i="12" s="1"/>
  <c r="I1480" i="12" s="1"/>
  <c r="G1468" i="12" a="1"/>
  <c r="G1468" i="12" s="1"/>
  <c r="H1468" i="12" s="1"/>
  <c r="I1468" i="12" s="1"/>
  <c r="G1456" i="12" a="1"/>
  <c r="G1456" i="12" s="1"/>
  <c r="H1456" i="12" s="1"/>
  <c r="I1456" i="12" s="1"/>
  <c r="G1444" i="12" a="1"/>
  <c r="G1444" i="12" s="1"/>
  <c r="H1444" i="12" s="1"/>
  <c r="I1444" i="12" s="1"/>
  <c r="G1432" i="12" a="1"/>
  <c r="G1432" i="12" s="1"/>
  <c r="H1432" i="12" s="1"/>
  <c r="I1432" i="12" s="1"/>
  <c r="G1420" i="12" a="1"/>
  <c r="G1420" i="12" s="1"/>
  <c r="H1420" i="12" s="1"/>
  <c r="I1420" i="12" s="1"/>
  <c r="G1408" i="12" a="1"/>
  <c r="G1408" i="12" s="1"/>
  <c r="H1408" i="12" s="1"/>
  <c r="I1408" i="12" s="1"/>
  <c r="G1396" i="12" a="1"/>
  <c r="G1396" i="12" s="1"/>
  <c r="H1396" i="12" s="1"/>
  <c r="I1396" i="12" s="1"/>
  <c r="G1384" i="12" a="1"/>
  <c r="G1384" i="12" s="1"/>
  <c r="H1384" i="12" s="1"/>
  <c r="I1384" i="12" s="1"/>
  <c r="G1372" i="12" a="1"/>
  <c r="G1372" i="12" s="1"/>
  <c r="H1372" i="12" s="1"/>
  <c r="I1372" i="12" s="1"/>
  <c r="G1360" i="12" a="1"/>
  <c r="G1360" i="12" s="1"/>
  <c r="H1360" i="12" s="1"/>
  <c r="I1360" i="12" s="1"/>
  <c r="G1348" i="12" a="1"/>
  <c r="G1348" i="12" s="1"/>
  <c r="H1348" i="12" s="1"/>
  <c r="I1348" i="12" s="1"/>
  <c r="G1336" i="12" a="1"/>
  <c r="G1336" i="12" s="1"/>
  <c r="H1336" i="12" s="1"/>
  <c r="I1336" i="12" s="1"/>
  <c r="G1324" i="12" a="1"/>
  <c r="G1324" i="12" s="1"/>
  <c r="H1324" i="12" s="1"/>
  <c r="I1324" i="12" s="1"/>
  <c r="G1312" i="12" a="1"/>
  <c r="G1312" i="12" s="1"/>
  <c r="H1312" i="12" s="1"/>
  <c r="I1312" i="12" s="1"/>
  <c r="G1300" i="12" a="1"/>
  <c r="G1300" i="12" s="1"/>
  <c r="H1300" i="12" s="1"/>
  <c r="I1300" i="12" s="1"/>
  <c r="G1288" i="12" a="1"/>
  <c r="G1288" i="12" s="1"/>
  <c r="H1288" i="12" s="1"/>
  <c r="I1288" i="12" s="1"/>
  <c r="G1276" i="12" a="1"/>
  <c r="G1276" i="12" s="1"/>
  <c r="H1276" i="12" s="1"/>
  <c r="I1276" i="12" s="1"/>
  <c r="G1264" i="12" a="1"/>
  <c r="G1264" i="12" s="1"/>
  <c r="H1264" i="12" s="1"/>
  <c r="I1264" i="12" s="1"/>
  <c r="G1252" i="12" a="1"/>
  <c r="G1252" i="12" s="1"/>
  <c r="H1252" i="12" s="1"/>
  <c r="I1252" i="12" s="1"/>
  <c r="G1240" i="12" a="1"/>
  <c r="G1240" i="12" s="1"/>
  <c r="H1240" i="12" s="1"/>
  <c r="I1240" i="12" s="1"/>
  <c r="G1228" i="12" a="1"/>
  <c r="G1228" i="12" s="1"/>
  <c r="H1228" i="12" s="1"/>
  <c r="I1228" i="12" s="1"/>
  <c r="G1216" i="12" a="1"/>
  <c r="G1216" i="12" s="1"/>
  <c r="H1216" i="12" s="1"/>
  <c r="I1216" i="12" s="1"/>
  <c r="G1204" i="12" a="1"/>
  <c r="G1204" i="12" s="1"/>
  <c r="H1204" i="12" s="1"/>
  <c r="I1204" i="12" s="1"/>
  <c r="G1192" i="12" a="1"/>
  <c r="G1192" i="12" s="1"/>
  <c r="H1192" i="12" s="1"/>
  <c r="I1192" i="12" s="1"/>
  <c r="G1180" i="12" a="1"/>
  <c r="G1180" i="12" s="1"/>
  <c r="H1180" i="12" s="1"/>
  <c r="I1180" i="12" s="1"/>
  <c r="G1168" i="12" a="1"/>
  <c r="G1168" i="12" s="1"/>
  <c r="H1168" i="12" s="1"/>
  <c r="I1168" i="12" s="1"/>
  <c r="G1156" i="12" a="1"/>
  <c r="G1156" i="12" s="1"/>
  <c r="H1156" i="12" s="1"/>
  <c r="I1156" i="12" s="1"/>
  <c r="G1144" i="12" a="1"/>
  <c r="G1144" i="12" s="1"/>
  <c r="H1144" i="12" s="1"/>
  <c r="I1144" i="12" s="1"/>
  <c r="G1132" i="12" a="1"/>
  <c r="G1132" i="12" s="1"/>
  <c r="H1132" i="12" s="1"/>
  <c r="I1132" i="12" s="1"/>
  <c r="G1120" i="12" a="1"/>
  <c r="G1120" i="12" s="1"/>
  <c r="H1120" i="12" s="1"/>
  <c r="I1120" i="12" s="1"/>
  <c r="G1108" i="12" a="1"/>
  <c r="G1108" i="12" s="1"/>
  <c r="H1108" i="12" s="1"/>
  <c r="I1108" i="12" s="1"/>
  <c r="G1096" i="12" a="1"/>
  <c r="G1096" i="12" s="1"/>
  <c r="H1096" i="12" s="1"/>
  <c r="I1096" i="12" s="1"/>
  <c r="G1084" i="12" a="1"/>
  <c r="G1084" i="12" s="1"/>
  <c r="H1084" i="12" s="1"/>
  <c r="I1084" i="12" s="1"/>
  <c r="G1072" i="12" a="1"/>
  <c r="G1072" i="12" s="1"/>
  <c r="H1072" i="12" s="1"/>
  <c r="I1072" i="12" s="1"/>
  <c r="G1060" i="12" a="1"/>
  <c r="G1060" i="12" s="1"/>
  <c r="H1060" i="12" s="1"/>
  <c r="I1060" i="12" s="1"/>
  <c r="G1048" i="12" a="1"/>
  <c r="G1048" i="12" s="1"/>
  <c r="H1048" i="12" s="1"/>
  <c r="I1048" i="12" s="1"/>
  <c r="G1036" i="12" a="1"/>
  <c r="G1036" i="12" s="1"/>
  <c r="H1036" i="12" s="1"/>
  <c r="I1036" i="12" s="1"/>
  <c r="G1024" i="12" a="1"/>
  <c r="G1024" i="12" s="1"/>
  <c r="H1024" i="12" s="1"/>
  <c r="I1024" i="12" s="1"/>
  <c r="G1012" i="12" a="1"/>
  <c r="G1012" i="12" s="1"/>
  <c r="H1012" i="12" s="1"/>
  <c r="I1012" i="12" s="1"/>
  <c r="G1000" i="12" a="1"/>
  <c r="G1000" i="12" s="1"/>
  <c r="H1000" i="12" s="1"/>
  <c r="I1000" i="12" s="1"/>
  <c r="G988" i="12" a="1"/>
  <c r="G988" i="12" s="1"/>
  <c r="H988" i="12" s="1"/>
  <c r="I988" i="12" s="1"/>
  <c r="G976" i="12" a="1"/>
  <c r="G976" i="12" s="1"/>
  <c r="H976" i="12" s="1"/>
  <c r="I976" i="12" s="1"/>
  <c r="G964" i="12" a="1"/>
  <c r="G964" i="12" s="1"/>
  <c r="H964" i="12" s="1"/>
  <c r="I964" i="12" s="1"/>
  <c r="G952" i="12" a="1"/>
  <c r="G952" i="12" s="1"/>
  <c r="H952" i="12" s="1"/>
  <c r="I952" i="12" s="1"/>
  <c r="G940" i="12" a="1"/>
  <c r="G940" i="12" s="1"/>
  <c r="H940" i="12" s="1"/>
  <c r="I940" i="12" s="1"/>
  <c r="G928" i="12" a="1"/>
  <c r="G928" i="12" s="1"/>
  <c r="H928" i="12" s="1"/>
  <c r="I928" i="12" s="1"/>
  <c r="G916" i="12" a="1"/>
  <c r="G916" i="12" s="1"/>
  <c r="H916" i="12" s="1"/>
  <c r="I916" i="12" s="1"/>
  <c r="G904" i="12" a="1"/>
  <c r="G904" i="12" s="1"/>
  <c r="H904" i="12" s="1"/>
  <c r="I904" i="12" s="1"/>
  <c r="G892" i="12" a="1"/>
  <c r="G892" i="12" s="1"/>
  <c r="H892" i="12" s="1"/>
  <c r="I892" i="12" s="1"/>
  <c r="G880" i="12" a="1"/>
  <c r="G880" i="12" s="1"/>
  <c r="H880" i="12" s="1"/>
  <c r="I880" i="12" s="1"/>
  <c r="G868" i="12" a="1"/>
  <c r="G868" i="12" s="1"/>
  <c r="H868" i="12" s="1"/>
  <c r="I868" i="12" s="1"/>
  <c r="G856" i="12" a="1"/>
  <c r="G856" i="12" s="1"/>
  <c r="H856" i="12" s="1"/>
  <c r="I856" i="12" s="1"/>
  <c r="G844" i="12" a="1"/>
  <c r="G844" i="12" s="1"/>
  <c r="H844" i="12" s="1"/>
  <c r="I844" i="12" s="1"/>
  <c r="G832" i="12" a="1"/>
  <c r="G832" i="12" s="1"/>
  <c r="H832" i="12" s="1"/>
  <c r="I832" i="12" s="1"/>
  <c r="G820" i="12" a="1"/>
  <c r="G820" i="12" s="1"/>
  <c r="H820" i="12" s="1"/>
  <c r="I820" i="12" s="1"/>
  <c r="G808" i="12" a="1"/>
  <c r="G808" i="12" s="1"/>
  <c r="H808" i="12" s="1"/>
  <c r="I808" i="12" s="1"/>
  <c r="G796" i="12" a="1"/>
  <c r="G796" i="12" s="1"/>
  <c r="H796" i="12" s="1"/>
  <c r="I796" i="12" s="1"/>
  <c r="G784" i="12" a="1"/>
  <c r="G784" i="12" s="1"/>
  <c r="H784" i="12" s="1"/>
  <c r="I784" i="12" s="1"/>
  <c r="G772" i="12" a="1"/>
  <c r="G772" i="12" s="1"/>
  <c r="H772" i="12" s="1"/>
  <c r="I772" i="12" s="1"/>
  <c r="G760" i="12" a="1"/>
  <c r="G760" i="12" s="1"/>
  <c r="H760" i="12" s="1"/>
  <c r="I760" i="12" s="1"/>
  <c r="G748" i="12" a="1"/>
  <c r="G748" i="12" s="1"/>
  <c r="H748" i="12" s="1"/>
  <c r="I748" i="12" s="1"/>
  <c r="G736" i="12" a="1"/>
  <c r="G736" i="12" s="1"/>
  <c r="H736" i="12" s="1"/>
  <c r="I736" i="12" s="1"/>
  <c r="G724" i="12" a="1"/>
  <c r="G724" i="12" s="1"/>
  <c r="H724" i="12" s="1"/>
  <c r="I724" i="12" s="1"/>
  <c r="G712" i="12" a="1"/>
  <c r="G712" i="12" s="1"/>
  <c r="H712" i="12" s="1"/>
  <c r="I712" i="12" s="1"/>
  <c r="G700" i="12" a="1"/>
  <c r="G700" i="12" s="1"/>
  <c r="H700" i="12" s="1"/>
  <c r="I700" i="12" s="1"/>
  <c r="G688" i="12" a="1"/>
  <c r="G688" i="12" s="1"/>
  <c r="H688" i="12" s="1"/>
  <c r="I688" i="12" s="1"/>
  <c r="G424" i="12" a="1"/>
  <c r="G424" i="12" s="1"/>
  <c r="H424" i="12" s="1"/>
  <c r="I424" i="12" s="1"/>
  <c r="G1839" i="12" a="1"/>
  <c r="G1839" i="12" s="1"/>
  <c r="H1839" i="12" s="1"/>
  <c r="G1815" i="12" a="1"/>
  <c r="G1815" i="12" s="1"/>
  <c r="H1815" i="12" s="1"/>
  <c r="G1803" i="12" a="1"/>
  <c r="G1803" i="12" s="1"/>
  <c r="H1803" i="12" s="1"/>
  <c r="G1791" i="12" a="1"/>
  <c r="G1791" i="12" s="1"/>
  <c r="H1791" i="12" s="1"/>
  <c r="G1779" i="12" a="1"/>
  <c r="G1779" i="12" s="1"/>
  <c r="H1779" i="12" s="1"/>
  <c r="G1755" i="12" a="1"/>
  <c r="G1755" i="12" s="1"/>
  <c r="H1755" i="12" s="1"/>
  <c r="G1743" i="12" a="1"/>
  <c r="G1743" i="12" s="1"/>
  <c r="H1743" i="12" s="1"/>
  <c r="G1731" i="12" a="1"/>
  <c r="G1731" i="12" s="1"/>
  <c r="H1731" i="12" s="1"/>
  <c r="G1719" i="12" a="1"/>
  <c r="G1719" i="12" s="1"/>
  <c r="H1719" i="12" s="1"/>
  <c r="G1707" i="12" a="1"/>
  <c r="G1707" i="12" s="1"/>
  <c r="H1707" i="12" s="1"/>
  <c r="I1707" i="12" s="1"/>
  <c r="G1695" i="12" a="1"/>
  <c r="G1695" i="12" s="1"/>
  <c r="H1695" i="12" s="1"/>
  <c r="I1695" i="12" s="1"/>
  <c r="G1671" i="12" a="1"/>
  <c r="G1671" i="12" s="1"/>
  <c r="H1671" i="12" s="1"/>
  <c r="I1671" i="12" s="1"/>
  <c r="G1659" i="12" a="1"/>
  <c r="G1659" i="12" s="1"/>
  <c r="H1659" i="12" s="1"/>
  <c r="I1659" i="12" s="1"/>
  <c r="G1647" i="12" a="1"/>
  <c r="G1647" i="12" s="1"/>
  <c r="H1647" i="12" s="1"/>
  <c r="I1647" i="12" s="1"/>
  <c r="G1635" i="12" a="1"/>
  <c r="G1635" i="12" s="1"/>
  <c r="H1635" i="12" s="1"/>
  <c r="I1635" i="12" s="1"/>
  <c r="G1623" i="12" a="1"/>
  <c r="G1623" i="12" s="1"/>
  <c r="H1623" i="12" s="1"/>
  <c r="I1623" i="12" s="1"/>
  <c r="G1611" i="12" a="1"/>
  <c r="G1611" i="12" s="1"/>
  <c r="H1611" i="12" s="1"/>
  <c r="I1611" i="12" s="1"/>
  <c r="G1599" i="12" a="1"/>
  <c r="G1599" i="12" s="1"/>
  <c r="H1599" i="12" s="1"/>
  <c r="I1599" i="12" s="1"/>
  <c r="G1587" i="12" a="1"/>
  <c r="G1587" i="12" s="1"/>
  <c r="H1587" i="12" s="1"/>
  <c r="I1587" i="12" s="1"/>
  <c r="G1575" i="12" a="1"/>
  <c r="G1575" i="12" s="1"/>
  <c r="H1575" i="12" s="1"/>
  <c r="I1575" i="12" s="1"/>
  <c r="G1563" i="12" a="1"/>
  <c r="G1563" i="12" s="1"/>
  <c r="H1563" i="12" s="1"/>
  <c r="I1563" i="12" s="1"/>
  <c r="G1551" i="12" a="1"/>
  <c r="G1551" i="12" s="1"/>
  <c r="H1551" i="12" s="1"/>
  <c r="I1551" i="12" s="1"/>
  <c r="G1539" i="12" a="1"/>
  <c r="G1539" i="12" s="1"/>
  <c r="H1539" i="12" s="1"/>
  <c r="I1539" i="12" s="1"/>
  <c r="G1527" i="12" a="1"/>
  <c r="G1527" i="12" s="1"/>
  <c r="H1527" i="12" s="1"/>
  <c r="I1527" i="12" s="1"/>
  <c r="G1515" i="12" a="1"/>
  <c r="G1515" i="12" s="1"/>
  <c r="H1515" i="12" s="1"/>
  <c r="I1515" i="12" s="1"/>
  <c r="G1503" i="12" a="1"/>
  <c r="G1503" i="12" s="1"/>
  <c r="H1503" i="12" s="1"/>
  <c r="I1503" i="12" s="1"/>
  <c r="G1491" i="12" a="1"/>
  <c r="G1491" i="12" s="1"/>
  <c r="H1491" i="12" s="1"/>
  <c r="I1491" i="12" s="1"/>
  <c r="G1479" i="12" a="1"/>
  <c r="G1479" i="12" s="1"/>
  <c r="H1479" i="12" s="1"/>
  <c r="I1479" i="12" s="1"/>
  <c r="G1467" i="12" a="1"/>
  <c r="G1467" i="12" s="1"/>
  <c r="H1467" i="12" s="1"/>
  <c r="I1467" i="12" s="1"/>
  <c r="G1455" i="12" a="1"/>
  <c r="G1455" i="12" s="1"/>
  <c r="H1455" i="12" s="1"/>
  <c r="I1455" i="12" s="1"/>
  <c r="G1443" i="12" a="1"/>
  <c r="G1443" i="12" s="1"/>
  <c r="H1443" i="12" s="1"/>
  <c r="I1443" i="12" s="1"/>
  <c r="G1419" i="12" a="1"/>
  <c r="G1419" i="12" s="1"/>
  <c r="H1419" i="12" s="1"/>
  <c r="I1419" i="12" s="1"/>
  <c r="G1407" i="12" a="1"/>
  <c r="G1407" i="12" s="1"/>
  <c r="H1407" i="12" s="1"/>
  <c r="I1407" i="12" s="1"/>
  <c r="G1395" i="12" a="1"/>
  <c r="G1395" i="12" s="1"/>
  <c r="H1395" i="12" s="1"/>
  <c r="I1395" i="12" s="1"/>
  <c r="G1383" i="12" a="1"/>
  <c r="G1383" i="12" s="1"/>
  <c r="H1383" i="12" s="1"/>
  <c r="I1383" i="12" s="1"/>
  <c r="G1371" i="12" a="1"/>
  <c r="G1371" i="12" s="1"/>
  <c r="H1371" i="12" s="1"/>
  <c r="I1371" i="12" s="1"/>
  <c r="G1359" i="12" a="1"/>
  <c r="G1359" i="12" s="1"/>
  <c r="H1359" i="12" s="1"/>
  <c r="I1359" i="12" s="1"/>
  <c r="G1347" i="12" a="1"/>
  <c r="G1347" i="12" s="1"/>
  <c r="H1347" i="12" s="1"/>
  <c r="I1347" i="12" s="1"/>
  <c r="G1335" i="12" a="1"/>
  <c r="G1335" i="12" s="1"/>
  <c r="H1335" i="12" s="1"/>
  <c r="I1335" i="12" s="1"/>
  <c r="G1323" i="12" a="1"/>
  <c r="G1323" i="12" s="1"/>
  <c r="H1323" i="12" s="1"/>
  <c r="I1323" i="12" s="1"/>
  <c r="G1311" i="12" a="1"/>
  <c r="G1311" i="12" s="1"/>
  <c r="H1311" i="12" s="1"/>
  <c r="I1311" i="12" s="1"/>
  <c r="G1299" i="12" a="1"/>
  <c r="G1299" i="12" s="1"/>
  <c r="H1299" i="12" s="1"/>
  <c r="I1299" i="12" s="1"/>
  <c r="G1287" i="12" a="1"/>
  <c r="G1287" i="12" s="1"/>
  <c r="H1287" i="12" s="1"/>
  <c r="I1287" i="12" s="1"/>
  <c r="G1275" i="12" a="1"/>
  <c r="G1275" i="12" s="1"/>
  <c r="H1275" i="12" s="1"/>
  <c r="I1275" i="12" s="1"/>
  <c r="G1263" i="12" a="1"/>
  <c r="G1263" i="12" s="1"/>
  <c r="H1263" i="12" s="1"/>
  <c r="I1263" i="12" s="1"/>
  <c r="G1251" i="12" a="1"/>
  <c r="G1251" i="12" s="1"/>
  <c r="H1251" i="12" s="1"/>
  <c r="I1251" i="12" s="1"/>
  <c r="G1239" i="12" a="1"/>
  <c r="G1239" i="12" s="1"/>
  <c r="H1239" i="12" s="1"/>
  <c r="I1239" i="12" s="1"/>
  <c r="G1227" i="12" a="1"/>
  <c r="G1227" i="12" s="1"/>
  <c r="H1227" i="12" s="1"/>
  <c r="I1227" i="12" s="1"/>
  <c r="G1215" i="12" a="1"/>
  <c r="G1215" i="12" s="1"/>
  <c r="H1215" i="12" s="1"/>
  <c r="I1215" i="12" s="1"/>
  <c r="G1203" i="12" a="1"/>
  <c r="G1203" i="12" s="1"/>
  <c r="H1203" i="12" s="1"/>
  <c r="I1203" i="12" s="1"/>
  <c r="G1191" i="12" a="1"/>
  <c r="G1191" i="12" s="1"/>
  <c r="H1191" i="12" s="1"/>
  <c r="I1191" i="12" s="1"/>
  <c r="G1179" i="12" a="1"/>
  <c r="G1179" i="12" s="1"/>
  <c r="H1179" i="12" s="1"/>
  <c r="I1179" i="12" s="1"/>
  <c r="G1167" i="12" a="1"/>
  <c r="G1167" i="12" s="1"/>
  <c r="H1167" i="12" s="1"/>
  <c r="I1167" i="12" s="1"/>
  <c r="G1155" i="12" a="1"/>
  <c r="G1155" i="12" s="1"/>
  <c r="H1155" i="12" s="1"/>
  <c r="I1155" i="12" s="1"/>
  <c r="G1143" i="12" a="1"/>
  <c r="G1143" i="12" s="1"/>
  <c r="H1143" i="12" s="1"/>
  <c r="I1143" i="12" s="1"/>
  <c r="G1131" i="12" a="1"/>
  <c r="G1131" i="12" s="1"/>
  <c r="H1131" i="12" s="1"/>
  <c r="I1131" i="12" s="1"/>
  <c r="G1119" i="12" a="1"/>
  <c r="G1119" i="12" s="1"/>
  <c r="H1119" i="12" s="1"/>
  <c r="I1119" i="12" s="1"/>
  <c r="G1107" i="12" a="1"/>
  <c r="G1107" i="12" s="1"/>
  <c r="H1107" i="12" s="1"/>
  <c r="I1107" i="12" s="1"/>
  <c r="G1095" i="12" a="1"/>
  <c r="G1095" i="12" s="1"/>
  <c r="H1095" i="12" s="1"/>
  <c r="I1095" i="12" s="1"/>
  <c r="G1071" i="12" a="1"/>
  <c r="G1071" i="12" s="1"/>
  <c r="H1071" i="12" s="1"/>
  <c r="I1071" i="12" s="1"/>
  <c r="G1059" i="12" a="1"/>
  <c r="G1059" i="12" s="1"/>
  <c r="H1059" i="12" s="1"/>
  <c r="I1059" i="12" s="1"/>
  <c r="G1047" i="12" a="1"/>
  <c r="G1047" i="12" s="1"/>
  <c r="H1047" i="12" s="1"/>
  <c r="I1047" i="12" s="1"/>
  <c r="G1035" i="12" a="1"/>
  <c r="G1035" i="12" s="1"/>
  <c r="H1035" i="12" s="1"/>
  <c r="I1035" i="12" s="1"/>
  <c r="G1023" i="12" a="1"/>
  <c r="G1023" i="12" s="1"/>
  <c r="H1023" i="12" s="1"/>
  <c r="I1023" i="12" s="1"/>
  <c r="G1011" i="12" a="1"/>
  <c r="G1011" i="12" s="1"/>
  <c r="H1011" i="12" s="1"/>
  <c r="I1011" i="12" s="1"/>
  <c r="G999" i="12" a="1"/>
  <c r="G999" i="12" s="1"/>
  <c r="H999" i="12" s="1"/>
  <c r="I999" i="12" s="1"/>
  <c r="G987" i="12" a="1"/>
  <c r="G987" i="12" s="1"/>
  <c r="H987" i="12" s="1"/>
  <c r="I987" i="12" s="1"/>
  <c r="G975" i="12" a="1"/>
  <c r="G975" i="12" s="1"/>
  <c r="H975" i="12" s="1"/>
  <c r="I975" i="12" s="1"/>
  <c r="G963" i="12" a="1"/>
  <c r="G963" i="12" s="1"/>
  <c r="H963" i="12" s="1"/>
  <c r="I963" i="12" s="1"/>
  <c r="G951" i="12" a="1"/>
  <c r="G951" i="12" s="1"/>
  <c r="H951" i="12" s="1"/>
  <c r="I951" i="12" s="1"/>
  <c r="G939" i="12" a="1"/>
  <c r="G939" i="12" s="1"/>
  <c r="H939" i="12" s="1"/>
  <c r="I939" i="12" s="1"/>
  <c r="G927" i="12" a="1"/>
  <c r="G927" i="12" s="1"/>
  <c r="H927" i="12" s="1"/>
  <c r="I927" i="12" s="1"/>
  <c r="G915" i="12" a="1"/>
  <c r="G915" i="12" s="1"/>
  <c r="H915" i="12" s="1"/>
  <c r="I915" i="12" s="1"/>
  <c r="G903" i="12" a="1"/>
  <c r="G903" i="12" s="1"/>
  <c r="H903" i="12" s="1"/>
  <c r="I903" i="12" s="1"/>
  <c r="G1418" i="12" a="1"/>
  <c r="G1418" i="12" s="1"/>
  <c r="H1418" i="12" s="1"/>
  <c r="I1418" i="12" s="1"/>
  <c r="G1406" i="12" a="1"/>
  <c r="G1406" i="12" s="1"/>
  <c r="H1406" i="12" s="1"/>
  <c r="I1406" i="12" s="1"/>
  <c r="G1382" i="12" a="1"/>
  <c r="G1382" i="12" s="1"/>
  <c r="H1382" i="12" s="1"/>
  <c r="I1382" i="12" s="1"/>
  <c r="G1370" i="12" a="1"/>
  <c r="G1370" i="12" s="1"/>
  <c r="H1370" i="12" s="1"/>
  <c r="I1370" i="12" s="1"/>
  <c r="G1358" i="12" a="1"/>
  <c r="G1358" i="12" s="1"/>
  <c r="H1358" i="12" s="1"/>
  <c r="I1358" i="12" s="1"/>
  <c r="G1346" i="12" a="1"/>
  <c r="G1346" i="12" s="1"/>
  <c r="H1346" i="12" s="1"/>
  <c r="I1346" i="12" s="1"/>
  <c r="G1334" i="12" a="1"/>
  <c r="G1334" i="12" s="1"/>
  <c r="H1334" i="12" s="1"/>
  <c r="I1334" i="12" s="1"/>
  <c r="G1322" i="12" a="1"/>
  <c r="G1322" i="12" s="1"/>
  <c r="H1322" i="12" s="1"/>
  <c r="I1322" i="12" s="1"/>
  <c r="G1310" i="12" a="1"/>
  <c r="G1310" i="12" s="1"/>
  <c r="H1310" i="12" s="1"/>
  <c r="I1310" i="12" s="1"/>
  <c r="G1298" i="12" a="1"/>
  <c r="G1298" i="12" s="1"/>
  <c r="H1298" i="12" s="1"/>
  <c r="I1298" i="12" s="1"/>
  <c r="G1286" i="12" a="1"/>
  <c r="G1286" i="12" s="1"/>
  <c r="H1286" i="12" s="1"/>
  <c r="I1286" i="12" s="1"/>
  <c r="G1274" i="12" a="1"/>
  <c r="G1274" i="12" s="1"/>
  <c r="H1274" i="12" s="1"/>
  <c r="I1274" i="12" s="1"/>
  <c r="G1262" i="12" a="1"/>
  <c r="G1262" i="12" s="1"/>
  <c r="H1262" i="12" s="1"/>
  <c r="I1262" i="12" s="1"/>
  <c r="G1250" i="12" a="1"/>
  <c r="G1250" i="12" s="1"/>
  <c r="H1250" i="12" s="1"/>
  <c r="I1250" i="12" s="1"/>
  <c r="G1238" i="12" a="1"/>
  <c r="G1238" i="12" s="1"/>
  <c r="H1238" i="12" s="1"/>
  <c r="I1238" i="12" s="1"/>
  <c r="G1226" i="12" a="1"/>
  <c r="G1226" i="12" s="1"/>
  <c r="H1226" i="12" s="1"/>
  <c r="I1226" i="12" s="1"/>
  <c r="G1214" i="12" a="1"/>
  <c r="G1214" i="12" s="1"/>
  <c r="H1214" i="12" s="1"/>
  <c r="I1214" i="12" s="1"/>
  <c r="G1202" i="12" a="1"/>
  <c r="G1202" i="12" s="1"/>
  <c r="H1202" i="12" s="1"/>
  <c r="I1202" i="12" s="1"/>
  <c r="G1190" i="12" a="1"/>
  <c r="G1190" i="12" s="1"/>
  <c r="H1190" i="12" s="1"/>
  <c r="I1190" i="12" s="1"/>
  <c r="G1178" i="12" a="1"/>
  <c r="G1178" i="12" s="1"/>
  <c r="H1178" i="12" s="1"/>
  <c r="I1178" i="12" s="1"/>
  <c r="G1166" i="12" a="1"/>
  <c r="G1166" i="12" s="1"/>
  <c r="H1166" i="12" s="1"/>
  <c r="I1166" i="12" s="1"/>
  <c r="G1154" i="12" a="1"/>
  <c r="G1154" i="12" s="1"/>
  <c r="H1154" i="12" s="1"/>
  <c r="I1154" i="12" s="1"/>
  <c r="G1142" i="12" a="1"/>
  <c r="G1142" i="12" s="1"/>
  <c r="H1142" i="12" s="1"/>
  <c r="I1142" i="12" s="1"/>
  <c r="G1130" i="12" a="1"/>
  <c r="G1130" i="12" s="1"/>
  <c r="H1130" i="12" s="1"/>
  <c r="I1130" i="12" s="1"/>
  <c r="G1118" i="12" a="1"/>
  <c r="G1118" i="12" s="1"/>
  <c r="H1118" i="12" s="1"/>
  <c r="I1118" i="12" s="1"/>
  <c r="G1106" i="12" a="1"/>
  <c r="G1106" i="12" s="1"/>
  <c r="H1106" i="12" s="1"/>
  <c r="I1106" i="12" s="1"/>
  <c r="G1094" i="12" a="1"/>
  <c r="G1094" i="12" s="1"/>
  <c r="H1094" i="12" s="1"/>
  <c r="I1094" i="12" s="1"/>
  <c r="G1082" i="12" a="1"/>
  <c r="G1082" i="12" s="1"/>
  <c r="H1082" i="12" s="1"/>
  <c r="I1082" i="12" s="1"/>
  <c r="G1070" i="12" a="1"/>
  <c r="G1070" i="12" s="1"/>
  <c r="H1070" i="12" s="1"/>
  <c r="I1070" i="12" s="1"/>
  <c r="G1058" i="12" a="1"/>
  <c r="G1058" i="12" s="1"/>
  <c r="H1058" i="12" s="1"/>
  <c r="I1058" i="12" s="1"/>
  <c r="G1046" i="12" a="1"/>
  <c r="G1046" i="12" s="1"/>
  <c r="H1046" i="12" s="1"/>
  <c r="I1046" i="12" s="1"/>
  <c r="G1034" i="12" a="1"/>
  <c r="G1034" i="12" s="1"/>
  <c r="H1034" i="12" s="1"/>
  <c r="I1034" i="12" s="1"/>
  <c r="G1022" i="12" a="1"/>
  <c r="G1022" i="12" s="1"/>
  <c r="H1022" i="12" s="1"/>
  <c r="I1022" i="12" s="1"/>
  <c r="G1010" i="12" a="1"/>
  <c r="G1010" i="12" s="1"/>
  <c r="H1010" i="12" s="1"/>
  <c r="I1010" i="12" s="1"/>
  <c r="G998" i="12" a="1"/>
  <c r="G998" i="12" s="1"/>
  <c r="H998" i="12" s="1"/>
  <c r="I998" i="12" s="1"/>
  <c r="G986" i="12" a="1"/>
  <c r="G986" i="12" s="1"/>
  <c r="H986" i="12" s="1"/>
  <c r="I986" i="12" s="1"/>
  <c r="G974" i="12" a="1"/>
  <c r="G974" i="12" s="1"/>
  <c r="H974" i="12" s="1"/>
  <c r="I974" i="12" s="1"/>
  <c r="G962" i="12" a="1"/>
  <c r="G962" i="12" s="1"/>
  <c r="H962" i="12" s="1"/>
  <c r="I962" i="12" s="1"/>
  <c r="G950" i="12" a="1"/>
  <c r="G950" i="12" s="1"/>
  <c r="H950" i="12" s="1"/>
  <c r="I950" i="12" s="1"/>
  <c r="G938" i="12" a="1"/>
  <c r="G938" i="12" s="1"/>
  <c r="H938" i="12" s="1"/>
  <c r="I938" i="12" s="1"/>
  <c r="G926" i="12" a="1"/>
  <c r="G926" i="12" s="1"/>
  <c r="H926" i="12" s="1"/>
  <c r="I926" i="12" s="1"/>
  <c r="G914" i="12" a="1"/>
  <c r="G914" i="12" s="1"/>
  <c r="H914" i="12" s="1"/>
  <c r="I914" i="12" s="1"/>
  <c r="G902" i="12" a="1"/>
  <c r="G902" i="12" s="1"/>
  <c r="H902" i="12" s="1"/>
  <c r="I902" i="12" s="1"/>
  <c r="G890" i="12" a="1"/>
  <c r="G890" i="12" s="1"/>
  <c r="H890" i="12" s="1"/>
  <c r="I890" i="12" s="1"/>
  <c r="G878" i="12" a="1"/>
  <c r="G878" i="12" s="1"/>
  <c r="H878" i="12" s="1"/>
  <c r="I878" i="12" s="1"/>
  <c r="G866" i="12" a="1"/>
  <c r="G866" i="12" s="1"/>
  <c r="H866" i="12" s="1"/>
  <c r="I866" i="12" s="1"/>
  <c r="G854" i="12" a="1"/>
  <c r="G854" i="12" s="1"/>
  <c r="H854" i="12" s="1"/>
  <c r="I854" i="12" s="1"/>
  <c r="G842" i="12" a="1"/>
  <c r="G842" i="12" s="1"/>
  <c r="H842" i="12" s="1"/>
  <c r="I842" i="12" s="1"/>
  <c r="G830" i="12" a="1"/>
  <c r="G830" i="12" s="1"/>
  <c r="H830" i="12" s="1"/>
  <c r="I830" i="12" s="1"/>
  <c r="G818" i="12" a="1"/>
  <c r="G818" i="12" s="1"/>
  <c r="H818" i="12" s="1"/>
  <c r="I818" i="12" s="1"/>
  <c r="G806" i="12" a="1"/>
  <c r="G806" i="12" s="1"/>
  <c r="H806" i="12" s="1"/>
  <c r="I806" i="12" s="1"/>
  <c r="G794" i="12" a="1"/>
  <c r="G794" i="12" s="1"/>
  <c r="H794" i="12" s="1"/>
  <c r="I794" i="12" s="1"/>
  <c r="G782" i="12" a="1"/>
  <c r="G782" i="12" s="1"/>
  <c r="H782" i="12" s="1"/>
  <c r="I782" i="12" s="1"/>
  <c r="G770" i="12" a="1"/>
  <c r="G770" i="12" s="1"/>
  <c r="H770" i="12" s="1"/>
  <c r="I770" i="12" s="1"/>
  <c r="G758" i="12" a="1"/>
  <c r="G758" i="12" s="1"/>
  <c r="H758" i="12" s="1"/>
  <c r="I758" i="12" s="1"/>
  <c r="G746" i="12" a="1"/>
  <c r="G746" i="12" s="1"/>
  <c r="H746" i="12" s="1"/>
  <c r="I746" i="12" s="1"/>
  <c r="G734" i="12" a="1"/>
  <c r="G734" i="12" s="1"/>
  <c r="H734" i="12" s="1"/>
  <c r="I734" i="12" s="1"/>
  <c r="G710" i="12" a="1"/>
  <c r="G710" i="12" s="1"/>
  <c r="H710" i="12" s="1"/>
  <c r="I710" i="12" s="1"/>
  <c r="G698" i="12" a="1"/>
  <c r="G698" i="12" s="1"/>
  <c r="H698" i="12" s="1"/>
  <c r="I698" i="12" s="1"/>
  <c r="G686" i="12" a="1"/>
  <c r="G686" i="12" s="1"/>
  <c r="H686" i="12" s="1"/>
  <c r="I686" i="12" s="1"/>
  <c r="G674" i="12" a="1"/>
  <c r="G674" i="12" s="1"/>
  <c r="H674" i="12" s="1"/>
  <c r="I674" i="12" s="1"/>
  <c r="G662" i="12" a="1"/>
  <c r="G662" i="12" s="1"/>
  <c r="H662" i="12" s="1"/>
  <c r="I662" i="12" s="1"/>
  <c r="G650" i="12" a="1"/>
  <c r="G650" i="12" s="1"/>
  <c r="H650" i="12" s="1"/>
  <c r="I650" i="12" s="1"/>
  <c r="G638" i="12" a="1"/>
  <c r="G638" i="12" s="1"/>
  <c r="H638" i="12" s="1"/>
  <c r="I638" i="12" s="1"/>
  <c r="G626" i="12" a="1"/>
  <c r="G626" i="12" s="1"/>
  <c r="H626" i="12" s="1"/>
  <c r="I626" i="12" s="1"/>
  <c r="G614" i="12" a="1"/>
  <c r="G614" i="12" s="1"/>
  <c r="H614" i="12" s="1"/>
  <c r="I614" i="12" s="1"/>
  <c r="G602" i="12" a="1"/>
  <c r="G602" i="12" s="1"/>
  <c r="H602" i="12" s="1"/>
  <c r="I602" i="12" s="1"/>
  <c r="G590" i="12" a="1"/>
  <c r="G590" i="12" s="1"/>
  <c r="H590" i="12" s="1"/>
  <c r="I590" i="12" s="1"/>
  <c r="G578" i="12" a="1"/>
  <c r="G578" i="12" s="1"/>
  <c r="H578" i="12" s="1"/>
  <c r="I578" i="12" s="1"/>
  <c r="G566" i="12" a="1"/>
  <c r="G566" i="12" s="1"/>
  <c r="H566" i="12" s="1"/>
  <c r="I566" i="12" s="1"/>
  <c r="G554" i="12" a="1"/>
  <c r="G554" i="12" s="1"/>
  <c r="H554" i="12" s="1"/>
  <c r="I554" i="12" s="1"/>
  <c r="G422" i="12" a="1"/>
  <c r="G422" i="12" s="1"/>
  <c r="H422" i="12" s="1"/>
  <c r="I422" i="12" s="1"/>
  <c r="G1064" i="12" a="1"/>
  <c r="G1064" i="12" s="1"/>
  <c r="H1064" i="12" s="1"/>
  <c r="I1064" i="12" s="1"/>
  <c r="G1052" i="12" a="1"/>
  <c r="G1052" i="12" s="1"/>
  <c r="H1052" i="12" s="1"/>
  <c r="I1052" i="12" s="1"/>
  <c r="G1040" i="12" a="1"/>
  <c r="G1040" i="12" s="1"/>
  <c r="H1040" i="12" s="1"/>
  <c r="I1040" i="12" s="1"/>
  <c r="G1028" i="12" a="1"/>
  <c r="G1028" i="12" s="1"/>
  <c r="H1028" i="12" s="1"/>
  <c r="I1028" i="12" s="1"/>
  <c r="G1016" i="12" a="1"/>
  <c r="G1016" i="12" s="1"/>
  <c r="H1016" i="12" s="1"/>
  <c r="I1016" i="12" s="1"/>
  <c r="G1004" i="12" a="1"/>
  <c r="G1004" i="12" s="1"/>
  <c r="H1004" i="12" s="1"/>
  <c r="I1004" i="12" s="1"/>
  <c r="G992" i="12" a="1"/>
  <c r="G992" i="12" s="1"/>
  <c r="H992" i="12" s="1"/>
  <c r="I992" i="12" s="1"/>
  <c r="G980" i="12" a="1"/>
  <c r="G980" i="12" s="1"/>
  <c r="H980" i="12" s="1"/>
  <c r="I980" i="12" s="1"/>
  <c r="G968" i="12" a="1"/>
  <c r="G968" i="12" s="1"/>
  <c r="H968" i="12" s="1"/>
  <c r="I968" i="12" s="1"/>
  <c r="G956" i="12" a="1"/>
  <c r="G956" i="12" s="1"/>
  <c r="H956" i="12" s="1"/>
  <c r="I956" i="12" s="1"/>
  <c r="G944" i="12" a="1"/>
  <c r="G944" i="12" s="1"/>
  <c r="H944" i="12" s="1"/>
  <c r="I944" i="12" s="1"/>
  <c r="G932" i="12" a="1"/>
  <c r="G932" i="12" s="1"/>
  <c r="H932" i="12" s="1"/>
  <c r="I932" i="12" s="1"/>
  <c r="G920" i="12" a="1"/>
  <c r="G920" i="12" s="1"/>
  <c r="H920" i="12" s="1"/>
  <c r="I920" i="12" s="1"/>
  <c r="G908" i="12" a="1"/>
  <c r="G908" i="12" s="1"/>
  <c r="H908" i="12" s="1"/>
  <c r="I908" i="12" s="1"/>
  <c r="G896" i="12" a="1"/>
  <c r="G896" i="12" s="1"/>
  <c r="H896" i="12" s="1"/>
  <c r="I896" i="12" s="1"/>
  <c r="G884" i="12" a="1"/>
  <c r="G884" i="12" s="1"/>
  <c r="H884" i="12" s="1"/>
  <c r="I884" i="12" s="1"/>
  <c r="G872" i="12" a="1"/>
  <c r="G872" i="12" s="1"/>
  <c r="H872" i="12" s="1"/>
  <c r="I872" i="12" s="1"/>
  <c r="G860" i="12" a="1"/>
  <c r="G860" i="12" s="1"/>
  <c r="H860" i="12" s="1"/>
  <c r="I860" i="12" s="1"/>
  <c r="G848" i="12" a="1"/>
  <c r="G848" i="12" s="1"/>
  <c r="H848" i="12" s="1"/>
  <c r="I848" i="12" s="1"/>
  <c r="G824" i="12" a="1"/>
  <c r="G824" i="12" s="1"/>
  <c r="H824" i="12" s="1"/>
  <c r="I824" i="12" s="1"/>
  <c r="G812" i="12" a="1"/>
  <c r="G812" i="12" s="1"/>
  <c r="H812" i="12" s="1"/>
  <c r="I812" i="12" s="1"/>
  <c r="G800" i="12" a="1"/>
  <c r="G800" i="12" s="1"/>
  <c r="H800" i="12" s="1"/>
  <c r="I800" i="12" s="1"/>
  <c r="G788" i="12" a="1"/>
  <c r="G788" i="12" s="1"/>
  <c r="H788" i="12" s="1"/>
  <c r="I788" i="12" s="1"/>
  <c r="G776" i="12" a="1"/>
  <c r="G776" i="12" s="1"/>
  <c r="H776" i="12" s="1"/>
  <c r="I776" i="12" s="1"/>
  <c r="G764" i="12" a="1"/>
  <c r="G764" i="12" s="1"/>
  <c r="H764" i="12" s="1"/>
  <c r="I764" i="12" s="1"/>
  <c r="G752" i="12" a="1"/>
  <c r="G752" i="12" s="1"/>
  <c r="H752" i="12" s="1"/>
  <c r="I752" i="12" s="1"/>
  <c r="G740" i="12" a="1"/>
  <c r="G740" i="12" s="1"/>
  <c r="H740" i="12" s="1"/>
  <c r="I740" i="12" s="1"/>
  <c r="G728" i="12" a="1"/>
  <c r="G728" i="12" s="1"/>
  <c r="H728" i="12" s="1"/>
  <c r="I728" i="12" s="1"/>
  <c r="G716" i="12" a="1"/>
  <c r="G716" i="12" s="1"/>
  <c r="H716" i="12" s="1"/>
  <c r="I716" i="12" s="1"/>
  <c r="G704" i="12" a="1"/>
  <c r="G704" i="12" s="1"/>
  <c r="H704" i="12" s="1"/>
  <c r="I704" i="12" s="1"/>
  <c r="G692" i="12" a="1"/>
  <c r="G692" i="12" s="1"/>
  <c r="H692" i="12" s="1"/>
  <c r="I692" i="12" s="1"/>
  <c r="G680" i="12" a="1"/>
  <c r="G680" i="12" s="1"/>
  <c r="H680" i="12" s="1"/>
  <c r="I680" i="12" s="1"/>
  <c r="G668" i="12" a="1"/>
  <c r="G668" i="12" s="1"/>
  <c r="H668" i="12" s="1"/>
  <c r="I668" i="12" s="1"/>
  <c r="G656" i="12" a="1"/>
  <c r="G656" i="12" s="1"/>
  <c r="H656" i="12" s="1"/>
  <c r="I656" i="12" s="1"/>
  <c r="G644" i="12" a="1"/>
  <c r="G644" i="12" s="1"/>
  <c r="H644" i="12" s="1"/>
  <c r="I644" i="12" s="1"/>
  <c r="G632" i="12" a="1"/>
  <c r="G632" i="12" s="1"/>
  <c r="H632" i="12" s="1"/>
  <c r="I632" i="12" s="1"/>
  <c r="G620" i="12" a="1"/>
  <c r="G620" i="12" s="1"/>
  <c r="H620" i="12" s="1"/>
  <c r="I620" i="12" s="1"/>
  <c r="G608" i="12" a="1"/>
  <c r="G608" i="12" s="1"/>
  <c r="H608" i="12" s="1"/>
  <c r="I608" i="12" s="1"/>
  <c r="G596" i="12" a="1"/>
  <c r="G596" i="12" s="1"/>
  <c r="H596" i="12" s="1"/>
  <c r="I596" i="12" s="1"/>
  <c r="G584" i="12" a="1"/>
  <c r="G584" i="12" s="1"/>
  <c r="H584" i="12" s="1"/>
  <c r="I584" i="12" s="1"/>
  <c r="G572" i="12" a="1"/>
  <c r="G572" i="12" s="1"/>
  <c r="H572" i="12" s="1"/>
  <c r="I572" i="12" s="1"/>
  <c r="G560" i="12" a="1"/>
  <c r="G560" i="12" s="1"/>
  <c r="H560" i="12" s="1"/>
  <c r="I560" i="12" s="1"/>
  <c r="G548" i="12" a="1"/>
  <c r="G548" i="12" s="1"/>
  <c r="H548" i="12" s="1"/>
  <c r="I548" i="12" s="1"/>
  <c r="G536" i="12" a="1"/>
  <c r="G536" i="12" s="1"/>
  <c r="H536" i="12" s="1"/>
  <c r="I536" i="12" s="1"/>
  <c r="G524" i="12" a="1"/>
  <c r="G524" i="12" s="1"/>
  <c r="H524" i="12" s="1"/>
  <c r="I524" i="12" s="1"/>
  <c r="G512" i="12" a="1"/>
  <c r="G512" i="12" s="1"/>
  <c r="H512" i="12" s="1"/>
  <c r="I512" i="12" s="1"/>
  <c r="G882" i="12" a="1"/>
  <c r="G882" i="12" s="1"/>
  <c r="H882" i="12" s="1"/>
  <c r="I882" i="12" s="1"/>
  <c r="G870" i="12" a="1"/>
  <c r="G870" i="12" s="1"/>
  <c r="H870" i="12" s="1"/>
  <c r="I870" i="12" s="1"/>
  <c r="G858" i="12" a="1"/>
  <c r="G858" i="12" s="1"/>
  <c r="H858" i="12" s="1"/>
  <c r="I858" i="12" s="1"/>
  <c r="G846" i="12" a="1"/>
  <c r="G846" i="12" s="1"/>
  <c r="H846" i="12" s="1"/>
  <c r="I846" i="12" s="1"/>
  <c r="G834" i="12" a="1"/>
  <c r="G834" i="12" s="1"/>
  <c r="H834" i="12" s="1"/>
  <c r="I834" i="12" s="1"/>
  <c r="G822" i="12" a="1"/>
  <c r="G822" i="12" s="1"/>
  <c r="H822" i="12" s="1"/>
  <c r="I822" i="12" s="1"/>
  <c r="G810" i="12" a="1"/>
  <c r="G810" i="12" s="1"/>
  <c r="H810" i="12" s="1"/>
  <c r="I810" i="12" s="1"/>
  <c r="G798" i="12" a="1"/>
  <c r="G798" i="12" s="1"/>
  <c r="H798" i="12" s="1"/>
  <c r="I798" i="12" s="1"/>
  <c r="G786" i="12" a="1"/>
  <c r="G786" i="12" s="1"/>
  <c r="H786" i="12" s="1"/>
  <c r="I786" i="12" s="1"/>
  <c r="G774" i="12" a="1"/>
  <c r="G774" i="12" s="1"/>
  <c r="H774" i="12" s="1"/>
  <c r="I774" i="12" s="1"/>
  <c r="G762" i="12" a="1"/>
  <c r="G762" i="12" s="1"/>
  <c r="H762" i="12" s="1"/>
  <c r="I762" i="12" s="1"/>
  <c r="G750" i="12" a="1"/>
  <c r="G750" i="12" s="1"/>
  <c r="H750" i="12" s="1"/>
  <c r="I750" i="12" s="1"/>
  <c r="G738" i="12" a="1"/>
  <c r="G738" i="12" s="1"/>
  <c r="H738" i="12" s="1"/>
  <c r="I738" i="12" s="1"/>
  <c r="G726" i="12" a="1"/>
  <c r="G726" i="12" s="1"/>
  <c r="H726" i="12" s="1"/>
  <c r="I726" i="12" s="1"/>
  <c r="G714" i="12" a="1"/>
  <c r="G714" i="12" s="1"/>
  <c r="H714" i="12" s="1"/>
  <c r="I714" i="12" s="1"/>
  <c r="G702" i="12" a="1"/>
  <c r="G702" i="12" s="1"/>
  <c r="H702" i="12" s="1"/>
  <c r="I702" i="12" s="1"/>
  <c r="G690" i="12" a="1"/>
  <c r="G690" i="12" s="1"/>
  <c r="H690" i="12" s="1"/>
  <c r="I690" i="12" s="1"/>
  <c r="G678" i="12" a="1"/>
  <c r="G678" i="12" s="1"/>
  <c r="H678" i="12" s="1"/>
  <c r="I678" i="12" s="1"/>
  <c r="G666" i="12" a="1"/>
  <c r="G666" i="12" s="1"/>
  <c r="H666" i="12" s="1"/>
  <c r="I666" i="12" s="1"/>
  <c r="G654" i="12" a="1"/>
  <c r="G654" i="12" s="1"/>
  <c r="H654" i="12" s="1"/>
  <c r="I654" i="12" s="1"/>
  <c r="G642" i="12" a="1"/>
  <c r="G642" i="12" s="1"/>
  <c r="H642" i="12" s="1"/>
  <c r="I642" i="12" s="1"/>
  <c r="G630" i="12" a="1"/>
  <c r="G630" i="12" s="1"/>
  <c r="H630" i="12" s="1"/>
  <c r="I630" i="12" s="1"/>
  <c r="G618" i="12" a="1"/>
  <c r="G618" i="12" s="1"/>
  <c r="H618" i="12" s="1"/>
  <c r="I618" i="12" s="1"/>
  <c r="G606" i="12" a="1"/>
  <c r="G606" i="12" s="1"/>
  <c r="H606" i="12" s="1"/>
  <c r="I606" i="12" s="1"/>
  <c r="G594" i="12" a="1"/>
  <c r="G594" i="12" s="1"/>
  <c r="H594" i="12" s="1"/>
  <c r="I594" i="12" s="1"/>
  <c r="G582" i="12" a="1"/>
  <c r="G582" i="12" s="1"/>
  <c r="H582" i="12" s="1"/>
  <c r="I582" i="12" s="1"/>
  <c r="G570" i="12" a="1"/>
  <c r="G570" i="12" s="1"/>
  <c r="H570" i="12" s="1"/>
  <c r="I570" i="12" s="1"/>
  <c r="G558" i="12" a="1"/>
  <c r="G558" i="12" s="1"/>
  <c r="H558" i="12" s="1"/>
  <c r="I558" i="12" s="1"/>
  <c r="G546" i="12" a="1"/>
  <c r="G546" i="12" s="1"/>
  <c r="H546" i="12" s="1"/>
  <c r="I546" i="12" s="1"/>
  <c r="G522" i="12" a="1"/>
  <c r="G522" i="12" s="1"/>
  <c r="H522" i="12" s="1"/>
  <c r="I522" i="12" s="1"/>
  <c r="G510" i="12" a="1"/>
  <c r="G510" i="12" s="1"/>
  <c r="H510" i="12" s="1"/>
  <c r="I510" i="12" s="1"/>
  <c r="G498" i="12" a="1"/>
  <c r="G498" i="12" s="1"/>
  <c r="H498" i="12" s="1"/>
  <c r="I498" i="12" s="1"/>
  <c r="G486" i="12" a="1"/>
  <c r="G486" i="12" s="1"/>
  <c r="H486" i="12" s="1"/>
  <c r="I486" i="12" s="1"/>
  <c r="G474" i="12" a="1"/>
  <c r="G474" i="12" s="1"/>
  <c r="H474" i="12" s="1"/>
  <c r="I474" i="12" s="1"/>
  <c r="G462" i="12" a="1"/>
  <c r="G462" i="12" s="1"/>
  <c r="H462" i="12" s="1"/>
  <c r="I462" i="12" s="1"/>
  <c r="G450" i="12" a="1"/>
  <c r="G450" i="12" s="1"/>
  <c r="H450" i="12" s="1"/>
  <c r="I450" i="12" s="1"/>
  <c r="G438" i="12" a="1"/>
  <c r="G438" i="12" s="1"/>
  <c r="H438" i="12" s="1"/>
  <c r="I438" i="12" s="1"/>
  <c r="G426" i="12" a="1"/>
  <c r="G426" i="12" s="1"/>
  <c r="H426" i="12" s="1"/>
  <c r="I426" i="12" s="1"/>
  <c r="G414" i="12" a="1"/>
  <c r="G414" i="12" s="1"/>
  <c r="H414" i="12" s="1"/>
  <c r="I414" i="12" s="1"/>
  <c r="G402" i="12" a="1"/>
  <c r="G402" i="12" s="1"/>
  <c r="H402" i="12" s="1"/>
  <c r="I402" i="12" s="1"/>
  <c r="G390" i="12" a="1"/>
  <c r="G390" i="12" s="1"/>
  <c r="H390" i="12" s="1"/>
  <c r="I390" i="12" s="1"/>
  <c r="G378" i="12" a="1"/>
  <c r="G378" i="12" s="1"/>
  <c r="H378" i="12" s="1"/>
  <c r="I378" i="12" s="1"/>
  <c r="G366" i="12" a="1"/>
  <c r="G366" i="12" s="1"/>
  <c r="H366" i="12" s="1"/>
  <c r="I366" i="12" s="1"/>
  <c r="G354" i="12" a="1"/>
  <c r="G354" i="12" s="1"/>
  <c r="H354" i="12" s="1"/>
  <c r="I354" i="12" s="1"/>
  <c r="G342" i="12" a="1"/>
  <c r="G342" i="12" s="1"/>
  <c r="H342" i="12" s="1"/>
  <c r="I342" i="12" s="1"/>
  <c r="G330" i="12" a="1"/>
  <c r="G330" i="12" s="1"/>
  <c r="H330" i="12" s="1"/>
  <c r="I330" i="12" s="1"/>
  <c r="G258" i="12" a="1"/>
  <c r="G258" i="12" s="1"/>
  <c r="H258" i="12" s="1"/>
  <c r="I258" i="12" s="1"/>
  <c r="G1061" i="12" a="1"/>
  <c r="G1061" i="12" s="1"/>
  <c r="H1061" i="12" s="1"/>
  <c r="I1061" i="12" s="1"/>
  <c r="G1049" i="12" a="1"/>
  <c r="G1049" i="12" s="1"/>
  <c r="H1049" i="12" s="1"/>
  <c r="I1049" i="12" s="1"/>
  <c r="G1037" i="12" a="1"/>
  <c r="G1037" i="12" s="1"/>
  <c r="H1037" i="12" s="1"/>
  <c r="I1037" i="12" s="1"/>
  <c r="G1025" i="12" a="1"/>
  <c r="G1025" i="12" s="1"/>
  <c r="H1025" i="12" s="1"/>
  <c r="I1025" i="12" s="1"/>
  <c r="G1013" i="12" a="1"/>
  <c r="G1013" i="12" s="1"/>
  <c r="H1013" i="12" s="1"/>
  <c r="I1013" i="12" s="1"/>
  <c r="G1001" i="12" a="1"/>
  <c r="G1001" i="12" s="1"/>
  <c r="H1001" i="12" s="1"/>
  <c r="I1001" i="12" s="1"/>
  <c r="G989" i="12" a="1"/>
  <c r="G989" i="12" s="1"/>
  <c r="H989" i="12" s="1"/>
  <c r="I989" i="12" s="1"/>
  <c r="G977" i="12" a="1"/>
  <c r="G977" i="12" s="1"/>
  <c r="H977" i="12" s="1"/>
  <c r="I977" i="12" s="1"/>
  <c r="G965" i="12" a="1"/>
  <c r="G965" i="12" s="1"/>
  <c r="H965" i="12" s="1"/>
  <c r="I965" i="12" s="1"/>
  <c r="G953" i="12" a="1"/>
  <c r="G953" i="12" s="1"/>
  <c r="H953" i="12" s="1"/>
  <c r="I953" i="12" s="1"/>
  <c r="G941" i="12" a="1"/>
  <c r="G941" i="12" s="1"/>
  <c r="H941" i="12" s="1"/>
  <c r="I941" i="12" s="1"/>
  <c r="G929" i="12" a="1"/>
  <c r="G929" i="12" s="1"/>
  <c r="H929" i="12" s="1"/>
  <c r="I929" i="12" s="1"/>
  <c r="G917" i="12" a="1"/>
  <c r="G917" i="12" s="1"/>
  <c r="H917" i="12" s="1"/>
  <c r="I917" i="12" s="1"/>
  <c r="G905" i="12" a="1"/>
  <c r="G905" i="12" s="1"/>
  <c r="H905" i="12" s="1"/>
  <c r="I905" i="12" s="1"/>
  <c r="G893" i="12" a="1"/>
  <c r="G893" i="12" s="1"/>
  <c r="H893" i="12" s="1"/>
  <c r="I893" i="12" s="1"/>
  <c r="G881" i="12" a="1"/>
  <c r="G881" i="12" s="1"/>
  <c r="H881" i="12" s="1"/>
  <c r="I881" i="12" s="1"/>
  <c r="G869" i="12" a="1"/>
  <c r="G869" i="12" s="1"/>
  <c r="H869" i="12" s="1"/>
  <c r="I869" i="12" s="1"/>
  <c r="G857" i="12" a="1"/>
  <c r="G857" i="12" s="1"/>
  <c r="H857" i="12" s="1"/>
  <c r="I857" i="12" s="1"/>
  <c r="G845" i="12" a="1"/>
  <c r="G845" i="12" s="1"/>
  <c r="H845" i="12" s="1"/>
  <c r="I845" i="12" s="1"/>
  <c r="G833" i="12" a="1"/>
  <c r="G833" i="12" s="1"/>
  <c r="H833" i="12" s="1"/>
  <c r="I833" i="12" s="1"/>
  <c r="G821" i="12" a="1"/>
  <c r="G821" i="12" s="1"/>
  <c r="H821" i="12" s="1"/>
  <c r="I821" i="12" s="1"/>
  <c r="G809" i="12" a="1"/>
  <c r="G809" i="12" s="1"/>
  <c r="H809" i="12" s="1"/>
  <c r="I809" i="12" s="1"/>
  <c r="G797" i="12" a="1"/>
  <c r="G797" i="12" s="1"/>
  <c r="H797" i="12" s="1"/>
  <c r="I797" i="12" s="1"/>
  <c r="G785" i="12" a="1"/>
  <c r="G785" i="12" s="1"/>
  <c r="H785" i="12" s="1"/>
  <c r="I785" i="12" s="1"/>
  <c r="G773" i="12" a="1"/>
  <c r="G773" i="12" s="1"/>
  <c r="H773" i="12" s="1"/>
  <c r="I773" i="12" s="1"/>
  <c r="G761" i="12" a="1"/>
  <c r="G761" i="12" s="1"/>
  <c r="H761" i="12" s="1"/>
  <c r="I761" i="12" s="1"/>
  <c r="G749" i="12" a="1"/>
  <c r="G749" i="12" s="1"/>
  <c r="H749" i="12" s="1"/>
  <c r="I749" i="12" s="1"/>
  <c r="G737" i="12" a="1"/>
  <c r="G737" i="12" s="1"/>
  <c r="H737" i="12" s="1"/>
  <c r="I737" i="12" s="1"/>
  <c r="G725" i="12" a="1"/>
  <c r="G725" i="12" s="1"/>
  <c r="H725" i="12" s="1"/>
  <c r="I725" i="12" s="1"/>
  <c r="G713" i="12" a="1"/>
  <c r="G713" i="12" s="1"/>
  <c r="H713" i="12" s="1"/>
  <c r="I713" i="12" s="1"/>
  <c r="G701" i="12" a="1"/>
  <c r="G701" i="12" s="1"/>
  <c r="H701" i="12" s="1"/>
  <c r="I701" i="12" s="1"/>
  <c r="G689" i="12" a="1"/>
  <c r="G689" i="12" s="1"/>
  <c r="H689" i="12" s="1"/>
  <c r="I689" i="12" s="1"/>
  <c r="G677" i="12" a="1"/>
  <c r="G677" i="12" s="1"/>
  <c r="H677" i="12" s="1"/>
  <c r="I677" i="12" s="1"/>
  <c r="G665" i="12" a="1"/>
  <c r="G665" i="12" s="1"/>
  <c r="H665" i="12" s="1"/>
  <c r="I665" i="12" s="1"/>
  <c r="G653" i="12" a="1"/>
  <c r="G653" i="12" s="1"/>
  <c r="H653" i="12" s="1"/>
  <c r="I653" i="12" s="1"/>
  <c r="G641" i="12" a="1"/>
  <c r="G641" i="12" s="1"/>
  <c r="H641" i="12" s="1"/>
  <c r="I641" i="12" s="1"/>
  <c r="G629" i="12" a="1"/>
  <c r="G629" i="12" s="1"/>
  <c r="H629" i="12" s="1"/>
  <c r="I629" i="12" s="1"/>
  <c r="G617" i="12" a="1"/>
  <c r="G617" i="12" s="1"/>
  <c r="H617" i="12" s="1"/>
  <c r="I617" i="12" s="1"/>
  <c r="G605" i="12" a="1"/>
  <c r="G605" i="12" s="1"/>
  <c r="H605" i="12" s="1"/>
  <c r="I605" i="12" s="1"/>
  <c r="G593" i="12" a="1"/>
  <c r="G593" i="12" s="1"/>
  <c r="H593" i="12" s="1"/>
  <c r="I593" i="12" s="1"/>
  <c r="G581" i="12" a="1"/>
  <c r="G581" i="12" s="1"/>
  <c r="H581" i="12" s="1"/>
  <c r="I581" i="12" s="1"/>
  <c r="G569" i="12" a="1"/>
  <c r="G569" i="12" s="1"/>
  <c r="H569" i="12" s="1"/>
  <c r="I569" i="12" s="1"/>
  <c r="G557" i="12" a="1"/>
  <c r="G557" i="12" s="1"/>
  <c r="H557" i="12" s="1"/>
  <c r="I557" i="12" s="1"/>
  <c r="G545" i="12" a="1"/>
  <c r="G545" i="12" s="1"/>
  <c r="H545" i="12" s="1"/>
  <c r="I545" i="12" s="1"/>
  <c r="G533" i="12" a="1"/>
  <c r="G533" i="12" s="1"/>
  <c r="H533" i="12" s="1"/>
  <c r="I533" i="12" s="1"/>
  <c r="G521" i="12" a="1"/>
  <c r="G521" i="12" s="1"/>
  <c r="H521" i="12" s="1"/>
  <c r="I521" i="12" s="1"/>
  <c r="G509" i="12" a="1"/>
  <c r="G509" i="12" s="1"/>
  <c r="H509" i="12" s="1"/>
  <c r="I509" i="12" s="1"/>
  <c r="G497" i="12" a="1"/>
  <c r="G497" i="12" s="1"/>
  <c r="H497" i="12" s="1"/>
  <c r="I497" i="12" s="1"/>
  <c r="G485" i="12" a="1"/>
  <c r="G485" i="12" s="1"/>
  <c r="H485" i="12" s="1"/>
  <c r="I485" i="12" s="1"/>
  <c r="G473" i="12" a="1"/>
  <c r="G473" i="12" s="1"/>
  <c r="H473" i="12" s="1"/>
  <c r="I473" i="12" s="1"/>
  <c r="G461" i="12" a="1"/>
  <c r="G461" i="12" s="1"/>
  <c r="H461" i="12" s="1"/>
  <c r="I461" i="12" s="1"/>
  <c r="G449" i="12" a="1"/>
  <c r="G449" i="12" s="1"/>
  <c r="H449" i="12" s="1"/>
  <c r="I449" i="12" s="1"/>
  <c r="G437" i="12" a="1"/>
  <c r="G437" i="12" s="1"/>
  <c r="H437" i="12" s="1"/>
  <c r="I437" i="12" s="1"/>
  <c r="G425" i="12" a="1"/>
  <c r="G425" i="12" s="1"/>
  <c r="H425" i="12" s="1"/>
  <c r="I425" i="12" s="1"/>
  <c r="G413" i="12" a="1"/>
  <c r="G413" i="12" s="1"/>
  <c r="H413" i="12" s="1"/>
  <c r="I413" i="12" s="1"/>
  <c r="G401" i="12" a="1"/>
  <c r="G401" i="12" s="1"/>
  <c r="H401" i="12" s="1"/>
  <c r="I401" i="12" s="1"/>
  <c r="G389" i="12" a="1"/>
  <c r="G389" i="12" s="1"/>
  <c r="H389" i="12" s="1"/>
  <c r="I389" i="12" s="1"/>
  <c r="G377" i="12" a="1"/>
  <c r="G377" i="12" s="1"/>
  <c r="H377" i="12" s="1"/>
  <c r="I377" i="12" s="1"/>
  <c r="G365" i="12" a="1"/>
  <c r="G365" i="12" s="1"/>
  <c r="H365" i="12" s="1"/>
  <c r="I365" i="12" s="1"/>
  <c r="G353" i="12" a="1"/>
  <c r="G353" i="12" s="1"/>
  <c r="H353" i="12" s="1"/>
  <c r="I353" i="12" s="1"/>
  <c r="G269" i="12" a="1"/>
  <c r="G269" i="12" s="1"/>
  <c r="H269" i="12" s="1"/>
  <c r="I269" i="12" s="1"/>
  <c r="G676" i="12" a="1"/>
  <c r="G676" i="12" s="1"/>
  <c r="H676" i="12" s="1"/>
  <c r="I676" i="12" s="1"/>
  <c r="G664" i="12" a="1"/>
  <c r="G664" i="12" s="1"/>
  <c r="H664" i="12" s="1"/>
  <c r="I664" i="12" s="1"/>
  <c r="G652" i="12" a="1"/>
  <c r="G652" i="12" s="1"/>
  <c r="H652" i="12" s="1"/>
  <c r="I652" i="12" s="1"/>
  <c r="G640" i="12" a="1"/>
  <c r="G640" i="12" s="1"/>
  <c r="H640" i="12" s="1"/>
  <c r="I640" i="12" s="1"/>
  <c r="G628" i="12" a="1"/>
  <c r="G628" i="12" s="1"/>
  <c r="H628" i="12" s="1"/>
  <c r="I628" i="12" s="1"/>
  <c r="G616" i="12" a="1"/>
  <c r="G616" i="12" s="1"/>
  <c r="H616" i="12" s="1"/>
  <c r="I616" i="12" s="1"/>
  <c r="G604" i="12" a="1"/>
  <c r="G604" i="12" s="1"/>
  <c r="H604" i="12" s="1"/>
  <c r="I604" i="12" s="1"/>
  <c r="G592" i="12" a="1"/>
  <c r="G592" i="12" s="1"/>
  <c r="H592" i="12" s="1"/>
  <c r="I592" i="12" s="1"/>
  <c r="G580" i="12" a="1"/>
  <c r="G580" i="12" s="1"/>
  <c r="H580" i="12" s="1"/>
  <c r="I580" i="12" s="1"/>
  <c r="G568" i="12" a="1"/>
  <c r="G568" i="12" s="1"/>
  <c r="H568" i="12" s="1"/>
  <c r="I568" i="12" s="1"/>
  <c r="G556" i="12" a="1"/>
  <c r="G556" i="12" s="1"/>
  <c r="H556" i="12" s="1"/>
  <c r="I556" i="12" s="1"/>
  <c r="G544" i="12" a="1"/>
  <c r="G544" i="12" s="1"/>
  <c r="H544" i="12" s="1"/>
  <c r="I544" i="12" s="1"/>
  <c r="G532" i="12" a="1"/>
  <c r="G532" i="12" s="1"/>
  <c r="H532" i="12" s="1"/>
  <c r="I532" i="12" s="1"/>
  <c r="G520" i="12" a="1"/>
  <c r="G520" i="12" s="1"/>
  <c r="H520" i="12" s="1"/>
  <c r="I520" i="12" s="1"/>
  <c r="G508" i="12" a="1"/>
  <c r="G508" i="12" s="1"/>
  <c r="H508" i="12" s="1"/>
  <c r="I508" i="12" s="1"/>
  <c r="G496" i="12" a="1"/>
  <c r="G496" i="12" s="1"/>
  <c r="H496" i="12" s="1"/>
  <c r="I496" i="12" s="1"/>
  <c r="G484" i="12" a="1"/>
  <c r="G484" i="12" s="1"/>
  <c r="H484" i="12" s="1"/>
  <c r="I484" i="12" s="1"/>
  <c r="G472" i="12" a="1"/>
  <c r="G472" i="12" s="1"/>
  <c r="H472" i="12" s="1"/>
  <c r="I472" i="12" s="1"/>
  <c r="G460" i="12" a="1"/>
  <c r="G460" i="12" s="1"/>
  <c r="H460" i="12" s="1"/>
  <c r="I460" i="12" s="1"/>
  <c r="G448" i="12" a="1"/>
  <c r="G448" i="12" s="1"/>
  <c r="H448" i="12" s="1"/>
  <c r="I448" i="12" s="1"/>
  <c r="G436" i="12" a="1"/>
  <c r="G436" i="12" s="1"/>
  <c r="H436" i="12" s="1"/>
  <c r="I436" i="12" s="1"/>
  <c r="G412" i="12" a="1"/>
  <c r="G412" i="12" s="1"/>
  <c r="H412" i="12" s="1"/>
  <c r="I412" i="12" s="1"/>
  <c r="G400" i="12" a="1"/>
  <c r="G400" i="12" s="1"/>
  <c r="H400" i="12" s="1"/>
  <c r="I400" i="12" s="1"/>
  <c r="G388" i="12" a="1"/>
  <c r="G388" i="12" s="1"/>
  <c r="H388" i="12" s="1"/>
  <c r="I388" i="12" s="1"/>
  <c r="G376" i="12" a="1"/>
  <c r="G376" i="12" s="1"/>
  <c r="H376" i="12" s="1"/>
  <c r="I376" i="12" s="1"/>
  <c r="G364" i="12" a="1"/>
  <c r="G364" i="12" s="1"/>
  <c r="H364" i="12" s="1"/>
  <c r="I364" i="12" s="1"/>
  <c r="G352" i="12" a="1"/>
  <c r="G352" i="12" s="1"/>
  <c r="H352" i="12" s="1"/>
  <c r="I352" i="12" s="1"/>
  <c r="G340" i="12" a="1"/>
  <c r="G340" i="12" s="1"/>
  <c r="H340" i="12" s="1"/>
  <c r="I340" i="12" s="1"/>
  <c r="G328" i="12" a="1"/>
  <c r="G328" i="12" s="1"/>
  <c r="H328" i="12" s="1"/>
  <c r="I328" i="12" s="1"/>
  <c r="G316" i="12" a="1"/>
  <c r="G316" i="12" s="1"/>
  <c r="H316" i="12" s="1"/>
  <c r="I316" i="12" s="1"/>
  <c r="G304" i="12" a="1"/>
  <c r="G304" i="12" s="1"/>
  <c r="H304" i="12" s="1"/>
  <c r="I304" i="12" s="1"/>
  <c r="G292" i="12" a="1"/>
  <c r="G292" i="12" s="1"/>
  <c r="H292" i="12" s="1"/>
  <c r="I292" i="12" s="1"/>
  <c r="G280" i="12" a="1"/>
  <c r="G280" i="12" s="1"/>
  <c r="H280" i="12" s="1"/>
  <c r="I280" i="12" s="1"/>
  <c r="G268" i="12" a="1"/>
  <c r="G268" i="12" s="1"/>
  <c r="H268" i="12" s="1"/>
  <c r="I268" i="12" s="1"/>
  <c r="G256" i="12" a="1"/>
  <c r="G256" i="12" s="1"/>
  <c r="H256" i="12" s="1"/>
  <c r="I256" i="12" s="1"/>
  <c r="G891" i="12" a="1"/>
  <c r="G891" i="12" s="1"/>
  <c r="H891" i="12" s="1"/>
  <c r="I891" i="12" s="1"/>
  <c r="G879" i="12" a="1"/>
  <c r="G879" i="12" s="1"/>
  <c r="H879" i="12" s="1"/>
  <c r="I879" i="12" s="1"/>
  <c r="G867" i="12" a="1"/>
  <c r="G867" i="12" s="1"/>
  <c r="H867" i="12" s="1"/>
  <c r="I867" i="12" s="1"/>
  <c r="G855" i="12" a="1"/>
  <c r="G855" i="12" s="1"/>
  <c r="H855" i="12" s="1"/>
  <c r="I855" i="12" s="1"/>
  <c r="G843" i="12" a="1"/>
  <c r="G843" i="12" s="1"/>
  <c r="H843" i="12" s="1"/>
  <c r="I843" i="12" s="1"/>
  <c r="G831" i="12" a="1"/>
  <c r="G831" i="12" s="1"/>
  <c r="H831" i="12" s="1"/>
  <c r="I831" i="12" s="1"/>
  <c r="G819" i="12" a="1"/>
  <c r="G819" i="12" s="1"/>
  <c r="H819" i="12" s="1"/>
  <c r="I819" i="12" s="1"/>
  <c r="G807" i="12" a="1"/>
  <c r="G807" i="12" s="1"/>
  <c r="H807" i="12" s="1"/>
  <c r="I807" i="12" s="1"/>
  <c r="G795" i="12" a="1"/>
  <c r="G795" i="12" s="1"/>
  <c r="H795" i="12" s="1"/>
  <c r="I795" i="12" s="1"/>
  <c r="G783" i="12" a="1"/>
  <c r="G783" i="12" s="1"/>
  <c r="H783" i="12" s="1"/>
  <c r="I783" i="12" s="1"/>
  <c r="G771" i="12" a="1"/>
  <c r="G771" i="12" s="1"/>
  <c r="H771" i="12" s="1"/>
  <c r="I771" i="12" s="1"/>
  <c r="G759" i="12" a="1"/>
  <c r="G759" i="12" s="1"/>
  <c r="H759" i="12" s="1"/>
  <c r="I759" i="12" s="1"/>
  <c r="G747" i="12" a="1"/>
  <c r="G747" i="12" s="1"/>
  <c r="H747" i="12" s="1"/>
  <c r="I747" i="12" s="1"/>
  <c r="G735" i="12" a="1"/>
  <c r="G735" i="12" s="1"/>
  <c r="H735" i="12" s="1"/>
  <c r="I735" i="12" s="1"/>
  <c r="G711" i="12" a="1"/>
  <c r="G711" i="12" s="1"/>
  <c r="H711" i="12" s="1"/>
  <c r="I711" i="12" s="1"/>
  <c r="G699" i="12" a="1"/>
  <c r="G699" i="12" s="1"/>
  <c r="H699" i="12" s="1"/>
  <c r="I699" i="12" s="1"/>
  <c r="G687" i="12" a="1"/>
  <c r="G687" i="12" s="1"/>
  <c r="H687" i="12" s="1"/>
  <c r="I687" i="12" s="1"/>
  <c r="G675" i="12" a="1"/>
  <c r="G675" i="12" s="1"/>
  <c r="H675" i="12" s="1"/>
  <c r="I675" i="12" s="1"/>
  <c r="G663" i="12" a="1"/>
  <c r="G663" i="12" s="1"/>
  <c r="H663" i="12" s="1"/>
  <c r="I663" i="12" s="1"/>
  <c r="G651" i="12" a="1"/>
  <c r="G651" i="12" s="1"/>
  <c r="H651" i="12" s="1"/>
  <c r="I651" i="12" s="1"/>
  <c r="G639" i="12" a="1"/>
  <c r="G639" i="12" s="1"/>
  <c r="H639" i="12" s="1"/>
  <c r="I639" i="12" s="1"/>
  <c r="G627" i="12" a="1"/>
  <c r="G627" i="12" s="1"/>
  <c r="H627" i="12" s="1"/>
  <c r="I627" i="12" s="1"/>
  <c r="G615" i="12" a="1"/>
  <c r="G615" i="12" s="1"/>
  <c r="H615" i="12" s="1"/>
  <c r="I615" i="12" s="1"/>
  <c r="G603" i="12" a="1"/>
  <c r="G603" i="12" s="1"/>
  <c r="H603" i="12" s="1"/>
  <c r="I603" i="12" s="1"/>
  <c r="G591" i="12" a="1"/>
  <c r="G591" i="12" s="1"/>
  <c r="H591" i="12" s="1"/>
  <c r="I591" i="12" s="1"/>
  <c r="G579" i="12" a="1"/>
  <c r="G579" i="12" s="1"/>
  <c r="H579" i="12" s="1"/>
  <c r="I579" i="12" s="1"/>
  <c r="G567" i="12" a="1"/>
  <c r="G567" i="12" s="1"/>
  <c r="H567" i="12" s="1"/>
  <c r="I567" i="12" s="1"/>
  <c r="G555" i="12" a="1"/>
  <c r="G555" i="12" s="1"/>
  <c r="H555" i="12" s="1"/>
  <c r="I555" i="12" s="1"/>
  <c r="G543" i="12" a="1"/>
  <c r="G543" i="12" s="1"/>
  <c r="H543" i="12" s="1"/>
  <c r="I543" i="12" s="1"/>
  <c r="G531" i="12" a="1"/>
  <c r="G531" i="12" s="1"/>
  <c r="H531" i="12" s="1"/>
  <c r="I531" i="12" s="1"/>
  <c r="G519" i="12" a="1"/>
  <c r="G519" i="12" s="1"/>
  <c r="H519" i="12" s="1"/>
  <c r="I519" i="12" s="1"/>
  <c r="G507" i="12" a="1"/>
  <c r="G507" i="12" s="1"/>
  <c r="H507" i="12" s="1"/>
  <c r="I507" i="12" s="1"/>
  <c r="G495" i="12" a="1"/>
  <c r="G495" i="12" s="1"/>
  <c r="H495" i="12" s="1"/>
  <c r="I495" i="12" s="1"/>
  <c r="G483" i="12" a="1"/>
  <c r="G483" i="12" s="1"/>
  <c r="H483" i="12" s="1"/>
  <c r="I483" i="12" s="1"/>
  <c r="G471" i="12" a="1"/>
  <c r="G471" i="12" s="1"/>
  <c r="H471" i="12" s="1"/>
  <c r="I471" i="12" s="1"/>
  <c r="G459" i="12" a="1"/>
  <c r="G459" i="12" s="1"/>
  <c r="H459" i="12" s="1"/>
  <c r="I459" i="12" s="1"/>
  <c r="G447" i="12" a="1"/>
  <c r="G447" i="12" s="1"/>
  <c r="H447" i="12" s="1"/>
  <c r="I447" i="12" s="1"/>
  <c r="G435" i="12" a="1"/>
  <c r="G435" i="12" s="1"/>
  <c r="H435" i="12" s="1"/>
  <c r="I435" i="12" s="1"/>
  <c r="G423" i="12" a="1"/>
  <c r="G423" i="12" s="1"/>
  <c r="H423" i="12" s="1"/>
  <c r="I423" i="12" s="1"/>
  <c r="G411" i="12" a="1"/>
  <c r="G411" i="12" s="1"/>
  <c r="H411" i="12" s="1"/>
  <c r="I411" i="12" s="1"/>
  <c r="G399" i="12" a="1"/>
  <c r="G399" i="12" s="1"/>
  <c r="H399" i="12" s="1"/>
  <c r="I399" i="12" s="1"/>
  <c r="G387" i="12" a="1"/>
  <c r="G387" i="12" s="1"/>
  <c r="H387" i="12" s="1"/>
  <c r="I387" i="12" s="1"/>
  <c r="G375" i="12" a="1"/>
  <c r="G375" i="12" s="1"/>
  <c r="H375" i="12" s="1"/>
  <c r="I375" i="12" s="1"/>
  <c r="G363" i="12" a="1"/>
  <c r="G363" i="12" s="1"/>
  <c r="H363" i="12" s="1"/>
  <c r="I363" i="12" s="1"/>
  <c r="G351" i="12" a="1"/>
  <c r="G351" i="12" s="1"/>
  <c r="H351" i="12" s="1"/>
  <c r="I351" i="12" s="1"/>
  <c r="G339" i="12" a="1"/>
  <c r="G339" i="12" s="1"/>
  <c r="H339" i="12" s="1"/>
  <c r="I339" i="12" s="1"/>
  <c r="G327" i="12" a="1"/>
  <c r="G327" i="12" s="1"/>
  <c r="H327" i="12" s="1"/>
  <c r="I327" i="12" s="1"/>
  <c r="G542" i="12" a="1"/>
  <c r="G542" i="12" s="1"/>
  <c r="H542" i="12" s="1"/>
  <c r="I542" i="12" s="1"/>
  <c r="G530" i="12" a="1"/>
  <c r="G530" i="12" s="1"/>
  <c r="H530" i="12" s="1"/>
  <c r="I530" i="12" s="1"/>
  <c r="G518" i="12" a="1"/>
  <c r="G518" i="12" s="1"/>
  <c r="H518" i="12" s="1"/>
  <c r="I518" i="12" s="1"/>
  <c r="G506" i="12" a="1"/>
  <c r="G506" i="12" s="1"/>
  <c r="H506" i="12" s="1"/>
  <c r="I506" i="12" s="1"/>
  <c r="G494" i="12" a="1"/>
  <c r="G494" i="12" s="1"/>
  <c r="H494" i="12" s="1"/>
  <c r="I494" i="12" s="1"/>
  <c r="G482" i="12" a="1"/>
  <c r="G482" i="12" s="1"/>
  <c r="H482" i="12" s="1"/>
  <c r="I482" i="12" s="1"/>
  <c r="G470" i="12" a="1"/>
  <c r="G470" i="12" s="1"/>
  <c r="H470" i="12" s="1"/>
  <c r="I470" i="12" s="1"/>
  <c r="G458" i="12" a="1"/>
  <c r="G458" i="12" s="1"/>
  <c r="H458" i="12" s="1"/>
  <c r="I458" i="12" s="1"/>
  <c r="G446" i="12" a="1"/>
  <c r="G446" i="12" s="1"/>
  <c r="H446" i="12" s="1"/>
  <c r="I446" i="12" s="1"/>
  <c r="G434" i="12" a="1"/>
  <c r="G434" i="12" s="1"/>
  <c r="H434" i="12" s="1"/>
  <c r="I434" i="12" s="1"/>
  <c r="G410" i="12" a="1"/>
  <c r="G410" i="12" s="1"/>
  <c r="H410" i="12" s="1"/>
  <c r="I410" i="12" s="1"/>
  <c r="G398" i="12" a="1"/>
  <c r="G398" i="12" s="1"/>
  <c r="H398" i="12" s="1"/>
  <c r="I398" i="12" s="1"/>
  <c r="G386" i="12" a="1"/>
  <c r="G386" i="12" s="1"/>
  <c r="H386" i="12" s="1"/>
  <c r="I386" i="12" s="1"/>
  <c r="G374" i="12" a="1"/>
  <c r="G374" i="12" s="1"/>
  <c r="H374" i="12" s="1"/>
  <c r="I374" i="12" s="1"/>
  <c r="G362" i="12" a="1"/>
  <c r="G362" i="12" s="1"/>
  <c r="H362" i="12" s="1"/>
  <c r="I362" i="12" s="1"/>
  <c r="G350" i="12" a="1"/>
  <c r="G350" i="12" s="1"/>
  <c r="H350" i="12" s="1"/>
  <c r="I350" i="12" s="1"/>
  <c r="G338" i="12" a="1"/>
  <c r="G338" i="12" s="1"/>
  <c r="H338" i="12" s="1"/>
  <c r="I338" i="12" s="1"/>
  <c r="G326" i="12" a="1"/>
  <c r="G326" i="12" s="1"/>
  <c r="H326" i="12" s="1"/>
  <c r="I326" i="12" s="1"/>
  <c r="G314" i="12" a="1"/>
  <c r="G314" i="12" s="1"/>
  <c r="H314" i="12" s="1"/>
  <c r="I314" i="12" s="1"/>
  <c r="G302" i="12" a="1"/>
  <c r="G302" i="12" s="1"/>
  <c r="H302" i="12" s="1"/>
  <c r="I302" i="12" s="1"/>
  <c r="G290" i="12" a="1"/>
  <c r="G290" i="12" s="1"/>
  <c r="H290" i="12" s="1"/>
  <c r="I290" i="12" s="1"/>
  <c r="G278" i="12" a="1"/>
  <c r="G278" i="12" s="1"/>
  <c r="H278" i="12" s="1"/>
  <c r="I278" i="12" s="1"/>
  <c r="G266" i="12" a="1"/>
  <c r="G266" i="12" s="1"/>
  <c r="H266" i="12" s="1"/>
  <c r="I266" i="12" s="1"/>
  <c r="G254" i="12" a="1"/>
  <c r="G254" i="12" s="1"/>
  <c r="H254" i="12" s="1"/>
  <c r="I254" i="12" s="1"/>
  <c r="G242" i="12" a="1"/>
  <c r="G242" i="12" s="1"/>
  <c r="H242" i="12" s="1"/>
  <c r="I242" i="12" s="1"/>
  <c r="G230" i="12" a="1"/>
  <c r="G230" i="12" s="1"/>
  <c r="H230" i="12" s="1"/>
  <c r="I230" i="12" s="1"/>
  <c r="G218" i="12" a="1"/>
  <c r="G218" i="12" s="1"/>
  <c r="H218" i="12" s="1"/>
  <c r="I218" i="12" s="1"/>
  <c r="G206" i="12" a="1"/>
  <c r="G206" i="12" s="1"/>
  <c r="H206" i="12" s="1"/>
  <c r="I206" i="12" s="1"/>
  <c r="G194" i="12" a="1"/>
  <c r="G194" i="12" s="1"/>
  <c r="H194" i="12" s="1"/>
  <c r="I194" i="12" s="1"/>
  <c r="G182" i="12" a="1"/>
  <c r="G182" i="12" s="1"/>
  <c r="H182" i="12" s="1"/>
  <c r="I182" i="12" s="1"/>
  <c r="G170" i="12" a="1"/>
  <c r="G170" i="12" s="1"/>
  <c r="H170" i="12" s="1"/>
  <c r="I170" i="12" s="1"/>
  <c r="G158" i="12" a="1"/>
  <c r="G158" i="12" s="1"/>
  <c r="H158" i="12" s="1"/>
  <c r="I158" i="12" s="1"/>
  <c r="G146" i="12" a="1"/>
  <c r="G146" i="12" s="1"/>
  <c r="H146" i="12" s="1"/>
  <c r="I146" i="12" s="1"/>
  <c r="G134" i="12" a="1"/>
  <c r="G134" i="12" s="1"/>
  <c r="H134" i="12" s="1"/>
  <c r="I134" i="12" s="1"/>
  <c r="G122" i="12" a="1"/>
  <c r="G122" i="12" s="1"/>
  <c r="H122" i="12" s="1"/>
  <c r="I122" i="12" s="1"/>
  <c r="G110" i="12" a="1"/>
  <c r="G110" i="12" s="1"/>
  <c r="H110" i="12" s="1"/>
  <c r="I110" i="12" s="1"/>
  <c r="G98" i="12" a="1"/>
  <c r="G98" i="12" s="1"/>
  <c r="H98" i="12" s="1"/>
  <c r="I98" i="12" s="1"/>
  <c r="G86" i="12" a="1"/>
  <c r="G86" i="12" s="1"/>
  <c r="H86" i="12" s="1"/>
  <c r="I86" i="12" s="1"/>
  <c r="G74" i="12" a="1"/>
  <c r="G74" i="12" s="1"/>
  <c r="H74" i="12" s="1"/>
  <c r="I74" i="12" s="1"/>
  <c r="G62" i="12" a="1"/>
  <c r="G62" i="12" s="1"/>
  <c r="H62" i="12" s="1"/>
  <c r="I62" i="12" s="1"/>
  <c r="G50" i="12" a="1"/>
  <c r="G50" i="12" s="1"/>
  <c r="H50" i="12" s="1"/>
  <c r="I50" i="12" s="1"/>
  <c r="G38" i="12" a="1"/>
  <c r="G38" i="12" s="1"/>
  <c r="H38" i="12" s="1"/>
  <c r="I38" i="12" s="1"/>
  <c r="G26" i="12" a="1"/>
  <c r="G26" i="12" s="1"/>
  <c r="H26" i="12" s="1"/>
  <c r="I26" i="12" s="1"/>
  <c r="G14" i="12" a="1"/>
  <c r="G14" i="12" s="1"/>
  <c r="H14" i="12" s="1"/>
  <c r="I14" i="12" s="1"/>
  <c r="G2" i="12" a="1"/>
  <c r="G2" i="12" s="1"/>
  <c r="H2" i="12" s="1"/>
  <c r="I2" i="12" s="1"/>
  <c r="G8" i="12" a="1"/>
  <c r="G8" i="12" s="1"/>
  <c r="H8" i="12" s="1"/>
  <c r="I8" i="12" s="1"/>
  <c r="G541" i="12" a="1"/>
  <c r="G541" i="12" s="1"/>
  <c r="H541" i="12" s="1"/>
  <c r="I541" i="12" s="1"/>
  <c r="G529" i="12" a="1"/>
  <c r="G529" i="12" s="1"/>
  <c r="H529" i="12" s="1"/>
  <c r="I529" i="12" s="1"/>
  <c r="G517" i="12" a="1"/>
  <c r="G517" i="12" s="1"/>
  <c r="H517" i="12" s="1"/>
  <c r="I517" i="12" s="1"/>
  <c r="G505" i="12" a="1"/>
  <c r="G505" i="12" s="1"/>
  <c r="H505" i="12" s="1"/>
  <c r="I505" i="12" s="1"/>
  <c r="G493" i="12" a="1"/>
  <c r="G493" i="12" s="1"/>
  <c r="H493" i="12" s="1"/>
  <c r="I493" i="12" s="1"/>
  <c r="G481" i="12" a="1"/>
  <c r="G481" i="12" s="1"/>
  <c r="H481" i="12" s="1"/>
  <c r="I481" i="12" s="1"/>
  <c r="G469" i="12" a="1"/>
  <c r="G469" i="12" s="1"/>
  <c r="H469" i="12" s="1"/>
  <c r="I469" i="12" s="1"/>
  <c r="G457" i="12" a="1"/>
  <c r="G457" i="12" s="1"/>
  <c r="H457" i="12" s="1"/>
  <c r="I457" i="12" s="1"/>
  <c r="G445" i="12" a="1"/>
  <c r="G445" i="12" s="1"/>
  <c r="H445" i="12" s="1"/>
  <c r="I445" i="12" s="1"/>
  <c r="G433" i="12" a="1"/>
  <c r="G433" i="12" s="1"/>
  <c r="H433" i="12" s="1"/>
  <c r="I433" i="12" s="1"/>
  <c r="G421" i="12" a="1"/>
  <c r="G421" i="12" s="1"/>
  <c r="H421" i="12" s="1"/>
  <c r="I421" i="12" s="1"/>
  <c r="G409" i="12" a="1"/>
  <c r="G409" i="12" s="1"/>
  <c r="H409" i="12" s="1"/>
  <c r="I409" i="12" s="1"/>
  <c r="G397" i="12" a="1"/>
  <c r="G397" i="12" s="1"/>
  <c r="H397" i="12" s="1"/>
  <c r="I397" i="12" s="1"/>
  <c r="G385" i="12" a="1"/>
  <c r="G385" i="12" s="1"/>
  <c r="H385" i="12" s="1"/>
  <c r="I385" i="12" s="1"/>
  <c r="G373" i="12" a="1"/>
  <c r="G373" i="12" s="1"/>
  <c r="H373" i="12" s="1"/>
  <c r="I373" i="12" s="1"/>
  <c r="G361" i="12" a="1"/>
  <c r="G361" i="12" s="1"/>
  <c r="H361" i="12" s="1"/>
  <c r="I361" i="12" s="1"/>
  <c r="G349" i="12" a="1"/>
  <c r="G349" i="12" s="1"/>
  <c r="H349" i="12" s="1"/>
  <c r="I349" i="12" s="1"/>
  <c r="G337" i="12" a="1"/>
  <c r="G337" i="12" s="1"/>
  <c r="H337" i="12" s="1"/>
  <c r="I337" i="12" s="1"/>
  <c r="G325" i="12" a="1"/>
  <c r="G325" i="12" s="1"/>
  <c r="H325" i="12" s="1"/>
  <c r="I325" i="12" s="1"/>
  <c r="G313" i="12" a="1"/>
  <c r="G313" i="12" s="1"/>
  <c r="H313" i="12" s="1"/>
  <c r="I313" i="12" s="1"/>
  <c r="G301" i="12" a="1"/>
  <c r="G301" i="12" s="1"/>
  <c r="H301" i="12" s="1"/>
  <c r="I301" i="12" s="1"/>
  <c r="G289" i="12" a="1"/>
  <c r="G289" i="12" s="1"/>
  <c r="H289" i="12" s="1"/>
  <c r="I289" i="12" s="1"/>
  <c r="G277" i="12" a="1"/>
  <c r="G277" i="12" s="1"/>
  <c r="H277" i="12" s="1"/>
  <c r="I277" i="12" s="1"/>
  <c r="G265" i="12" a="1"/>
  <c r="G265" i="12" s="1"/>
  <c r="H265" i="12" s="1"/>
  <c r="I265" i="12" s="1"/>
  <c r="G253" i="12" a="1"/>
  <c r="G253" i="12" s="1"/>
  <c r="H253" i="12" s="1"/>
  <c r="I253" i="12" s="1"/>
  <c r="G241" i="12" a="1"/>
  <c r="G241" i="12" s="1"/>
  <c r="H241" i="12" s="1"/>
  <c r="I241" i="12" s="1"/>
  <c r="G229" i="12" a="1"/>
  <c r="G229" i="12" s="1"/>
  <c r="H229" i="12" s="1"/>
  <c r="I229" i="12" s="1"/>
  <c r="G217" i="12" a="1"/>
  <c r="G217" i="12" s="1"/>
  <c r="H217" i="12" s="1"/>
  <c r="I217" i="12" s="1"/>
  <c r="G205" i="12" a="1"/>
  <c r="G205" i="12" s="1"/>
  <c r="H205" i="12" s="1"/>
  <c r="I205" i="12" s="1"/>
  <c r="G193" i="12" a="1"/>
  <c r="G193" i="12" s="1"/>
  <c r="H193" i="12" s="1"/>
  <c r="I193" i="12" s="1"/>
  <c r="G181" i="12" a="1"/>
  <c r="G181" i="12" s="1"/>
  <c r="H181" i="12" s="1"/>
  <c r="I181" i="12" s="1"/>
  <c r="G169" i="12" a="1"/>
  <c r="G169" i="12" s="1"/>
  <c r="H169" i="12" s="1"/>
  <c r="I169" i="12" s="1"/>
  <c r="G157" i="12" a="1"/>
  <c r="G157" i="12" s="1"/>
  <c r="H157" i="12" s="1"/>
  <c r="I157" i="12" s="1"/>
  <c r="G145" i="12" a="1"/>
  <c r="G145" i="12" s="1"/>
  <c r="H145" i="12" s="1"/>
  <c r="I145" i="12" s="1"/>
  <c r="G133" i="12" a="1"/>
  <c r="G133" i="12" s="1"/>
  <c r="H133" i="12" s="1"/>
  <c r="I133" i="12" s="1"/>
  <c r="G121" i="12" a="1"/>
  <c r="G121" i="12" s="1"/>
  <c r="H121" i="12" s="1"/>
  <c r="I121" i="12" s="1"/>
  <c r="G109" i="12" a="1"/>
  <c r="G109" i="12" s="1"/>
  <c r="H109" i="12" s="1"/>
  <c r="I109" i="12" s="1"/>
  <c r="G97" i="12" a="1"/>
  <c r="G97" i="12" s="1"/>
  <c r="H97" i="12" s="1"/>
  <c r="I97" i="12" s="1"/>
  <c r="G85" i="12" a="1"/>
  <c r="G85" i="12" s="1"/>
  <c r="H85" i="12" s="1"/>
  <c r="I85" i="12" s="1"/>
  <c r="G73" i="12" a="1"/>
  <c r="G73" i="12" s="1"/>
  <c r="H73" i="12" s="1"/>
  <c r="I73" i="12" s="1"/>
  <c r="G61" i="12" a="1"/>
  <c r="G61" i="12" s="1"/>
  <c r="H61" i="12" s="1"/>
  <c r="I61" i="12" s="1"/>
  <c r="G49" i="12" a="1"/>
  <c r="G49" i="12" s="1"/>
  <c r="H49" i="12" s="1"/>
  <c r="I49" i="12" s="1"/>
  <c r="G37" i="12" a="1"/>
  <c r="G37" i="12" s="1"/>
  <c r="H37" i="12" s="1"/>
  <c r="I37" i="12" s="1"/>
  <c r="G25" i="12" a="1"/>
  <c r="G25" i="12" s="1"/>
  <c r="H25" i="12" s="1"/>
  <c r="I25" i="12" s="1"/>
  <c r="G13" i="12" a="1"/>
  <c r="G13" i="12" s="1"/>
  <c r="H13" i="12" s="1"/>
  <c r="I13" i="12" s="1"/>
  <c r="G321" i="12" a="1"/>
  <c r="G321" i="12" s="1"/>
  <c r="H321" i="12" s="1"/>
  <c r="I321" i="12" s="1"/>
  <c r="G309" i="12" a="1"/>
  <c r="G309" i="12" s="1"/>
  <c r="H309" i="12" s="1"/>
  <c r="I309" i="12" s="1"/>
  <c r="G297" i="12" a="1"/>
  <c r="G297" i="12" s="1"/>
  <c r="H297" i="12" s="1"/>
  <c r="I297" i="12" s="1"/>
  <c r="G285" i="12" a="1"/>
  <c r="G285" i="12" s="1"/>
  <c r="H285" i="12" s="1"/>
  <c r="I285" i="12" s="1"/>
  <c r="G273" i="12" a="1"/>
  <c r="G273" i="12" s="1"/>
  <c r="H273" i="12" s="1"/>
  <c r="I273" i="12" s="1"/>
  <c r="G261" i="12" a="1"/>
  <c r="G261" i="12" s="1"/>
  <c r="H261" i="12" s="1"/>
  <c r="I261" i="12" s="1"/>
  <c r="G249" i="12" a="1"/>
  <c r="G249" i="12" s="1"/>
  <c r="H249" i="12" s="1"/>
  <c r="I249" i="12" s="1"/>
  <c r="G237" i="12" a="1"/>
  <c r="G237" i="12" s="1"/>
  <c r="H237" i="12" s="1"/>
  <c r="I237" i="12" s="1"/>
  <c r="G225" i="12" a="1"/>
  <c r="G225" i="12" s="1"/>
  <c r="H225" i="12" s="1"/>
  <c r="I225" i="12" s="1"/>
  <c r="G213" i="12" a="1"/>
  <c r="G213" i="12" s="1"/>
  <c r="H213" i="12" s="1"/>
  <c r="I213" i="12" s="1"/>
  <c r="G201" i="12" a="1"/>
  <c r="G201" i="12" s="1"/>
  <c r="H201" i="12" s="1"/>
  <c r="I201" i="12" s="1"/>
  <c r="G189" i="12" a="1"/>
  <c r="G189" i="12" s="1"/>
  <c r="H189" i="12" s="1"/>
  <c r="I189" i="12" s="1"/>
  <c r="G177" i="12" a="1"/>
  <c r="G177" i="12" s="1"/>
  <c r="H177" i="12" s="1"/>
  <c r="I177" i="12" s="1"/>
  <c r="G165" i="12" a="1"/>
  <c r="G165" i="12" s="1"/>
  <c r="H165" i="12" s="1"/>
  <c r="I165" i="12" s="1"/>
  <c r="G153" i="12" a="1"/>
  <c r="G153" i="12" s="1"/>
  <c r="H153" i="12" s="1"/>
  <c r="I153" i="12" s="1"/>
  <c r="G141" i="12" a="1"/>
  <c r="G141" i="12" s="1"/>
  <c r="H141" i="12" s="1"/>
  <c r="I141" i="12" s="1"/>
  <c r="G129" i="12" a="1"/>
  <c r="G129" i="12" s="1"/>
  <c r="H129" i="12" s="1"/>
  <c r="I129" i="12" s="1"/>
  <c r="G117" i="12" a="1"/>
  <c r="G117" i="12" s="1"/>
  <c r="H117" i="12" s="1"/>
  <c r="I117" i="12" s="1"/>
  <c r="G105" i="12" a="1"/>
  <c r="G105" i="12" s="1"/>
  <c r="H105" i="12" s="1"/>
  <c r="I105" i="12" s="1"/>
  <c r="G93" i="12" a="1"/>
  <c r="G93" i="12" s="1"/>
  <c r="H93" i="12" s="1"/>
  <c r="I93" i="12" s="1"/>
  <c r="G81" i="12" a="1"/>
  <c r="G81" i="12" s="1"/>
  <c r="H81" i="12" s="1"/>
  <c r="I81" i="12" s="1"/>
  <c r="G69" i="12" a="1"/>
  <c r="G69" i="12" s="1"/>
  <c r="H69" i="12" s="1"/>
  <c r="I69" i="12" s="1"/>
  <c r="G57" i="12" a="1"/>
  <c r="G57" i="12" s="1"/>
  <c r="H57" i="12" s="1"/>
  <c r="I57" i="12" s="1"/>
  <c r="G45" i="12" a="1"/>
  <c r="G45" i="12" s="1"/>
  <c r="H45" i="12" s="1"/>
  <c r="I45" i="12" s="1"/>
  <c r="G33" i="12" a="1"/>
  <c r="G33" i="12" s="1"/>
  <c r="H33" i="12" s="1"/>
  <c r="I33" i="12" s="1"/>
  <c r="G21" i="12" a="1"/>
  <c r="G21" i="12" s="1"/>
  <c r="H21" i="12" s="1"/>
  <c r="I21" i="12" s="1"/>
  <c r="G9" i="12" a="1"/>
  <c r="G9" i="12" s="1"/>
  <c r="H9" i="12" s="1"/>
  <c r="I9" i="12" s="1"/>
  <c r="G500" i="12" a="1"/>
  <c r="G500" i="12" s="1"/>
  <c r="H500" i="12" s="1"/>
  <c r="I500" i="12" s="1"/>
  <c r="G488" i="12" a="1"/>
  <c r="G488" i="12" s="1"/>
  <c r="H488" i="12" s="1"/>
  <c r="I488" i="12" s="1"/>
  <c r="G476" i="12" a="1"/>
  <c r="G476" i="12" s="1"/>
  <c r="H476" i="12" s="1"/>
  <c r="I476" i="12" s="1"/>
  <c r="G464" i="12" a="1"/>
  <c r="G464" i="12" s="1"/>
  <c r="H464" i="12" s="1"/>
  <c r="I464" i="12" s="1"/>
  <c r="G452" i="12" a="1"/>
  <c r="G452" i="12" s="1"/>
  <c r="H452" i="12" s="1"/>
  <c r="I452" i="12" s="1"/>
  <c r="G440" i="12" a="1"/>
  <c r="G440" i="12" s="1"/>
  <c r="H440" i="12" s="1"/>
  <c r="I440" i="12" s="1"/>
  <c r="G428" i="12" a="1"/>
  <c r="G428" i="12" s="1"/>
  <c r="H428" i="12" s="1"/>
  <c r="I428" i="12" s="1"/>
  <c r="G416" i="12" a="1"/>
  <c r="G416" i="12" s="1"/>
  <c r="H416" i="12" s="1"/>
  <c r="I416" i="12" s="1"/>
  <c r="G404" i="12" a="1"/>
  <c r="G404" i="12" s="1"/>
  <c r="H404" i="12" s="1"/>
  <c r="I404" i="12" s="1"/>
  <c r="G392" i="12" a="1"/>
  <c r="G392" i="12" s="1"/>
  <c r="H392" i="12" s="1"/>
  <c r="I392" i="12" s="1"/>
  <c r="G380" i="12" a="1"/>
  <c r="G380" i="12" s="1"/>
  <c r="H380" i="12" s="1"/>
  <c r="I380" i="12" s="1"/>
  <c r="G368" i="12" a="1"/>
  <c r="G368" i="12" s="1"/>
  <c r="H368" i="12" s="1"/>
  <c r="I368" i="12" s="1"/>
  <c r="G356" i="12" a="1"/>
  <c r="G356" i="12" s="1"/>
  <c r="H356" i="12" s="1"/>
  <c r="I356" i="12" s="1"/>
  <c r="G344" i="12" a="1"/>
  <c r="G344" i="12" s="1"/>
  <c r="H344" i="12" s="1"/>
  <c r="I344" i="12" s="1"/>
  <c r="G332" i="12" a="1"/>
  <c r="G332" i="12" s="1"/>
  <c r="H332" i="12" s="1"/>
  <c r="I332" i="12" s="1"/>
  <c r="G320" i="12" a="1"/>
  <c r="G320" i="12" s="1"/>
  <c r="H320" i="12" s="1"/>
  <c r="I320" i="12" s="1"/>
  <c r="G308" i="12" a="1"/>
  <c r="G308" i="12" s="1"/>
  <c r="H308" i="12" s="1"/>
  <c r="I308" i="12" s="1"/>
  <c r="G296" i="12" a="1"/>
  <c r="G296" i="12" s="1"/>
  <c r="H296" i="12" s="1"/>
  <c r="I296" i="12" s="1"/>
  <c r="G284" i="12" a="1"/>
  <c r="G284" i="12" s="1"/>
  <c r="H284" i="12" s="1"/>
  <c r="I284" i="12" s="1"/>
  <c r="G272" i="12" a="1"/>
  <c r="G272" i="12" s="1"/>
  <c r="H272" i="12" s="1"/>
  <c r="I272" i="12" s="1"/>
  <c r="G260" i="12" a="1"/>
  <c r="G260" i="12" s="1"/>
  <c r="H260" i="12" s="1"/>
  <c r="I260" i="12" s="1"/>
  <c r="G248" i="12" a="1"/>
  <c r="G248" i="12" s="1"/>
  <c r="H248" i="12" s="1"/>
  <c r="I248" i="12" s="1"/>
  <c r="G236" i="12" a="1"/>
  <c r="G236" i="12" s="1"/>
  <c r="H236" i="12" s="1"/>
  <c r="I236" i="12" s="1"/>
  <c r="G224" i="12" a="1"/>
  <c r="G224" i="12" s="1"/>
  <c r="H224" i="12" s="1"/>
  <c r="I224" i="12" s="1"/>
  <c r="G212" i="12" a="1"/>
  <c r="G212" i="12" s="1"/>
  <c r="H212" i="12" s="1"/>
  <c r="I212" i="12" s="1"/>
  <c r="G200" i="12" a="1"/>
  <c r="G200" i="12" s="1"/>
  <c r="H200" i="12" s="1"/>
  <c r="I200" i="12" s="1"/>
  <c r="G188" i="12" a="1"/>
  <c r="G188" i="12" s="1"/>
  <c r="H188" i="12" s="1"/>
  <c r="I188" i="12" s="1"/>
  <c r="G176" i="12" a="1"/>
  <c r="G176" i="12" s="1"/>
  <c r="H176" i="12" s="1"/>
  <c r="I176" i="12" s="1"/>
  <c r="G164" i="12" a="1"/>
  <c r="G164" i="12" s="1"/>
  <c r="H164" i="12" s="1"/>
  <c r="I164" i="12" s="1"/>
  <c r="G152" i="12" a="1"/>
  <c r="G152" i="12" s="1"/>
  <c r="H152" i="12" s="1"/>
  <c r="I152" i="12" s="1"/>
  <c r="G140" i="12" a="1"/>
  <c r="G140" i="12" s="1"/>
  <c r="H140" i="12" s="1"/>
  <c r="I140" i="12" s="1"/>
  <c r="G128" i="12" a="1"/>
  <c r="G128" i="12" s="1"/>
  <c r="H128" i="12" s="1"/>
  <c r="I128" i="12" s="1"/>
  <c r="G116" i="12" a="1"/>
  <c r="G116" i="12" s="1"/>
  <c r="H116" i="12" s="1"/>
  <c r="I116" i="12" s="1"/>
  <c r="G104" i="12" a="1"/>
  <c r="G104" i="12" s="1"/>
  <c r="H104" i="12" s="1"/>
  <c r="I104" i="12" s="1"/>
  <c r="G92" i="12" a="1"/>
  <c r="G92" i="12" s="1"/>
  <c r="H92" i="12" s="1"/>
  <c r="I92" i="12" s="1"/>
  <c r="G80" i="12" a="1"/>
  <c r="G80" i="12" s="1"/>
  <c r="H80" i="12" s="1"/>
  <c r="I80" i="12" s="1"/>
  <c r="G68" i="12" a="1"/>
  <c r="G68" i="12" s="1"/>
  <c r="H68" i="12" s="1"/>
  <c r="I68" i="12" s="1"/>
  <c r="G56" i="12" a="1"/>
  <c r="G56" i="12" s="1"/>
  <c r="H56" i="12" s="1"/>
  <c r="I56" i="12" s="1"/>
  <c r="G44" i="12" a="1"/>
  <c r="G44" i="12" s="1"/>
  <c r="H44" i="12" s="1"/>
  <c r="I44" i="12" s="1"/>
  <c r="G32" i="12" a="1"/>
  <c r="G32" i="12" s="1"/>
  <c r="H32" i="12" s="1"/>
  <c r="I32" i="12" s="1"/>
  <c r="G20" i="12" a="1"/>
  <c r="G20" i="12" s="1"/>
  <c r="H20" i="12" s="1"/>
  <c r="I20" i="12" s="1"/>
  <c r="G319" i="12" a="1"/>
  <c r="G319" i="12" s="1"/>
  <c r="H319" i="12" s="1"/>
  <c r="I319" i="12" s="1"/>
  <c r="G307" i="12" a="1"/>
  <c r="G307" i="12" s="1"/>
  <c r="H307" i="12" s="1"/>
  <c r="I307" i="12" s="1"/>
  <c r="G295" i="12" a="1"/>
  <c r="G295" i="12" s="1"/>
  <c r="H295" i="12" s="1"/>
  <c r="I295" i="12" s="1"/>
  <c r="G283" i="12" a="1"/>
  <c r="G283" i="12" s="1"/>
  <c r="H283" i="12" s="1"/>
  <c r="I283" i="12" s="1"/>
  <c r="G271" i="12" a="1"/>
  <c r="G271" i="12" s="1"/>
  <c r="H271" i="12" s="1"/>
  <c r="I271" i="12" s="1"/>
  <c r="G259" i="12" a="1"/>
  <c r="G259" i="12" s="1"/>
  <c r="H259" i="12" s="1"/>
  <c r="I259" i="12" s="1"/>
  <c r="G247" i="12" a="1"/>
  <c r="G247" i="12" s="1"/>
  <c r="H247" i="12" s="1"/>
  <c r="I247" i="12" s="1"/>
  <c r="G235" i="12" a="1"/>
  <c r="G235" i="12" s="1"/>
  <c r="H235" i="12" s="1"/>
  <c r="I235" i="12" s="1"/>
  <c r="G223" i="12" a="1"/>
  <c r="G223" i="12" s="1"/>
  <c r="H223" i="12" s="1"/>
  <c r="I223" i="12" s="1"/>
  <c r="G211" i="12" a="1"/>
  <c r="G211" i="12" s="1"/>
  <c r="H211" i="12" s="1"/>
  <c r="I211" i="12" s="1"/>
  <c r="G199" i="12" a="1"/>
  <c r="G199" i="12" s="1"/>
  <c r="H199" i="12" s="1"/>
  <c r="I199" i="12" s="1"/>
  <c r="G187" i="12" a="1"/>
  <c r="G187" i="12" s="1"/>
  <c r="H187" i="12" s="1"/>
  <c r="I187" i="12" s="1"/>
  <c r="G175" i="12" a="1"/>
  <c r="G175" i="12" s="1"/>
  <c r="H175" i="12" s="1"/>
  <c r="I175" i="12" s="1"/>
  <c r="G163" i="12" a="1"/>
  <c r="G163" i="12" s="1"/>
  <c r="H163" i="12" s="1"/>
  <c r="I163" i="12" s="1"/>
  <c r="G151" i="12" a="1"/>
  <c r="G151" i="12" s="1"/>
  <c r="H151" i="12" s="1"/>
  <c r="I151" i="12" s="1"/>
  <c r="G139" i="12" a="1"/>
  <c r="G139" i="12" s="1"/>
  <c r="H139" i="12" s="1"/>
  <c r="I139" i="12" s="1"/>
  <c r="G127" i="12" a="1"/>
  <c r="G127" i="12" s="1"/>
  <c r="H127" i="12" s="1"/>
  <c r="I127" i="12" s="1"/>
  <c r="G115" i="12" a="1"/>
  <c r="G115" i="12" s="1"/>
  <c r="H115" i="12" s="1"/>
  <c r="I115" i="12" s="1"/>
  <c r="G103" i="12" a="1"/>
  <c r="G103" i="12" s="1"/>
  <c r="H103" i="12" s="1"/>
  <c r="I103" i="12" s="1"/>
  <c r="G91" i="12" a="1"/>
  <c r="G91" i="12" s="1"/>
  <c r="H91" i="12" s="1"/>
  <c r="I91" i="12" s="1"/>
  <c r="G79" i="12" a="1"/>
  <c r="G79" i="12" s="1"/>
  <c r="H79" i="12" s="1"/>
  <c r="I79" i="12" s="1"/>
  <c r="G67" i="12" a="1"/>
  <c r="G67" i="12" s="1"/>
  <c r="H67" i="12" s="1"/>
  <c r="I67" i="12" s="1"/>
  <c r="G55" i="12" a="1"/>
  <c r="G55" i="12" s="1"/>
  <c r="H55" i="12" s="1"/>
  <c r="I55" i="12" s="1"/>
  <c r="G43" i="12" a="1"/>
  <c r="G43" i="12" s="1"/>
  <c r="H43" i="12" s="1"/>
  <c r="I43" i="12" s="1"/>
  <c r="G31" i="12" a="1"/>
  <c r="G31" i="12" s="1"/>
  <c r="H31" i="12" s="1"/>
  <c r="I31" i="12" s="1"/>
  <c r="G19" i="12" a="1"/>
  <c r="G19" i="12" s="1"/>
  <c r="H19" i="12" s="1"/>
  <c r="I19" i="12" s="1"/>
  <c r="G7" i="12" a="1"/>
  <c r="G7" i="12" s="1"/>
  <c r="H7" i="12" s="1"/>
  <c r="I7" i="12" s="1"/>
  <c r="G318" i="12" a="1"/>
  <c r="G318" i="12" s="1"/>
  <c r="H318" i="12" s="1"/>
  <c r="I318" i="12" s="1"/>
  <c r="G306" i="12" a="1"/>
  <c r="G306" i="12" s="1"/>
  <c r="H306" i="12" s="1"/>
  <c r="I306" i="12" s="1"/>
  <c r="G294" i="12" a="1"/>
  <c r="G294" i="12" s="1"/>
  <c r="H294" i="12" s="1"/>
  <c r="I294" i="12" s="1"/>
  <c r="G282" i="12" a="1"/>
  <c r="G282" i="12" s="1"/>
  <c r="H282" i="12" s="1"/>
  <c r="I282" i="12" s="1"/>
  <c r="G270" i="12" a="1"/>
  <c r="G270" i="12" s="1"/>
  <c r="H270" i="12" s="1"/>
  <c r="I270" i="12" s="1"/>
  <c r="G246" i="12" a="1"/>
  <c r="G246" i="12" s="1"/>
  <c r="H246" i="12" s="1"/>
  <c r="I246" i="12" s="1"/>
  <c r="G234" i="12" a="1"/>
  <c r="G234" i="12" s="1"/>
  <c r="H234" i="12" s="1"/>
  <c r="I234" i="12" s="1"/>
  <c r="G222" i="12" a="1"/>
  <c r="G222" i="12" s="1"/>
  <c r="H222" i="12" s="1"/>
  <c r="I222" i="12" s="1"/>
  <c r="G210" i="12" a="1"/>
  <c r="G210" i="12" s="1"/>
  <c r="H210" i="12" s="1"/>
  <c r="I210" i="12" s="1"/>
  <c r="G198" i="12" a="1"/>
  <c r="G198" i="12" s="1"/>
  <c r="H198" i="12" s="1"/>
  <c r="I198" i="12" s="1"/>
  <c r="G186" i="12" a="1"/>
  <c r="G186" i="12" s="1"/>
  <c r="H186" i="12" s="1"/>
  <c r="I186" i="12" s="1"/>
  <c r="G174" i="12" a="1"/>
  <c r="G174" i="12" s="1"/>
  <c r="H174" i="12" s="1"/>
  <c r="I174" i="12" s="1"/>
  <c r="G162" i="12" a="1"/>
  <c r="G162" i="12" s="1"/>
  <c r="H162" i="12" s="1"/>
  <c r="I162" i="12" s="1"/>
  <c r="G150" i="12" a="1"/>
  <c r="G150" i="12" s="1"/>
  <c r="H150" i="12" s="1"/>
  <c r="I150" i="12" s="1"/>
  <c r="G138" i="12" a="1"/>
  <c r="G138" i="12" s="1"/>
  <c r="H138" i="12" s="1"/>
  <c r="I138" i="12" s="1"/>
  <c r="G126" i="12" a="1"/>
  <c r="G126" i="12" s="1"/>
  <c r="H126" i="12" s="1"/>
  <c r="I126" i="12" s="1"/>
  <c r="G114" i="12" a="1"/>
  <c r="G114" i="12" s="1"/>
  <c r="H114" i="12" s="1"/>
  <c r="I114" i="12" s="1"/>
  <c r="G102" i="12" a="1"/>
  <c r="G102" i="12" s="1"/>
  <c r="H102" i="12" s="1"/>
  <c r="I102" i="12" s="1"/>
  <c r="G90" i="12" a="1"/>
  <c r="G90" i="12" s="1"/>
  <c r="H90" i="12" s="1"/>
  <c r="I90" i="12" s="1"/>
  <c r="G78" i="12" a="1"/>
  <c r="G78" i="12" s="1"/>
  <c r="H78" i="12" s="1"/>
  <c r="I78" i="12" s="1"/>
  <c r="G66" i="12" a="1"/>
  <c r="G66" i="12" s="1"/>
  <c r="H66" i="12" s="1"/>
  <c r="I66" i="12" s="1"/>
  <c r="G54" i="12" a="1"/>
  <c r="G54" i="12" s="1"/>
  <c r="H54" i="12" s="1"/>
  <c r="I54" i="12" s="1"/>
  <c r="G42" i="12" a="1"/>
  <c r="G42" i="12" s="1"/>
  <c r="H42" i="12" s="1"/>
  <c r="I42" i="12" s="1"/>
  <c r="G30" i="12" a="1"/>
  <c r="G30" i="12" s="1"/>
  <c r="H30" i="12" s="1"/>
  <c r="I30" i="12" s="1"/>
  <c r="G18" i="12" a="1"/>
  <c r="G18" i="12" s="1"/>
  <c r="H18" i="12" s="1"/>
  <c r="I18" i="12" s="1"/>
  <c r="G6" i="12" a="1"/>
  <c r="G6" i="12" s="1"/>
  <c r="H6" i="12" s="1"/>
  <c r="I6" i="12" s="1"/>
  <c r="G341" i="12" a="1"/>
  <c r="G341" i="12" s="1"/>
  <c r="H341" i="12" s="1"/>
  <c r="I341" i="12" s="1"/>
  <c r="G329" i="12" a="1"/>
  <c r="G329" i="12" s="1"/>
  <c r="H329" i="12" s="1"/>
  <c r="I329" i="12" s="1"/>
  <c r="G317" i="12" a="1"/>
  <c r="G317" i="12" s="1"/>
  <c r="H317" i="12" s="1"/>
  <c r="I317" i="12" s="1"/>
  <c r="G305" i="12" a="1"/>
  <c r="G305" i="12" s="1"/>
  <c r="H305" i="12" s="1"/>
  <c r="I305" i="12" s="1"/>
  <c r="G293" i="12" a="1"/>
  <c r="G293" i="12" s="1"/>
  <c r="H293" i="12" s="1"/>
  <c r="I293" i="12" s="1"/>
  <c r="G281" i="12" a="1"/>
  <c r="G281" i="12" s="1"/>
  <c r="H281" i="12" s="1"/>
  <c r="I281" i="12" s="1"/>
  <c r="G257" i="12" a="1"/>
  <c r="G257" i="12" s="1"/>
  <c r="H257" i="12" s="1"/>
  <c r="I257" i="12" s="1"/>
  <c r="G245" i="12" a="1"/>
  <c r="G245" i="12" s="1"/>
  <c r="H245" i="12" s="1"/>
  <c r="I245" i="12" s="1"/>
  <c r="G233" i="12" a="1"/>
  <c r="G233" i="12" s="1"/>
  <c r="H233" i="12" s="1"/>
  <c r="I233" i="12" s="1"/>
  <c r="G221" i="12" a="1"/>
  <c r="G221" i="12" s="1"/>
  <c r="H221" i="12" s="1"/>
  <c r="I221" i="12" s="1"/>
  <c r="G209" i="12" a="1"/>
  <c r="G209" i="12" s="1"/>
  <c r="H209" i="12" s="1"/>
  <c r="I209" i="12" s="1"/>
  <c r="G197" i="12" a="1"/>
  <c r="G197" i="12" s="1"/>
  <c r="H197" i="12" s="1"/>
  <c r="I197" i="12" s="1"/>
  <c r="G185" i="12" a="1"/>
  <c r="G185" i="12" s="1"/>
  <c r="H185" i="12" s="1"/>
  <c r="I185" i="12" s="1"/>
  <c r="G173" i="12" a="1"/>
  <c r="G173" i="12" s="1"/>
  <c r="H173" i="12" s="1"/>
  <c r="I173" i="12" s="1"/>
  <c r="G161" i="12" a="1"/>
  <c r="G161" i="12" s="1"/>
  <c r="H161" i="12" s="1"/>
  <c r="I161" i="12" s="1"/>
  <c r="G149" i="12" a="1"/>
  <c r="G149" i="12" s="1"/>
  <c r="H149" i="12" s="1"/>
  <c r="I149" i="12" s="1"/>
  <c r="G137" i="12" a="1"/>
  <c r="G137" i="12" s="1"/>
  <c r="H137" i="12" s="1"/>
  <c r="I137" i="12" s="1"/>
  <c r="G125" i="12" a="1"/>
  <c r="G125" i="12" s="1"/>
  <c r="H125" i="12" s="1"/>
  <c r="I125" i="12" s="1"/>
  <c r="G113" i="12" a="1"/>
  <c r="G113" i="12" s="1"/>
  <c r="H113" i="12" s="1"/>
  <c r="I113" i="12" s="1"/>
  <c r="G101" i="12" a="1"/>
  <c r="G101" i="12" s="1"/>
  <c r="H101" i="12" s="1"/>
  <c r="I101" i="12" s="1"/>
  <c r="G89" i="12" a="1"/>
  <c r="G89" i="12" s="1"/>
  <c r="H89" i="12" s="1"/>
  <c r="I89" i="12" s="1"/>
  <c r="G77" i="12" a="1"/>
  <c r="G77" i="12" s="1"/>
  <c r="H77" i="12" s="1"/>
  <c r="I77" i="12" s="1"/>
  <c r="G65" i="12" a="1"/>
  <c r="G65" i="12" s="1"/>
  <c r="H65" i="12" s="1"/>
  <c r="I65" i="12" s="1"/>
  <c r="G53" i="12" a="1"/>
  <c r="G53" i="12" s="1"/>
  <c r="H53" i="12" s="1"/>
  <c r="I53" i="12" s="1"/>
  <c r="G41" i="12" a="1"/>
  <c r="G41" i="12" s="1"/>
  <c r="H41" i="12" s="1"/>
  <c r="I41" i="12" s="1"/>
  <c r="G29" i="12" a="1"/>
  <c r="G29" i="12" s="1"/>
  <c r="H29" i="12" s="1"/>
  <c r="I29" i="12" s="1"/>
  <c r="G17" i="12" a="1"/>
  <c r="G17" i="12" s="1"/>
  <c r="H17" i="12" s="1"/>
  <c r="I17" i="12" s="1"/>
  <c r="G5" i="12" a="1"/>
  <c r="G5" i="12" s="1"/>
  <c r="H5" i="12" s="1"/>
  <c r="I5" i="12" s="1"/>
  <c r="G244" i="12" a="1"/>
  <c r="G244" i="12" s="1"/>
  <c r="H244" i="12" s="1"/>
  <c r="I244" i="12" s="1"/>
  <c r="G232" i="12" a="1"/>
  <c r="G232" i="12" s="1"/>
  <c r="H232" i="12" s="1"/>
  <c r="I232" i="12" s="1"/>
  <c r="G220" i="12" a="1"/>
  <c r="G220" i="12" s="1"/>
  <c r="H220" i="12" s="1"/>
  <c r="I220" i="12" s="1"/>
  <c r="G208" i="12" a="1"/>
  <c r="G208" i="12" s="1"/>
  <c r="H208" i="12" s="1"/>
  <c r="I208" i="12" s="1"/>
  <c r="G196" i="12" a="1"/>
  <c r="G196" i="12" s="1"/>
  <c r="H196" i="12" s="1"/>
  <c r="I196" i="12" s="1"/>
  <c r="G184" i="12" a="1"/>
  <c r="G184" i="12" s="1"/>
  <c r="H184" i="12" s="1"/>
  <c r="I184" i="12" s="1"/>
  <c r="G172" i="12" a="1"/>
  <c r="G172" i="12" s="1"/>
  <c r="H172" i="12" s="1"/>
  <c r="I172" i="12" s="1"/>
  <c r="G160" i="12" a="1"/>
  <c r="G160" i="12" s="1"/>
  <c r="H160" i="12" s="1"/>
  <c r="I160" i="12" s="1"/>
  <c r="G148" i="12" a="1"/>
  <c r="G148" i="12" s="1"/>
  <c r="H148" i="12" s="1"/>
  <c r="I148" i="12" s="1"/>
  <c r="G136" i="12" a="1"/>
  <c r="G136" i="12" s="1"/>
  <c r="H136" i="12" s="1"/>
  <c r="I136" i="12" s="1"/>
  <c r="G124" i="12" a="1"/>
  <c r="G124" i="12" s="1"/>
  <c r="H124" i="12" s="1"/>
  <c r="I124" i="12" s="1"/>
  <c r="G112" i="12" a="1"/>
  <c r="G112" i="12" s="1"/>
  <c r="H112" i="12" s="1"/>
  <c r="I112" i="12" s="1"/>
  <c r="G100" i="12" a="1"/>
  <c r="G100" i="12" s="1"/>
  <c r="H100" i="12" s="1"/>
  <c r="I100" i="12" s="1"/>
  <c r="G88" i="12" a="1"/>
  <c r="G88" i="12" s="1"/>
  <c r="H88" i="12" s="1"/>
  <c r="I88" i="12" s="1"/>
  <c r="G76" i="12" a="1"/>
  <c r="G76" i="12" s="1"/>
  <c r="H76" i="12" s="1"/>
  <c r="I76" i="12" s="1"/>
  <c r="G64" i="12" a="1"/>
  <c r="G64" i="12" s="1"/>
  <c r="H64" i="12" s="1"/>
  <c r="I64" i="12" s="1"/>
  <c r="G52" i="12" a="1"/>
  <c r="G52" i="12" s="1"/>
  <c r="H52" i="12" s="1"/>
  <c r="I52" i="12" s="1"/>
  <c r="G40" i="12" a="1"/>
  <c r="G40" i="12" s="1"/>
  <c r="H40" i="12" s="1"/>
  <c r="I40" i="12" s="1"/>
  <c r="G28" i="12" a="1"/>
  <c r="G28" i="12" s="1"/>
  <c r="H28" i="12" s="1"/>
  <c r="I28" i="12" s="1"/>
  <c r="G16" i="12" a="1"/>
  <c r="G16" i="12" s="1"/>
  <c r="H16" i="12" s="1"/>
  <c r="I16" i="12" s="1"/>
  <c r="G4" i="12" a="1"/>
  <c r="G4" i="12" s="1"/>
  <c r="H4" i="12" s="1"/>
  <c r="I4" i="12" s="1"/>
  <c r="G315" i="12" a="1"/>
  <c r="G315" i="12" s="1"/>
  <c r="H315" i="12" s="1"/>
  <c r="I315" i="12" s="1"/>
  <c r="G303" i="12" a="1"/>
  <c r="G303" i="12" s="1"/>
  <c r="H303" i="12" s="1"/>
  <c r="I303" i="12" s="1"/>
  <c r="G291" i="12" a="1"/>
  <c r="G291" i="12" s="1"/>
  <c r="H291" i="12" s="1"/>
  <c r="I291" i="12" s="1"/>
  <c r="G279" i="12" a="1"/>
  <c r="G279" i="12" s="1"/>
  <c r="H279" i="12" s="1"/>
  <c r="I279" i="12" s="1"/>
  <c r="G267" i="12" a="1"/>
  <c r="G267" i="12" s="1"/>
  <c r="H267" i="12" s="1"/>
  <c r="I267" i="12" s="1"/>
  <c r="G255" i="12" a="1"/>
  <c r="G255" i="12" s="1"/>
  <c r="H255" i="12" s="1"/>
  <c r="I255" i="12" s="1"/>
  <c r="G243" i="12" a="1"/>
  <c r="G243" i="12" s="1"/>
  <c r="H243" i="12" s="1"/>
  <c r="I243" i="12" s="1"/>
  <c r="G231" i="12" a="1"/>
  <c r="G231" i="12" s="1"/>
  <c r="H231" i="12" s="1"/>
  <c r="I231" i="12" s="1"/>
  <c r="G219" i="12" a="1"/>
  <c r="G219" i="12" s="1"/>
  <c r="H219" i="12" s="1"/>
  <c r="I219" i="12" s="1"/>
  <c r="G207" i="12" a="1"/>
  <c r="G207" i="12" s="1"/>
  <c r="H207" i="12" s="1"/>
  <c r="I207" i="12" s="1"/>
  <c r="G195" i="12" a="1"/>
  <c r="G195" i="12" s="1"/>
  <c r="H195" i="12" s="1"/>
  <c r="I195" i="12" s="1"/>
  <c r="G183" i="12" a="1"/>
  <c r="G183" i="12" s="1"/>
  <c r="H183" i="12" s="1"/>
  <c r="I183" i="12" s="1"/>
  <c r="G171" i="12" a="1"/>
  <c r="G171" i="12" s="1"/>
  <c r="H171" i="12" s="1"/>
  <c r="I171" i="12" s="1"/>
  <c r="G159" i="12" a="1"/>
  <c r="G159" i="12" s="1"/>
  <c r="H159" i="12" s="1"/>
  <c r="I159" i="12" s="1"/>
  <c r="G147" i="12" a="1"/>
  <c r="G147" i="12" s="1"/>
  <c r="H147" i="12" s="1"/>
  <c r="I147" i="12" s="1"/>
  <c r="G135" i="12" a="1"/>
  <c r="G135" i="12" s="1"/>
  <c r="H135" i="12" s="1"/>
  <c r="I135" i="12" s="1"/>
  <c r="G123" i="12" a="1"/>
  <c r="G123" i="12" s="1"/>
  <c r="H123" i="12" s="1"/>
  <c r="I123" i="12" s="1"/>
  <c r="G111" i="12" a="1"/>
  <c r="G111" i="12" s="1"/>
  <c r="H111" i="12" s="1"/>
  <c r="I111" i="12" s="1"/>
  <c r="G99" i="12" a="1"/>
  <c r="G99" i="12" s="1"/>
  <c r="H99" i="12" s="1"/>
  <c r="I99" i="12" s="1"/>
  <c r="G87" i="12" a="1"/>
  <c r="G87" i="12" s="1"/>
  <c r="H87" i="12" s="1"/>
  <c r="I87" i="12" s="1"/>
  <c r="G75" i="12" a="1"/>
  <c r="G75" i="12" s="1"/>
  <c r="H75" i="12" s="1"/>
  <c r="I75" i="12" s="1"/>
  <c r="G63" i="12" a="1"/>
  <c r="G63" i="12" s="1"/>
  <c r="H63" i="12" s="1"/>
  <c r="I63" i="12" s="1"/>
  <c r="G51" i="12" a="1"/>
  <c r="G51" i="12" s="1"/>
  <c r="H51" i="12" s="1"/>
  <c r="I51" i="12" s="1"/>
  <c r="G39" i="12" a="1"/>
  <c r="G39" i="12" s="1"/>
  <c r="H39" i="12" s="1"/>
  <c r="I39" i="12" s="1"/>
  <c r="G27" i="12" a="1"/>
  <c r="G27" i="12" s="1"/>
  <c r="H27" i="12" s="1"/>
  <c r="I27" i="12" s="1"/>
  <c r="G15" i="12" a="1"/>
  <c r="G15" i="12" s="1"/>
  <c r="H15" i="12" s="1"/>
  <c r="I15" i="12" s="1"/>
  <c r="G3" i="12" a="1"/>
  <c r="G3" i="12" s="1"/>
  <c r="H3" i="12" s="1"/>
  <c r="I3"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<sst xmlns="http://schemas.openxmlformats.org/spreadsheetml/2006/main" count="10454" uniqueCount="650">
  <si>
    <r>
      <t xml:space="preserve">The WoVEn scores are produced in order to assist organisations identify weaknesses in their data so that they can be corrected; the scores in themselves are purely for information purposes. The purpose of WoVEn is to help drive up data quality.
</t>
    </r>
    <r>
      <rPr>
        <sz val="9"/>
        <color indexed="8"/>
        <rFont val="Arial"/>
        <charset val="1"/>
      </rPr>
      <t xml:space="preserve">It is important to bear in mind that whilst the WoVEn scores and rankings give a good indication of an organisation’s progress with its workforce data quality, it is not an end in itself. Organisations are discouraged from making changes to solely improve their score without actually improving, or potentially reducing, the quality of the workforce information that they hold. Whilst changes in an organisation’s score or ranking may give an indication of improvements in its workforce data quality, it does not in itself indicate that one organisation is in some way ‘better’ or ‘worse’ than another, as there may be various factors which impact upon an organisation’s score and therefore complicate this picture.
It is understood that the vast majority of organisations have put a considerable amount of effort into improving their workforce data quality since the rollout of ESR, and that there is significant positive engagement with the WoVEn process. The continued use of the WoVEn process is not intended to ignore this hard work, rather to help ensure that we all get the maximum potential benefit from the information which can be derived from the ESR and used to improve workforce planning and the development of the future healthcare workforce.
</t>
    </r>
    <r>
      <rPr>
        <sz val="9"/>
        <color indexed="8"/>
        <rFont val="Arial"/>
        <charset val="1"/>
      </rPr>
      <t xml:space="preserve">
</t>
    </r>
  </si>
  <si>
    <r>
      <t xml:space="preserve">Published by NHS Digital, part of the Government Statistical Service
</t>
    </r>
    <r>
      <rPr>
        <sz val="9"/>
        <color indexed="8"/>
        <rFont val="Arial"/>
        <charset val="1"/>
      </rPr>
      <t xml:space="preserve">Copyright © 2019 NHS Digital
</t>
    </r>
  </si>
  <si>
    <r>
      <t xml:space="preserve">You may re-use this document/publication (not including logos) free of charge in any format or medium, under the terms of the Open Government Licence v3.0.
</t>
    </r>
    <r>
      <rPr>
        <sz val="9"/>
        <color indexed="8"/>
        <rFont val="Arial"/>
        <charset val="1"/>
      </rPr>
      <t xml:space="preserve">To view this licence visit </t>
    </r>
    <r>
      <rPr>
        <u/>
        <sz val="9"/>
        <color indexed="10"/>
        <rFont val="Arial"/>
        <charset val="1"/>
      </rPr>
      <t>https://</t>
    </r>
    <r>
      <rPr>
        <u/>
        <sz val="9"/>
        <color indexed="10"/>
        <rFont val="Arial"/>
        <charset val="1"/>
      </rPr>
      <t xml:space="preserve">www.nationalarchives.gov.uk/doc/open-government-licence
</t>
    </r>
    <r>
      <rPr>
        <sz val="9"/>
        <color indexed="8"/>
        <rFont val="Arial"/>
        <charset val="1"/>
      </rPr>
      <t xml:space="preserve">or write to the Information Policy Team, The National Archives, Kew, Richmond, Surrey, TW9 4DU;
</t>
    </r>
    <r>
      <rPr>
        <sz val="9"/>
        <color indexed="8"/>
        <rFont val="Arial"/>
        <charset val="1"/>
      </rPr>
      <t xml:space="preserve">or email: </t>
    </r>
    <r>
      <rPr>
        <u/>
        <sz val="9"/>
        <color indexed="10"/>
        <rFont val="Arial"/>
        <charset val="1"/>
      </rPr>
      <t>psi@nationalarchives.gsi.gov.uk</t>
    </r>
  </si>
  <si>
    <t>WoVEn2 England / Wales Organisation Rankings and Scores: July 2024</t>
  </si>
  <si>
    <t>July 2024: This sheet contains the said month's WoVEn England / Wales organisational Rankings and Scores. This data has been taken from the July 2024 WoVEn Summary Results for Org reports.</t>
  </si>
  <si>
    <t>NHSE Region Code</t>
  </si>
  <si>
    <t>NHSE Region Name</t>
  </si>
  <si>
    <t>NB: A Final Score of 10000 and a Ranking of 1 is the highest ranking available.</t>
  </si>
  <si>
    <t>Q99</t>
  </si>
  <si>
    <t>NHS Wales</t>
  </si>
  <si>
    <t>QZZ</t>
  </si>
  <si>
    <t>Special Health Authorities and other statutory bodies</t>
  </si>
  <si>
    <t>Y56</t>
  </si>
  <si>
    <t>London</t>
  </si>
  <si>
    <t>Y58</t>
  </si>
  <si>
    <t>South West</t>
  </si>
  <si>
    <t>Y59</t>
  </si>
  <si>
    <t>South East</t>
  </si>
  <si>
    <t>Y60</t>
  </si>
  <si>
    <t>Midlands</t>
  </si>
  <si>
    <t>Y61</t>
  </si>
  <si>
    <t>East of England</t>
  </si>
  <si>
    <t>Y62</t>
  </si>
  <si>
    <t>North West</t>
  </si>
  <si>
    <t>Y63</t>
  </si>
  <si>
    <t>North East and Yorkshire</t>
  </si>
  <si>
    <t>VPDs</t>
  </si>
  <si>
    <t>0AR</t>
  </si>
  <si>
    <t>QNX</t>
  </si>
  <si>
    <t>QR1</t>
  </si>
  <si>
    <t>QUY</t>
  </si>
  <si>
    <t>R1C</t>
  </si>
  <si>
    <t>X80</t>
  </si>
  <si>
    <t>Others</t>
  </si>
  <si>
    <t>RJ8</t>
  </si>
  <si>
    <t>0DF</t>
  </si>
  <si>
    <t>RP7</t>
  </si>
  <si>
    <t>RXW</t>
  </si>
  <si>
    <t>RX2</t>
  </si>
  <si>
    <t>RFF</t>
  </si>
  <si>
    <t>RXC</t>
  </si>
  <si>
    <t>RAE</t>
  </si>
  <si>
    <t>QGH</t>
  </si>
  <si>
    <t>RCF</t>
  </si>
  <si>
    <t>RGD</t>
  </si>
  <si>
    <t>0CX</t>
  </si>
  <si>
    <t>NQ7</t>
  </si>
  <si>
    <t>RYY</t>
  </si>
  <si>
    <t>QYG</t>
  </si>
  <si>
    <t>RX4</t>
  </si>
  <si>
    <t>RJ6</t>
  </si>
  <si>
    <t>QU9</t>
  </si>
  <si>
    <t>RJ2</t>
  </si>
  <si>
    <t>RJN</t>
  </si>
  <si>
    <t>RR7</t>
  </si>
  <si>
    <t>RK5</t>
  </si>
  <si>
    <t>RGM</t>
  </si>
  <si>
    <t>AXG</t>
  </si>
  <si>
    <t>RXE</t>
  </si>
  <si>
    <t>RJL</t>
  </si>
  <si>
    <t>RFS</t>
  </si>
  <si>
    <t>RCX</t>
  </si>
  <si>
    <t>RXA</t>
  </si>
  <si>
    <t>QOX</t>
  </si>
  <si>
    <t>QHG</t>
  </si>
  <si>
    <t>QPM</t>
  </si>
  <si>
    <t>RY5</t>
  </si>
  <si>
    <t>RT2</t>
  </si>
  <si>
    <t>RFR</t>
  </si>
  <si>
    <t>RTG</t>
  </si>
  <si>
    <t>RWV</t>
  </si>
  <si>
    <t>RVN</t>
  </si>
  <si>
    <t>QNC</t>
  </si>
  <si>
    <t>QSL</t>
  </si>
  <si>
    <t>RXG</t>
  </si>
  <si>
    <t>RN7</t>
  </si>
  <si>
    <t>QJK</t>
  </si>
  <si>
    <t>RTQ</t>
  </si>
  <si>
    <t>RX3</t>
  </si>
  <si>
    <t>8J318</t>
  </si>
  <si>
    <t>Focus</t>
  </si>
  <si>
    <t>RWF</t>
  </si>
  <si>
    <t>RGT</t>
  </si>
  <si>
    <t>QJM</t>
  </si>
  <si>
    <t>RPC</t>
  </si>
  <si>
    <t>RTF</t>
  </si>
  <si>
    <t>RDR</t>
  </si>
  <si>
    <t>RY7</t>
  </si>
  <si>
    <t>RBL</t>
  </si>
  <si>
    <t>RHU</t>
  </si>
  <si>
    <t>TAD</t>
  </si>
  <si>
    <t>RWD</t>
  </si>
  <si>
    <t>RV9</t>
  </si>
  <si>
    <t>QNQ</t>
  </si>
  <si>
    <t>RXN</t>
  </si>
  <si>
    <t>RTD</t>
  </si>
  <si>
    <t>RRJ</t>
  </si>
  <si>
    <t>RD1</t>
  </si>
  <si>
    <t>R1D</t>
  </si>
  <si>
    <t>RP4</t>
  </si>
  <si>
    <t>QF7</t>
  </si>
  <si>
    <t>RW4</t>
  </si>
  <si>
    <t>RBS</t>
  </si>
  <si>
    <t>RHM</t>
  </si>
  <si>
    <t>RXQ</t>
  </si>
  <si>
    <t>RAX</t>
  </si>
  <si>
    <t>RA9</t>
  </si>
  <si>
    <t>RQY</t>
  </si>
  <si>
    <t>REN</t>
  </si>
  <si>
    <t>RV3</t>
  </si>
  <si>
    <t>QRL</t>
  </si>
  <si>
    <t>RDE</t>
  </si>
  <si>
    <t>NQA</t>
  </si>
  <si>
    <t>Provide</t>
  </si>
  <si>
    <t>RWR</t>
  </si>
  <si>
    <t>QOC</t>
  </si>
  <si>
    <t>RDY</t>
  </si>
  <si>
    <t>NL1</t>
  </si>
  <si>
    <t>RHA</t>
  </si>
  <si>
    <t>RM3</t>
  </si>
  <si>
    <t>T1480</t>
  </si>
  <si>
    <t>RVW</t>
  </si>
  <si>
    <t>RCD</t>
  </si>
  <si>
    <t>R1L</t>
  </si>
  <si>
    <t>QK1</t>
  </si>
  <si>
    <t>RET</t>
  </si>
  <si>
    <t>QKK</t>
  </si>
  <si>
    <t>RJR</t>
  </si>
  <si>
    <t>RF4</t>
  </si>
  <si>
    <t>RNS</t>
  </si>
  <si>
    <t>0DE</t>
  </si>
  <si>
    <t>QWU</t>
  </si>
  <si>
    <t>TAH</t>
  </si>
  <si>
    <t>NAX</t>
  </si>
  <si>
    <t>NL3</t>
  </si>
  <si>
    <t>RNQ</t>
  </si>
  <si>
    <t>RTP</t>
  </si>
  <si>
    <t>RL4</t>
  </si>
  <si>
    <t>RXP</t>
  </si>
  <si>
    <t>QHL</t>
  </si>
  <si>
    <t>RJC</t>
  </si>
  <si>
    <t>RRP</t>
  </si>
  <si>
    <t>RBN</t>
  </si>
  <si>
    <t>RA2</t>
  </si>
  <si>
    <t>RHQ</t>
  </si>
  <si>
    <t>NNV</t>
  </si>
  <si>
    <t>RXV</t>
  </si>
  <si>
    <t>RTX</t>
  </si>
  <si>
    <t>RLQ</t>
  </si>
  <si>
    <t>RYR</t>
  </si>
  <si>
    <t>RBV</t>
  </si>
  <si>
    <t>QT1</t>
  </si>
  <si>
    <t>RKL</t>
  </si>
  <si>
    <t>RQX</t>
  </si>
  <si>
    <t>NQL</t>
  </si>
  <si>
    <t>T1460</t>
  </si>
  <si>
    <t>RY4</t>
  </si>
  <si>
    <t>RAL</t>
  </si>
  <si>
    <t>RY9</t>
  </si>
  <si>
    <t>QMM</t>
  </si>
  <si>
    <t>RP5</t>
  </si>
  <si>
    <t>RVV</t>
  </si>
  <si>
    <t>QT6</t>
  </si>
  <si>
    <t>T1450</t>
  </si>
  <si>
    <t>RH5</t>
  </si>
  <si>
    <t>RWA</t>
  </si>
  <si>
    <t>QJ2</t>
  </si>
  <si>
    <t>RRE</t>
  </si>
  <si>
    <t>RRV</t>
  </si>
  <si>
    <t>RPA</t>
  </si>
  <si>
    <t>RKB</t>
  </si>
  <si>
    <t>RY3</t>
  </si>
  <si>
    <t>RLY</t>
  </si>
  <si>
    <t>RMC</t>
  </si>
  <si>
    <t>RAJ</t>
  </si>
  <si>
    <t>R1A</t>
  </si>
  <si>
    <t>DEQ</t>
  </si>
  <si>
    <t>RWE</t>
  </si>
  <si>
    <t>RW1</t>
  </si>
  <si>
    <t>RD8</t>
  </si>
  <si>
    <t>RYD</t>
  </si>
  <si>
    <t>TAF</t>
  </si>
  <si>
    <t>RP1</t>
  </si>
  <si>
    <t>RYA</t>
  </si>
  <si>
    <t>RPY</t>
  </si>
  <si>
    <t>RP6</t>
  </si>
  <si>
    <t>RWX</t>
  </si>
  <si>
    <t>RXM</t>
  </si>
  <si>
    <t>RWJ</t>
  </si>
  <si>
    <t>RVR</t>
  </si>
  <si>
    <t>RJ7</t>
  </si>
  <si>
    <t>REP</t>
  </si>
  <si>
    <t>R1H</t>
  </si>
  <si>
    <t>RYV</t>
  </si>
  <si>
    <t>RAP</t>
  </si>
  <si>
    <t>RXF</t>
  </si>
  <si>
    <t>RY8</t>
  </si>
  <si>
    <t>RTR</t>
  </si>
  <si>
    <t>RWW</t>
  </si>
  <si>
    <t>NNF</t>
  </si>
  <si>
    <t>RWH</t>
  </si>
  <si>
    <t>RYE</t>
  </si>
  <si>
    <t>RNN</t>
  </si>
  <si>
    <t>RC9</t>
  </si>
  <si>
    <t>RN3</t>
  </si>
  <si>
    <t>RWY</t>
  </si>
  <si>
    <t>QRV</t>
  </si>
  <si>
    <t>RGP</t>
  </si>
  <si>
    <t>RMY</t>
  </si>
  <si>
    <t>RBT</t>
  </si>
  <si>
    <t>RWG</t>
  </si>
  <si>
    <t>RJZ</t>
  </si>
  <si>
    <t>Z1E5K</t>
  </si>
  <si>
    <t>RWK</t>
  </si>
  <si>
    <t>RGN</t>
  </si>
  <si>
    <t>RL1</t>
  </si>
  <si>
    <t>QMJ</t>
  </si>
  <si>
    <t>RNZ</t>
  </si>
  <si>
    <t>T1540</t>
  </si>
  <si>
    <t>RY2</t>
  </si>
  <si>
    <t>RDU</t>
  </si>
  <si>
    <t>QKS</t>
  </si>
  <si>
    <t>RR8</t>
  </si>
  <si>
    <t>RXL</t>
  </si>
  <si>
    <t>RBK</t>
  </si>
  <si>
    <t>RK9</t>
  </si>
  <si>
    <t>RMP</t>
  </si>
  <si>
    <t>RRF</t>
  </si>
  <si>
    <t>RVJ</t>
  </si>
  <si>
    <t>RQ3</t>
  </si>
  <si>
    <t>NR3</t>
  </si>
  <si>
    <t>QWE</t>
  </si>
  <si>
    <t>RAS</t>
  </si>
  <si>
    <t>RYW</t>
  </si>
  <si>
    <t>QE1</t>
  </si>
  <si>
    <t>R1K</t>
  </si>
  <si>
    <t>RWP</t>
  </si>
  <si>
    <t>R0B</t>
  </si>
  <si>
    <t>NL8</t>
  </si>
  <si>
    <t>RCU</t>
  </si>
  <si>
    <t>RPG</t>
  </si>
  <si>
    <t>REM</t>
  </si>
  <si>
    <t>RTK</t>
  </si>
  <si>
    <t>R1F</t>
  </si>
  <si>
    <t>RT5</t>
  </si>
  <si>
    <t>RLT</t>
  </si>
  <si>
    <t>RTE</t>
  </si>
  <si>
    <t>QHM</t>
  </si>
  <si>
    <t>NQV</t>
  </si>
  <si>
    <t>RQW</t>
  </si>
  <si>
    <t>RXY</t>
  </si>
  <si>
    <t>R0A</t>
  </si>
  <si>
    <t>RNA</t>
  </si>
  <si>
    <t>RJ1</t>
  </si>
  <si>
    <t>RXR</t>
  </si>
  <si>
    <t>RT1</t>
  </si>
  <si>
    <t>RBD</t>
  </si>
  <si>
    <t>RH8</t>
  </si>
  <si>
    <t>RTH</t>
  </si>
  <si>
    <t>RYX</t>
  </si>
  <si>
    <t>RY6</t>
  </si>
  <si>
    <t>NLX</t>
  </si>
  <si>
    <t>QOP</t>
  </si>
  <si>
    <t>RX6</t>
  </si>
  <si>
    <t>RNU</t>
  </si>
  <si>
    <t>QXU</t>
  </si>
  <si>
    <t>QMF</t>
  </si>
  <si>
    <t>RRK</t>
  </si>
  <si>
    <t>RXX</t>
  </si>
  <si>
    <t>RA7</t>
  </si>
  <si>
    <t>RN5</t>
  </si>
  <si>
    <t>RV5</t>
  </si>
  <si>
    <t>QH8</t>
  </si>
  <si>
    <t>RAN</t>
  </si>
  <si>
    <t>RX8</t>
  </si>
  <si>
    <t>QUA</t>
  </si>
  <si>
    <t>NTV</t>
  </si>
  <si>
    <t>RCB</t>
  </si>
  <si>
    <t>RYC</t>
  </si>
  <si>
    <t>RRU</t>
  </si>
  <si>
    <t>RNK</t>
  </si>
  <si>
    <t>RJE</t>
  </si>
  <si>
    <t>RYJ</t>
  </si>
  <si>
    <t>RHW</t>
  </si>
  <si>
    <t>QM7</t>
  </si>
  <si>
    <t>RX7</t>
  </si>
  <si>
    <t>RAT</t>
  </si>
  <si>
    <t>RQM</t>
  </si>
  <si>
    <t>NR5</t>
  </si>
  <si>
    <t>TAJ</t>
  </si>
  <si>
    <t>RXK</t>
  </si>
  <si>
    <t>RYK</t>
  </si>
  <si>
    <t>REF</t>
  </si>
  <si>
    <t>RW5</t>
  </si>
  <si>
    <t>X24</t>
  </si>
  <si>
    <t>RYG</t>
  </si>
  <si>
    <t>RBQ</t>
  </si>
  <si>
    <t>NDJ</t>
  </si>
  <si>
    <t>RYF</t>
  </si>
  <si>
    <t>T1150</t>
  </si>
  <si>
    <t>NB7</t>
  </si>
  <si>
    <t>R0D</t>
  </si>
  <si>
    <t>QWO</t>
  </si>
  <si>
    <t>QVV</t>
  </si>
  <si>
    <t>QJG</t>
  </si>
  <si>
    <t>RGR</t>
  </si>
  <si>
    <t>RXT</t>
  </si>
  <si>
    <t>RX1</t>
  </si>
  <si>
    <t>RX9</t>
  </si>
  <si>
    <t>RM1</t>
  </si>
  <si>
    <t>RKE</t>
  </si>
  <si>
    <t>QOQ</t>
  </si>
  <si>
    <t>QUE</t>
  </si>
  <si>
    <t>8JX76</t>
  </si>
  <si>
    <t>NRR</t>
  </si>
  <si>
    <t>Quartile</t>
  </si>
  <si>
    <t>X36</t>
  </si>
  <si>
    <t>Grand Total</t>
  </si>
  <si>
    <t>Jan</t>
  </si>
  <si>
    <t>Feb</t>
  </si>
  <si>
    <t>Mar</t>
  </si>
  <si>
    <t>Apr</t>
  </si>
  <si>
    <t>May</t>
  </si>
  <si>
    <t>Jun</t>
  </si>
  <si>
    <t>Jul</t>
  </si>
  <si>
    <t>YearMonth</t>
  </si>
  <si>
    <t>OrgCode</t>
  </si>
  <si>
    <t>OrgName</t>
  </si>
  <si>
    <t>NHSEREGIONCODE</t>
  </si>
  <si>
    <t>BenchmarkGroup</t>
  </si>
  <si>
    <t>TopQuartile</t>
  </si>
  <si>
    <t>EastSussexHealthcareNHSTrust</t>
  </si>
  <si>
    <t>Acute-Large</t>
  </si>
  <si>
    <t>LewishamandGreenwichNHSTrust</t>
  </si>
  <si>
    <t>MaidstoneandTunbridgeWellsNHSTrust</t>
  </si>
  <si>
    <t>NorthumbriaHealthcareNHSFoundationTrust</t>
  </si>
  <si>
    <t>PortsmouthHospitalsUniversityNHSTrust</t>
  </si>
  <si>
    <t>UnitedLincolnshireHospitalsNHSTrust</t>
  </si>
  <si>
    <t>SecondQuartile</t>
  </si>
  <si>
    <t>EastSuffolkandNorthEssexNHSFoundationTrust</t>
  </si>
  <si>
    <t>RoyalWolverhamptonNHSTrust</t>
  </si>
  <si>
    <t>ThirdQuartile</t>
  </si>
  <si>
    <t>MidandSouthEssexNHSFoundationTrust</t>
  </si>
  <si>
    <t>EastandNorthHertfordshireNHSTrust</t>
  </si>
  <si>
    <t>CalderdaleandHuddersfieldNHSFoundationTrust</t>
  </si>
  <si>
    <t>NorthWestAngliaNHSFoundationTrust</t>
  </si>
  <si>
    <t>FrimleyHealthNHSFoundationTrust</t>
  </si>
  <si>
    <t>NorthBristolNHSTrust</t>
  </si>
  <si>
    <t>WorcestershireAcuteHospitalsNHSTrust</t>
  </si>
  <si>
    <t>SouthTynesideandSunderlandNHSFoundationTrust</t>
  </si>
  <si>
    <t>FourthQuartile</t>
  </si>
  <si>
    <t>GloucestershireHospitalsNHSFoundationTrust</t>
  </si>
  <si>
    <t>EastLancashireHospitalsNHSTrust</t>
  </si>
  <si>
    <t>RoyalDevonUniversityHealthcareNHSFoundationTrust</t>
  </si>
  <si>
    <t>HampshireHospitalsNHSFoundationTrust</t>
  </si>
  <si>
    <t>RoyalBerkshireNHSFoundationTrust</t>
  </si>
  <si>
    <t>SandwellandWestBirminghamHospitalsNHSTrust</t>
  </si>
  <si>
    <t>RoyalCornwallHospitalsNHSTrust</t>
  </si>
  <si>
    <t>ShrewsburyandTelfordHospitalNHSTrust</t>
  </si>
  <si>
    <t>Acute-Medium</t>
  </si>
  <si>
    <t>CroydonHealthServicesNHSTrust</t>
  </si>
  <si>
    <t>GatesheadHealthNHSFoundationTrust</t>
  </si>
  <si>
    <t>SherwoodForestHospitalsNHSFoundationTrust</t>
  </si>
  <si>
    <t>NorthernLincolnshireandGooleNHSFoundationTrust</t>
  </si>
  <si>
    <t>RoyalUnitedHospitalsBathNHSFoundationTrust</t>
  </si>
  <si>
    <t>KingstonHospitalNHSFoundationTrust</t>
  </si>
  <si>
    <t>NorthTeesandHartlepoolNHSFoundationTrust</t>
  </si>
  <si>
    <t>NorthamptonGeneralHospitalNHSTrust</t>
  </si>
  <si>
    <t>SurreyandSussexHealthcareNHSTrust</t>
  </si>
  <si>
    <t>RoyalSurreyCountyHospitalNHSFoundationTrust</t>
  </si>
  <si>
    <t>MedwayNHSFoundationTrust</t>
  </si>
  <si>
    <t>BoltonNHSFoundationTrust</t>
  </si>
  <si>
    <t>StockportNHSFoundationTrust</t>
  </si>
  <si>
    <t>NorthCumbriaIntegratedCareNHSFoundationTrust</t>
  </si>
  <si>
    <t>BedfordshireHospitalsNHSFoundationTrust</t>
  </si>
  <si>
    <t>GreatWesternHospitalsNHSFoundationTrust</t>
  </si>
  <si>
    <t>Wrightington,WiganandLeighNHSFoundationTrust</t>
  </si>
  <si>
    <t>AshfordandSt.Peter'sHospitalsNHSFoundationTrust</t>
  </si>
  <si>
    <t>DudleyGroupNHSFoundationTrust</t>
  </si>
  <si>
    <t>BuckinghamshireHealthcareNHSTrust</t>
  </si>
  <si>
    <t>Acute-Multi-Service</t>
  </si>
  <si>
    <t>TorbayandSouthDevonNHSFoundationTrust</t>
  </si>
  <si>
    <t>CountyDurhamandDarlingtonNHSFoundationTrust</t>
  </si>
  <si>
    <t>WyeValleyNHSTrust</t>
  </si>
  <si>
    <t>SomersetNHSFoundationTrust</t>
  </si>
  <si>
    <t>IsleofWightNHSTrust</t>
  </si>
  <si>
    <t>WhittingtonHealthNHSTrust</t>
  </si>
  <si>
    <t>BarnsleyHospitalNHSFoundationTrust</t>
  </si>
  <si>
    <t>Acute-Small</t>
  </si>
  <si>
    <t>AiredaleNHSFoundationTrust</t>
  </si>
  <si>
    <t>EastCheshireNHSTrust</t>
  </si>
  <si>
    <t>ChesterfieldRoyalHospitalNHSFoundationTrust</t>
  </si>
  <si>
    <t>QueenElizabethHospitalKing'sLynnNHSFoundationTrust</t>
  </si>
  <si>
    <t>RotherhamNHSFoundationTrust</t>
  </si>
  <si>
    <t>DartfordandGraveshamNHSTrust</t>
  </si>
  <si>
    <t>HarrogateandDistrictNHSFoundationTrust</t>
  </si>
  <si>
    <t>CountessofChesterHospitalNHSFoundationTrust</t>
  </si>
  <si>
    <t>KetteringGeneralHospitalNHSFoundationTrust</t>
  </si>
  <si>
    <t>MidCheshireHospitalsNHSFoundationTrust</t>
  </si>
  <si>
    <t>SalisburyNHSFoundationTrust</t>
  </si>
  <si>
    <t>WalsallHealthcareNHSTrust</t>
  </si>
  <si>
    <t>TamesideandGlossopIntegratedCareNHSFoundationTrust</t>
  </si>
  <si>
    <t>HillingdonHospitalsNHSFoundationTrust</t>
  </si>
  <si>
    <t>GeorgeEliotHospitalNHSTrust</t>
  </si>
  <si>
    <t>PrincessAlexandraHospitalNHSTrust</t>
  </si>
  <si>
    <t>DorsetCountyHospitalNHSFoundationTrust</t>
  </si>
  <si>
    <t>WestSuffolkNHSFoundationTrust</t>
  </si>
  <si>
    <t>RoyalPapworthHospitalNHSFoundationTrust</t>
  </si>
  <si>
    <t>Acute-Specialist</t>
  </si>
  <si>
    <t>QueenVictoriaHospitalNHSFoundationTrust</t>
  </si>
  <si>
    <t>RoyalOrthopaedicHospitalNHSFoundationTrust</t>
  </si>
  <si>
    <t>GreatOrmondStreetHospitalforChildrenNHSFoundationTrust</t>
  </si>
  <si>
    <t>AlderHeyChildren'sNHSFoundationTrust</t>
  </si>
  <si>
    <t>ClatterbridgeCancerCentreNHSFoundationTrust</t>
  </si>
  <si>
    <t>WaltonCentreNHSFoundationTrust</t>
  </si>
  <si>
    <t>ChristieNHSFoundationTrust</t>
  </si>
  <si>
    <t>RoyalMarsdenNHSFoundationTrust</t>
  </si>
  <si>
    <t>MoorfieldsEyeHospitalNHSFoundationTrust</t>
  </si>
  <si>
    <t>LiverpoolWomen'sNHSFoundationTrust</t>
  </si>
  <si>
    <t>RobertJonesandAgnesHuntOrthopaedicHospitalNHSFoundationTrust</t>
  </si>
  <si>
    <t>BirminghamWomen'sandChildren'sNHSFoundationTrust</t>
  </si>
  <si>
    <t>SheffieldChildren'sNHSFoundationTrust</t>
  </si>
  <si>
    <t>RoyalNationalOrthopaedicHospitalNHSTrust</t>
  </si>
  <si>
    <t>LiverpoolHeartandChestHospitalNHSFoundationTrust</t>
  </si>
  <si>
    <t>BradfordTeachingHospitalsNHSFoundationTrust</t>
  </si>
  <si>
    <t>Acute-Teaching</t>
  </si>
  <si>
    <t>UniversityHospitalsofDerbyandBurtonNHSFoundationTrust</t>
  </si>
  <si>
    <t>CambridgeUniversityHospitalsNHSFoundationTrust</t>
  </si>
  <si>
    <t>WirralUniversityTeachingHospitalNHSFoundationTrust</t>
  </si>
  <si>
    <t>LancashireTeachingHospitalsNHSFoundationTrust</t>
  </si>
  <si>
    <t>NewcastleUponTyneHospitalsNHSFoundationTrust</t>
  </si>
  <si>
    <t>UniversityHospitalSouthamptonNHSFoundationTrust</t>
  </si>
  <si>
    <t>NorthernCareAllianceNHSFoundationTrust</t>
  </si>
  <si>
    <t>Barking,HaveringandRedbridgeUniversityHospitalsNHSTrust</t>
  </si>
  <si>
    <t>SouthWarwickshireUniversityNHSFoundationTrust</t>
  </si>
  <si>
    <t>MerseyandWestLancashireTeachingHospitalsNHSTrust</t>
  </si>
  <si>
    <t>SheffieldTeachingHospitalsNHSFoundationTrust</t>
  </si>
  <si>
    <t>UniversityHospitalsofMorecambeBayNHSFoundationTrust</t>
  </si>
  <si>
    <t>UniversityHospitalsSussexNHSFoundationTrust</t>
  </si>
  <si>
    <t>HomertonHealthcareNHSFoundationTrust</t>
  </si>
  <si>
    <t>RoyalFreeLondonNHSFoundationTrust</t>
  </si>
  <si>
    <t>DoncasterandBassetlawTeachingHospitalsNHSFoundationTrust</t>
  </si>
  <si>
    <t>EastKentHospitalsUniversityNHSFoundationTrust</t>
  </si>
  <si>
    <t>HullUniversityTeachingHospitalsNHSTrust</t>
  </si>
  <si>
    <t>UniversityCollegeLondonHospitalsNHSFoundationTrust</t>
  </si>
  <si>
    <t>UniversityHospitalsCoventryandWarwickshireNHSTrust</t>
  </si>
  <si>
    <t>UniversityHospitalsofLeicesterNHSTrust</t>
  </si>
  <si>
    <t>MiltonKeynesUniversityHospitalNHSFoundationTrust</t>
  </si>
  <si>
    <t>EpsomandStHelierUniversityHospitalsNHSTrust</t>
  </si>
  <si>
    <t>StGeorge'sUniversityHospitalsNHSFoundationTrust</t>
  </si>
  <si>
    <t>BartsHealthNHSTrust</t>
  </si>
  <si>
    <t>NorthMiddlesexUniversityHospitalNHSTrust</t>
  </si>
  <si>
    <t>MidYorkshireTeachingNHSTrust</t>
  </si>
  <si>
    <t>SouthTeesHospitalsNHSFoundationTrust</t>
  </si>
  <si>
    <t>WarringtonandHaltonTeachingHospitalsNHSFoundationTrust</t>
  </si>
  <si>
    <t>JamesPagetUniversityHospitalsNHSFoundationTrust</t>
  </si>
  <si>
    <t>WestHertfordshireTeachingHospitalsNHSTrust</t>
  </si>
  <si>
    <t>King'sCollegeHospitalNHSFoundationTrust</t>
  </si>
  <si>
    <t>LeedsTeachingHospitalsNHSTrust</t>
  </si>
  <si>
    <t>BlackpoolTeachingHospitalsNHSFoundationTrust</t>
  </si>
  <si>
    <t>UniversityHospitalsPlymouthNHSTrust</t>
  </si>
  <si>
    <t>LondonNorthWestUniversityHealthcareNHSTrust</t>
  </si>
  <si>
    <t>LiverpoolUniversityHospitalsNHSFoundationTrust</t>
  </si>
  <si>
    <t>ManchesterUniversityNHSFoundationTrust</t>
  </si>
  <si>
    <t>Guy'sandStThomas'NHSFoundationTrust</t>
  </si>
  <si>
    <t>OxfordUniversityHospitalsNHSFoundationTrust</t>
  </si>
  <si>
    <t>UniversityHospitalsBirminghamNHSFoundationTrust</t>
  </si>
  <si>
    <t>UniversityHospitalsBristolandWestonNHSFoundationTrust</t>
  </si>
  <si>
    <t>YorkshireandtheHumberStrategicHealthAuthority</t>
  </si>
  <si>
    <t>UniversityHospitalsofNorthMidlandsNHSTrust</t>
  </si>
  <si>
    <t>ImperialCollegeHealthcareNHSTrust</t>
  </si>
  <si>
    <t>ChelseaandWestminsterHospitalNHSFoundationTrust</t>
  </si>
  <si>
    <t>UniversityHospitalsDorsetNHSFoundationTrust</t>
  </si>
  <si>
    <t>NottinghamUniversityHospitalsNHSTrust</t>
  </si>
  <si>
    <t>NorfolkandNorwichUniversityHospitalsNHSFoundationTrust</t>
  </si>
  <si>
    <t>SouthEastCoastAmbulanceServiceNHSFoundationTrust</t>
  </si>
  <si>
    <t>AmbulanceTrust</t>
  </si>
  <si>
    <t>WestMidlandsAmbulanceServiceUniversityNHSFoundationTrust</t>
  </si>
  <si>
    <t>SouthCentralAmbulanceServiceNHSFoundationTrust</t>
  </si>
  <si>
    <t>NorthEastAmbulanceServiceNHSFoundationTrust</t>
  </si>
  <si>
    <t>YorkshireAmbulanceServiceNHSTrust</t>
  </si>
  <si>
    <t>EastofEnglandAmbulanceServiceNHSTrust</t>
  </si>
  <si>
    <t>LondonAmbulanceServiceNHSTrust</t>
  </si>
  <si>
    <t>NorthWestAmbulanceServiceNHSTrust</t>
  </si>
  <si>
    <t>SouthWesternAmbulanceServiceNHSFoundationTrust</t>
  </si>
  <si>
    <t>EastMidlandsAmbulanceServiceNHSTrust</t>
  </si>
  <si>
    <t>BradfordDistrictCareNHSFoundationTrust</t>
  </si>
  <si>
    <t>CareTrust</t>
  </si>
  <si>
    <t>SheffieldHealthandSocialCareNHSFoundationTrust</t>
  </si>
  <si>
    <t>CamdenandIslingtonNHSFoundationTrust</t>
  </si>
  <si>
    <t>NHSNorthofEnglandCommissioningSupportUnit</t>
  </si>
  <si>
    <t>CommissioningSupportUnit</t>
  </si>
  <si>
    <t>NHSSouth,CentralandWestCommissioningSupportUnit</t>
  </si>
  <si>
    <t>NHSMidlandsandLancashireCommissioningSupportUnit</t>
  </si>
  <si>
    <t>NHSArdenandGreaterEastMidlandsCommissioningSupportUnit</t>
  </si>
  <si>
    <t>SolentNHSTrust</t>
  </si>
  <si>
    <t>CommunityProviderTrust</t>
  </si>
  <si>
    <t>MedwayCommunityHealthcare</t>
  </si>
  <si>
    <t>KentCommunityHealthNHSFoundationTrust</t>
  </si>
  <si>
    <t>WiltshireHealthandCare</t>
  </si>
  <si>
    <t>LincolnshireCommunityHealthServicesNHSTrust</t>
  </si>
  <si>
    <t>SussexCommunityNHSFoundationTrust</t>
  </si>
  <si>
    <t>WirralCommunityHealthandCareNHSFoundationTrust</t>
  </si>
  <si>
    <t>ShropshireCommunityHealthNHSTrust</t>
  </si>
  <si>
    <t>SpectrumCommunityHealth-CIC</t>
  </si>
  <si>
    <t>EastCoastCommunityHealthcareCIC</t>
  </si>
  <si>
    <t>CarePlusGroup</t>
  </si>
  <si>
    <t>YourHealthcare</t>
  </si>
  <si>
    <t>NAViGOHealthandSocialCareCIC</t>
  </si>
  <si>
    <t>HertfordshireCommunityNHSTrust</t>
  </si>
  <si>
    <t>HounslowandRichmondCommunityHealthcareNHSTrust</t>
  </si>
  <si>
    <t>NorfolkCommunityHealthandCareNHSTrust</t>
  </si>
  <si>
    <t>HerefordshireandWorcestershireHealthandCareNHSTrust</t>
  </si>
  <si>
    <t>CambridgeshireCommunityServicesNHSTrust</t>
  </si>
  <si>
    <t>DerbyshireCommunityHealthServicesNHSFoundationTrust</t>
  </si>
  <si>
    <t>CityHealthCarePartnershipCIC</t>
  </si>
  <si>
    <t>BridgewaterCommunityHealthcareNHSFoundationTrust</t>
  </si>
  <si>
    <t>NottinghamCitycarePartnership</t>
  </si>
  <si>
    <t>BirminghamCommunityHealthcareNHSFoundationTrust</t>
  </si>
  <si>
    <t>LocalaCommunityPartnershipsCIC</t>
  </si>
  <si>
    <t>BromleyHealthcare</t>
  </si>
  <si>
    <t>CentralLondonCommunityHealthcareNHSTrust</t>
  </si>
  <si>
    <t>LeedsCommunityHealthcareNHSTrust</t>
  </si>
  <si>
    <t>SironaCareandHealth</t>
  </si>
  <si>
    <t>CSHSurrey</t>
  </si>
  <si>
    <t>LivewellSouthwest</t>
  </si>
  <si>
    <t>DudleyIntegratedHealthandCareNHSTrust</t>
  </si>
  <si>
    <t>FirstCommunityHealthandCareCIC</t>
  </si>
  <si>
    <t>CommunityDentalServicesCIC</t>
  </si>
  <si>
    <t>NHSSussexICB</t>
  </si>
  <si>
    <t>IntegratedCareBoard</t>
  </si>
  <si>
    <t>NHSGloucestershireICB</t>
  </si>
  <si>
    <t>NHSBristol,NorthSomersetandSouthGloucestershireICB</t>
  </si>
  <si>
    <t>NHSHerefordshireandWorcestershireICB</t>
  </si>
  <si>
    <t>NHSCheshireandMerseysideICB</t>
  </si>
  <si>
    <t>NHSBuckinghamshire,OxfordshireandBerkshireWestICB</t>
  </si>
  <si>
    <t>NHSBathandNorthEastSomerset,SwindonandWiltshireICB</t>
  </si>
  <si>
    <t>NHSBedfordshire,LutonandMiltonKeynesICB</t>
  </si>
  <si>
    <t>NHSNorthamptonshireICB</t>
  </si>
  <si>
    <t>NHSStaffordshireandStoke-on-TrentICB</t>
  </si>
  <si>
    <t>NHSSomersetICB</t>
  </si>
  <si>
    <t>NHSDevonICB</t>
  </si>
  <si>
    <t>NHSLincolnshireICB</t>
  </si>
  <si>
    <t>NHSFrimleyICB</t>
  </si>
  <si>
    <t>NHSSouthYorkshireICB</t>
  </si>
  <si>
    <t>NHSHampshireandIsleofWightICB</t>
  </si>
  <si>
    <t>NHSShropshire,TelfordandWrekinICB</t>
  </si>
  <si>
    <t>NHSLeicester,LeicestershireandRutlandICB</t>
  </si>
  <si>
    <t>NHSSouthEastLondonICB</t>
  </si>
  <si>
    <t>NHSCoventryandWarwickshireICB</t>
  </si>
  <si>
    <t>NHSBirminghamandSolihullICB</t>
  </si>
  <si>
    <t>NHSNottinghamandNottinghamshireICB</t>
  </si>
  <si>
    <t>NHSNorfolkandWaveneyICB</t>
  </si>
  <si>
    <t>NHSCornwallandtheIslesofScillyICB</t>
  </si>
  <si>
    <t>NHSDerbyandDerbyshireICB</t>
  </si>
  <si>
    <t>NHSNorthWestLondonICB</t>
  </si>
  <si>
    <t>NHSNorthCentralLondonICB</t>
  </si>
  <si>
    <t>NHSKentandMedwayICB</t>
  </si>
  <si>
    <t>NHSSouthWestLondonICB</t>
  </si>
  <si>
    <t>NHSLancashireandSouthCumbriaICB</t>
  </si>
  <si>
    <t>NHSNorthEastandNorthCumbriaICB</t>
  </si>
  <si>
    <t>NHSGreaterManchesterICB</t>
  </si>
  <si>
    <t>NHSSurreyHeartlandsICB</t>
  </si>
  <si>
    <t>NHSNorthEastLondonICB</t>
  </si>
  <si>
    <t>NHSMidandSouthEssexICB</t>
  </si>
  <si>
    <t>NHSBlackCountryICB</t>
  </si>
  <si>
    <t>NHSHertfordshireandWestEssexICB</t>
  </si>
  <si>
    <t>NHSWestYorkshireICB</t>
  </si>
  <si>
    <t>NHSDorsetICB</t>
  </si>
  <si>
    <t>NHSSuffolkandNorthEastEssexICB</t>
  </si>
  <si>
    <t>NHSHumberandNorthYorkshireICB</t>
  </si>
  <si>
    <t>NHSCambridgeshireandPeterboroughICB</t>
  </si>
  <si>
    <t>CornwallPartnershipNHSFoundationTrust</t>
  </si>
  <si>
    <t>MentalHealthandLearningDisability</t>
  </si>
  <si>
    <t>LincolnshirePartnershipNHSFoundationTrust</t>
  </si>
  <si>
    <t>SussexPartnershipNHSFoundationTrust</t>
  </si>
  <si>
    <t>LeedsandYorkPartnershipNHSFoundationTrust</t>
  </si>
  <si>
    <t>Cumbria,Northumberland,TyneandWearNHSFoundationTrust</t>
  </si>
  <si>
    <t>RotherhamDoncasterandSouthHumberNHSFoundationTrust</t>
  </si>
  <si>
    <t>CheshireandWirralPartnershipNHSFoundationTrust</t>
  </si>
  <si>
    <t>PennineCareNHSFoundationTrust</t>
  </si>
  <si>
    <t>DevonPartnershipNHSTrust</t>
  </si>
  <si>
    <t>AvonandWiltshireMentalHealthPartnershipNHSTrust</t>
  </si>
  <si>
    <t>SouthWestYorkshirePartnershipNHSFoundationTrust</t>
  </si>
  <si>
    <t>GloucestershireHealthandCareNHSFoundationTrust</t>
  </si>
  <si>
    <t>Tees,EskandWearValleysNHSFoundationTrust</t>
  </si>
  <si>
    <t>HumberTeachingNHSFoundationTrust</t>
  </si>
  <si>
    <t>MerseyCareNHSFoundationTrust</t>
  </si>
  <si>
    <t>SouthWestLondonandStGeorge'sMentalHealthNHSTrust</t>
  </si>
  <si>
    <t>CentralandNorthWestLondonNHSFoundationTrust</t>
  </si>
  <si>
    <t>HertfordshirePartnershipUniversityNHSFoundationTrust</t>
  </si>
  <si>
    <t>DorsetHealthcareUniversityNHSFoundationTrust</t>
  </si>
  <si>
    <t>NottinghamshireHealthcareNHSFoundationTrust</t>
  </si>
  <si>
    <t>EssexPartnershipUniversityNHSFoundationTrust</t>
  </si>
  <si>
    <t>Barnet,EnfieldandHaringeyMentalHealthNHSTrust</t>
  </si>
  <si>
    <t>GreaterManchesterMentalHealthNHSFoundationTrust</t>
  </si>
  <si>
    <t>WestLondonNHSTrust</t>
  </si>
  <si>
    <t>MidlandsPartnershipNHSFoundationTrust</t>
  </si>
  <si>
    <t>NorthStaffordshireCombinedHealthcareNHSTrust</t>
  </si>
  <si>
    <t>SouthernHealthNHSFoundationTrust</t>
  </si>
  <si>
    <t>NorthamptonshireHealthcareNHSFoundationTrust</t>
  </si>
  <si>
    <t>BerkshireHealthcareNHSFoundationTrust</t>
  </si>
  <si>
    <t>DerbyshireHealthcareNHSFoundationTrust</t>
  </si>
  <si>
    <t>NorfolkandSuffolkNHSFoundationTrust</t>
  </si>
  <si>
    <t>EastLondonNHSFoundationTrust</t>
  </si>
  <si>
    <t>OxleasNHSFoundationTrust</t>
  </si>
  <si>
    <t>LeicestershirePartnershipNHSTrust</t>
  </si>
  <si>
    <t>KentandMedwayNHSandSocialCarePartnershipTrust</t>
  </si>
  <si>
    <t>CambridgeshireandPeterboroughNHSFoundationTrust</t>
  </si>
  <si>
    <t>OxfordHealthNHSFoundationTrust</t>
  </si>
  <si>
    <t>SurreyandBordersPartnershipNHSFoundationTrust</t>
  </si>
  <si>
    <t>SouthLondonandMaudsleyNHSFoundationTrust</t>
  </si>
  <si>
    <t>TavistockandPortmanNHSFoundationTrust</t>
  </si>
  <si>
    <t>NorthEastLondonNHSFoundationTrust</t>
  </si>
  <si>
    <t>BlackCountryHealthcareNHSFoundationTrust</t>
  </si>
  <si>
    <t>LancashireandSouthCumbriaNHSFoundationTrust</t>
  </si>
  <si>
    <t>CoventryandWarwickshirePartnershipNHSTrust</t>
  </si>
  <si>
    <t>BirminghamandSolihullMentalHealthNHSFoundationTrust</t>
  </si>
  <si>
    <t>NationalInstituteforHealthandCareExcellence</t>
  </si>
  <si>
    <t>HealthResearchAuthority</t>
  </si>
  <si>
    <t>NHSBloodandTransplant</t>
  </si>
  <si>
    <t>NHSBusinessServicesAuthority</t>
  </si>
  <si>
    <t>King'sIFM</t>
  </si>
  <si>
    <t>HealthServicesSafetyInvestigationsBody</t>
  </si>
  <si>
    <t>NHSCounterFraudAuthority</t>
  </si>
  <si>
    <t>NHSEngland</t>
  </si>
  <si>
    <t>NHSResolution</t>
  </si>
  <si>
    <t>LeadEmployerTrust</t>
  </si>
  <si>
    <t>ENGIEServicesLtd</t>
  </si>
  <si>
    <t>UKHealthSecurityAgency</t>
  </si>
  <si>
    <t>REGION</t>
  </si>
  <si>
    <t>Row Labels</t>
  </si>
  <si>
    <t>Column Labels</t>
  </si>
  <si>
    <t>Count of OrgCode</t>
  </si>
  <si>
    <t>Aug</t>
  </si>
  <si>
    <t>Sep</t>
  </si>
  <si>
    <t>Oct</t>
  </si>
  <si>
    <t>Nov</t>
  </si>
  <si>
    <t>Dec</t>
  </si>
  <si>
    <t>Month Number</t>
  </si>
  <si>
    <t>Previous Quartile</t>
  </si>
  <si>
    <t>Count of OrgName</t>
  </si>
  <si>
    <t>Quartile Value</t>
  </si>
  <si>
    <t>Previous Quartile Value</t>
  </si>
  <si>
    <t>Trend</t>
  </si>
  <si>
    <t>Dropped</t>
  </si>
  <si>
    <t>Improved</t>
  </si>
  <si>
    <t>Same</t>
  </si>
  <si>
    <t>Average of VPDs</t>
  </si>
  <si>
    <t>No data on previous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</si>
</sst>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22"/>
      <color indexed="9"/>
      <name val="Arial"/>
      <charset val="1"/>
    </font>
    <font>
      <b/>
      <sz val="11"/>
      <color indexed="8"/>
      <name val="Arial"/>
      <charset val="1"/>
    </font>
    <font>
      <b/>
      <sz val="9"/>
      <color indexed="8"/>
      <name val="Arial"/>
      <charset val="1"/>
    </font>
    <font>
      <sz val="9"/>
      <color indexed="8"/>
      <name val="Arial"/>
      <charset val="1"/>
    </font>
    <font>
      <u/>
      <sz val="9"/>
      <color indexed="10"/>
      <name val="Arial"/>
      <charset val="1"/>
    </font>
    <font>
      <sz val="10"/>
      <name val="Arial"/>
      <family val="2"/>
    </font>
    <font>
      <b/>
      <sz val="14"/>
      <name val="Arial"/>
      <family val="2"/>
    </font>
    <font>
      <sz val="14"/>
      <name val="Arial"/>
      <family val="2"/>
    </font>
    <font>
      <sz val="14"/>
      <color indexed="8"/>
      <name val="Arial"/>
      <family val="2"/>
    </font>
    <font>
      <sz val="14"/>
      <color rgb="FF172B4D"/>
      <name val="Arial"/>
      <family val="2"/>
    </font>
    <font>
      <sz val="14"/>
      <color theme="1"/>
      <name val="Arial"/>
      <family val="2"/>
    </font>
    <font>
      <sz val="8"/>
      <name val="Arial"/>
      <family val="2"/>
    </font>
  </fonts>
  <fills count="2">
    <fill>
      <patternFill patternType="none"/>
    </fill>
    <fill>
      <patternFill patternType="gray125"/>
    </fill>
  </fills>
  <borders count="13">
    <border>
      <left/>
      <right/>
      <top/>
      <bottom/>
      <diagonal/>
    </border>
    <border>
      <left style="thin">
        <color indexed="8"/>
      </left>
      <right style="thin">
        <color indexed="8"/>
      </right>
      <top style="thin">
        <color indexed="8"/>
      </top>
      <bottom style="thin">
        <color indexed="8"/>
      </bottom>
      <diagonal/>
    </border>
    <border>
      <left style="thin">
        <color indexed="8"/>
      </left>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6" fillId="0" borderId="0"/>
  </cellStyleXfs>
  <cellXfs count="51">
    <xf numFmtId="0" fontId="0" fillId="0" borderId="0" xfId="0"/>
    <xf numFmtId="0" fontId="4" fillId="0" borderId="1" xfId="0" applyFont="1" applyBorder="1" applyAlignment="1" applyProtection="1">
      <alignment vertical="top" wrapText="1" readingOrder="1"/>
      <protection locked="0"/>
    </xf>
    <xf numFmtId="0" fontId="0" fillId="0" borderId="0" xfId="0" applyAlignment="1">
      <alignment horizontal="center"/>
    </xf>
    <xf numFmtId="0" fontId="7" fillId="0" borderId="8" xfId="0" applyFont="1" applyBorder="1" applyAlignment="1" applyProtection="1">
      <alignment horizontal="center" wrapText="1" readingOrder="1"/>
      <protection locked="0"/>
    </xf>
    <xf numFmtId="0" fontId="7" fillId="0" borderId="9" xfId="0" applyFont="1" applyBorder="1" applyAlignment="1" applyProtection="1">
      <alignment horizontal="center" wrapText="1" readingOrder="1"/>
      <protection locked="0"/>
    </xf>
    <xf numFmtId="0" fontId="8" fillId="0" borderId="4" xfId="0" applyFont="1" applyBorder="1" applyAlignment="1" applyProtection="1">
      <alignment vertical="top" wrapText="1" readingOrder="1"/>
      <protection locked="0"/>
    </xf>
    <xf numFmtId="0" fontId="8" fillId="0" borderId="4" xfId="0" applyFont="1" applyBorder="1" applyAlignment="1">
      <alignment horizontal="left" vertical="center" wrapText="1" indent="1"/>
    </xf>
    <xf numFmtId="0" fontId="8" fillId="0" borderId="4" xfId="0" applyFont="1" applyBorder="1" applyAlignment="1" applyProtection="1">
      <alignment horizontal="center" vertical="top" wrapText="1" readingOrder="1"/>
      <protection locked="0"/>
    </xf>
    <xf numFmtId="0" fontId="8" fillId="0" borderId="6" xfId="0" applyFont="1" applyBorder="1" applyAlignment="1" applyProtection="1">
      <alignment vertical="top" wrapText="1" readingOrder="1"/>
      <protection locked="0"/>
    </xf>
    <xf numFmtId="0" fontId="9" fillId="0" borderId="4" xfId="0" applyFont="1" applyBorder="1" applyAlignment="1" applyProtection="1">
      <alignment vertical="top" wrapText="1" readingOrder="1"/>
      <protection locked="0"/>
    </xf>
    <xf numFmtId="0" fontId="9" fillId="0" borderId="4" xfId="0" applyFont="1" applyBorder="1" applyAlignment="1" applyProtection="1">
      <alignment horizontal="center" vertical="center" wrapText="1" readingOrder="1"/>
      <protection locked="0"/>
    </xf>
    <xf numFmtId="0" fontId="9" fillId="0" borderId="4" xfId="0" applyFont="1" applyBorder="1" applyAlignment="1" applyProtection="1">
      <alignment horizontal="right" vertical="top" wrapText="1" readingOrder="1"/>
      <protection locked="0"/>
    </xf>
    <xf numFmtId="0" fontId="9" fillId="0" borderId="6" xfId="0" applyFont="1" applyBorder="1" applyAlignment="1" applyProtection="1">
      <alignment vertical="top" wrapText="1" readingOrder="1"/>
      <protection locked="0"/>
    </xf>
    <xf numFmtId="0" fontId="8" fillId="0" borderId="4" xfId="0" applyFont="1" applyBorder="1" applyAlignment="1" applyProtection="1">
      <alignment horizontal="right" vertical="top" wrapText="1" readingOrder="1"/>
      <protection locked="0"/>
    </xf>
    <xf numFmtId="0" fontId="10" fillId="0" borderId="4" xfId="0" applyFont="1" applyBorder="1" applyAlignment="1">
      <alignment horizontal="left" vertical="center" wrapText="1" indent="1"/>
    </xf>
    <xf numFmtId="0" fontId="11" fillId="0" borderId="4" xfId="0" applyFont="1" applyBorder="1" applyAlignment="1" applyProtection="1">
      <alignment vertical="top" wrapText="1" readingOrder="1"/>
      <protection locked="0"/>
    </xf>
    <xf numFmtId="0" fontId="11" fillId="0" borderId="4" xfId="0" applyFont="1" applyBorder="1" applyAlignment="1">
      <alignment horizontal="left" vertical="center" wrapText="1" indent="1"/>
    </xf>
    <xf numFmtId="0" fontId="11" fillId="0" borderId="4" xfId="0" applyFont="1" applyBorder="1" applyAlignment="1" applyProtection="1">
      <alignment horizontal="right" vertical="top" wrapText="1" readingOrder="1"/>
      <protection locked="0"/>
    </xf>
    <xf numFmtId="0" fontId="11" fillId="0" borderId="6" xfId="0" applyFont="1" applyBorder="1" applyAlignment="1" applyProtection="1">
      <alignment vertical="top" wrapText="1" readingOrder="1"/>
      <protection locked="0"/>
    </xf>
    <xf numFmtId="0" fontId="11" fillId="0" borderId="11" xfId="0" applyFont="1" applyBorder="1" applyAlignment="1" applyProtection="1">
      <alignment vertical="top" wrapText="1" readingOrder="1"/>
      <protection locked="0"/>
    </xf>
    <xf numFmtId="0" fontId="11" fillId="0" borderId="11" xfId="0" applyFont="1" applyBorder="1" applyAlignment="1">
      <alignment horizontal="left" vertical="center" wrapText="1" indent="1"/>
    </xf>
    <xf numFmtId="0" fontId="11" fillId="0" borderId="11" xfId="0" applyFont="1" applyBorder="1" applyAlignment="1" applyProtection="1">
      <alignment horizontal="right" vertical="top" wrapText="1" readingOrder="1"/>
      <protection locked="0"/>
    </xf>
    <xf numFmtId="0" fontId="11" fillId="0" borderId="12" xfId="0" applyFont="1" applyBorder="1" applyAlignment="1" applyProtection="1">
      <alignment vertical="top" wrapText="1" readingOrder="1"/>
      <protection locked="0"/>
    </xf>
    <xf numFmtId="0" fontId="11" fillId="0" borderId="4" xfId="0" applyFont="1" applyBorder="1" applyAlignment="1" applyProtection="1">
      <alignment horizontal="center" vertical="top" wrapText="1" readingOrder="1"/>
      <protection locked="0"/>
    </xf>
    <xf numFmtId="0" fontId="7" fillId="0" borderId="8" xfId="0" applyFont="1" applyBorder="1" applyAlignment="1" applyProtection="1">
      <alignment wrapText="1" readingOrder="1"/>
      <protection locked="0"/>
    </xf>
    <xf numFmtId="0" fontId="9" fillId="0" borderId="4" xfId="0" applyFont="1" applyBorder="1" applyAlignment="1" applyProtection="1">
      <alignment horizontal="center" vertical="top" wrapText="1" readingOrder="1"/>
      <protection locked="0"/>
    </xf>
    <xf numFmtId="0" fontId="9" fillId="0" borderId="4" xfId="0" applyFont="1" applyBorder="1" applyAlignment="1" applyProtection="1">
      <alignment vertical="center" wrapText="1" readingOrder="1"/>
      <protection locked="0"/>
    </xf>
    <xf numFmtId="0" fontId="9" fillId="0" borderId="4" xfId="0" applyFont="1" applyBorder="1" applyAlignment="1" applyProtection="1">
      <alignment vertical="top" readingOrder="1"/>
      <protection locked="0"/>
    </xf>
    <xf numFmtId="0" fontId="1" fillId="0" borderId="0" xfId="0" applyFont="1" applyAlignment="1" applyProtection="1">
      <alignment vertical="top" wrapText="1" readingOrder="1"/>
      <protection locked="0"/>
    </xf>
    <xf numFmtId="0" fontId="0" fillId="0" borderId="0" xfId="0"/>
    <xf numFmtId="0" fontId="2" fillId="0" borderId="0" xfId="0" applyFont="1" applyAlignment="1" applyProtection="1">
      <alignment vertical="top" wrapText="1" readingOrder="1"/>
      <protection locked="0"/>
    </xf>
    <xf numFmtId="0" fontId="3" fillId="0" borderId="1" xfId="0" applyFont="1" applyBorder="1" applyAlignment="1" applyProtection="1">
      <alignment wrapText="1" readingOrder="1"/>
      <protection locked="0"/>
    </xf>
    <xf numFmtId="0" fontId="0" fillId="0" borderId="2" xfId="0" applyBorder="1" applyAlignment="1" applyProtection="1">
      <alignment vertical="top" wrapText="1"/>
      <protection locked="0"/>
    </xf>
    <xf numFmtId="0" fontId="0" fillId="0" borderId="3" xfId="0" applyBorder="1" applyAlignment="1" applyProtection="1">
      <alignment vertical="top" wrapText="1"/>
      <protection locked="0"/>
    </xf>
    <xf numFmtId="0" fontId="3" fillId="0" borderId="0" xfId="0" applyFont="1" applyAlignment="1" applyProtection="1">
      <alignment vertical="top" wrapText="1" readingOrder="1"/>
      <protection locked="0"/>
    </xf>
    <xf numFmtId="0" fontId="4" fillId="0" borderId="0" xfId="0" applyFont="1" applyAlignment="1" applyProtection="1">
      <alignment vertical="top" wrapText="1" readingOrder="1"/>
      <protection locked="0"/>
    </xf>
    <xf numFmtId="0" fontId="0" fillId="0" borderId="0" xfId="0" pivotButton="1"/>
    <xf numFmtId="0" fontId="0" fillId="0" borderId="0" xfId="0" applyAlignment="1">
      <alignment horizontal="left"/>
    </xf>
    <xf numFmtId="0" fontId="0" fillId="0" borderId="0" xfId="0" applyNumberFormat="1"/>
    <xf numFmtId="14" fontId="7" fillId="0" borderId="7" xfId="0" applyNumberFormat="1" applyFont="1" applyBorder="1" applyAlignment="1" applyProtection="1">
      <alignment horizontal="center" wrapText="1" readingOrder="1"/>
      <protection locked="0"/>
    </xf>
    <xf numFmtId="14" fontId="8" fillId="0" borderId="5" xfId="0" applyNumberFormat="1" applyFont="1" applyBorder="1" applyAlignment="1" applyProtection="1">
      <alignment vertical="top" wrapText="1" readingOrder="1"/>
      <protection locked="0"/>
    </xf>
    <xf numFmtId="14" fontId="9" fillId="0" borderId="5" xfId="0" applyNumberFormat="1" applyFont="1" applyBorder="1" applyAlignment="1" applyProtection="1">
      <alignment vertical="top" wrapText="1" readingOrder="1"/>
      <protection locked="0"/>
    </xf>
    <xf numFmtId="14" fontId="11" fillId="0" borderId="5" xfId="0" applyNumberFormat="1" applyFont="1" applyBorder="1" applyAlignment="1" applyProtection="1">
      <alignment vertical="top" wrapText="1" readingOrder="1"/>
      <protection locked="0"/>
    </xf>
    <xf numFmtId="14" fontId="11" fillId="0" borderId="10" xfId="0" applyNumberFormat="1" applyFont="1" applyBorder="1" applyAlignment="1" applyProtection="1">
      <alignment vertical="top" wrapText="1" readingOrder="1"/>
      <protection locked="0"/>
    </xf>
    <xf numFmtId="14" fontId="0" fillId="0" borderId="0" xfId="0" applyNumberFormat="1"/>
    <xf numFmtId="0" fontId="7" fillId="0" borderId="7" xfId="0" applyNumberFormat="1" applyFont="1" applyBorder="1" applyAlignment="1" applyProtection="1">
      <alignment horizontal="center" wrapText="1" readingOrder="1"/>
      <protection locked="0"/>
    </xf>
    <xf numFmtId="0" fontId="8" fillId="0" borderId="5" xfId="0" applyNumberFormat="1" applyFont="1" applyBorder="1" applyAlignment="1" applyProtection="1">
      <alignment vertical="top" wrapText="1" readingOrder="1"/>
      <protection locked="0"/>
    </xf>
    <xf numFmtId="0" fontId="9" fillId="0" borderId="5" xfId="0" applyNumberFormat="1" applyFont="1" applyBorder="1" applyAlignment="1" applyProtection="1">
      <alignment vertical="top" wrapText="1" readingOrder="1"/>
      <protection locked="0"/>
    </xf>
    <xf numFmtId="0" fontId="11" fillId="0" borderId="5" xfId="0" applyNumberFormat="1" applyFont="1" applyBorder="1" applyAlignment="1" applyProtection="1">
      <alignment vertical="top" wrapText="1" readingOrder="1"/>
      <protection locked="0"/>
    </xf>
    <xf numFmtId="0" fontId="11" fillId="0" borderId="10" xfId="0" applyNumberFormat="1" applyFont="1" applyBorder="1" applyAlignment="1" applyProtection="1">
      <alignment vertical="top" wrapText="1" readingOrder="1"/>
      <protection locked="0"/>
    </xf>
    <xf numFmtId="2" fontId="0" fillId="0" borderId="0" xfId="0" applyNumberFormat="1"/>
  </cellXfs>
  <cellStyles count="2">
    <cellStyle name="Normal" xfId="0" builtinId="0"/>
    <cellStyle name="Normal 2" xfId="1" xr:uid="{7EBB5D9B-4682-45F4-B01D-A9BD2416EA2E}"/>
  </cellStyles>
  <dxfs count="18">
    <dxf>
      <font>
        <b val="0"/>
        <i val="0"/>
        <strike val="0"/>
        <condense val="0"/>
        <extend val="0"/>
        <outline val="0"/>
        <shadow val="0"/>
        <u val="none"/>
        <vertAlign val="baseline"/>
        <sz val="14"/>
        <color theme="1"/>
        <name val="Arial"/>
        <family val="2"/>
        <scheme val="none"/>
      </font>
      <numFmt numFmtId="0" formatCode="General"/>
      <alignment horizontal="general" vertical="top"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theme="1"/>
        <name val="Arial"/>
        <family val="2"/>
        <scheme val="none"/>
      </font>
      <numFmt numFmtId="0" formatCode="General"/>
      <alignment horizontal="general" vertical="top"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theme="1"/>
        <name val="Arial"/>
        <family val="2"/>
        <scheme val="none"/>
      </font>
      <numFmt numFmtId="0" formatCode="Genera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Arial"/>
        <family val="2"/>
        <scheme val="none"/>
      </font>
      <numFmt numFmtId="0" formatCode="General"/>
      <alignment horizontal="general" vertical="top"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theme="1"/>
        <name val="Arial"/>
        <family val="2"/>
        <scheme val="none"/>
      </font>
      <numFmt numFmtId="0" formatCode="General"/>
      <alignment horizontal="general" vertical="top" textRotation="0" wrapText="1" indent="0" justifyLastLine="0" shrinkToFit="0" readingOrder="1"/>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general" vertical="top" textRotation="0" wrapText="1" indent="0" justifyLastLine="0" shrinkToFit="0" readingOrder="1"/>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alignment horizontal="general" vertical="top" textRotation="0" wrapText="1" indent="0" justifyLastLine="0" shrinkToFit="0" readingOrder="1"/>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alignment horizontal="righ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numFmt numFmtId="0" formatCode="General"/>
      <alignment horizontal="general" vertical="top"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theme="1"/>
        <name val="Arial"/>
        <family val="2"/>
        <scheme val="none"/>
      </font>
      <alignment horizontal="general"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alignment horizontal="general"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Arial"/>
        <family val="2"/>
        <scheme val="none"/>
      </font>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Arial"/>
        <family val="2"/>
        <scheme val="none"/>
      </font>
      <alignment horizontal="general"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4"/>
        <name val="Arial"/>
        <family val="2"/>
        <scheme val="none"/>
      </font>
    </dxf>
    <dxf>
      <border outline="0">
        <bottom style="thin">
          <color indexed="64"/>
        </bottom>
      </border>
    </dxf>
    <dxf>
      <font>
        <b/>
        <i val="0"/>
        <strike val="0"/>
        <condense val="0"/>
        <extend val="0"/>
        <outline val="0"/>
        <shadow val="0"/>
        <u val="none"/>
        <vertAlign val="baseline"/>
        <sz val="14"/>
        <color auto="1"/>
        <name val="Arial"/>
        <family val="2"/>
        <scheme val="none"/>
      </font>
      <alignment horizontal="center" vertical="bottom" textRotation="0" wrapText="1" indent="0" justifyLastLine="0" shrinkToFit="0" readingOrder="1"/>
      <border diagonalUp="0" diagonalDown="0" outline="0">
        <left style="thin">
          <color indexed="64"/>
        </left>
        <right style="thin">
          <color indexed="64"/>
        </right>
        <top/>
        <bottom/>
      </border>
      <protection locked="0" hidden="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4169E1"/>
      <rgbColor rgb="000000FF"/>
      <rgbColor rgb="00D3D3D3"/>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Dashboard-up.xlsm]Benchmark group distribut!Benchmark group distribut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Benchmark group distribution(Top Quartile)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290907129759465E-2"/>
          <c:y val="0.17824754901960788"/>
          <c:w val="0.63168243022876569"/>
          <c:h val="0.6800963987957388"/>
        </c:manualLayout>
      </c:layout>
      <c:lineChart>
        <c:grouping val="standard"/>
        <c:varyColors val="0"/>
        <c:ser>
          <c:idx val="0"/>
          <c:order val="0"/>
          <c:tx>
            <c:strRef>
              <c:f>'Benchmark group distribut'!$B$3:$B$4</c:f>
              <c:strCache>
                <c:ptCount val="1"/>
                <c:pt idx="0">
                  <c:v>Acute-Large</c:v>
                </c:pt>
              </c:strCache>
            </c:strRef>
          </c:tx>
          <c:spPr>
            <a:ln w="28575" cap="rnd">
              <a:solidFill>
                <a:schemeClr val="accent1"/>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distribut'!$B$5:$B$12</c:f>
              <c:numCache>
                <c:formatCode>General</c:formatCode>
                <c:ptCount val="7"/>
                <c:pt idx="0">
                  <c:v>5</c:v>
                </c:pt>
                <c:pt idx="1">
                  <c:v>6</c:v>
                </c:pt>
                <c:pt idx="2">
                  <c:v>5</c:v>
                </c:pt>
                <c:pt idx="3">
                  <c:v>4</c:v>
                </c:pt>
                <c:pt idx="4">
                  <c:v>4</c:v>
                </c:pt>
                <c:pt idx="5">
                  <c:v>6</c:v>
                </c:pt>
                <c:pt idx="6">
                  <c:v>6</c:v>
                </c:pt>
              </c:numCache>
            </c:numRef>
          </c:val>
          <c:smooth val="0"/>
          <c:extLst>
            <c:ext xmlns:c16="http://schemas.microsoft.com/office/drawing/2014/chart" uri="{C3380CC4-5D6E-409C-BE32-E72D297353CC}">
              <c16:uniqueId val="{00000000-564E-43EA-8566-6F17CE381616}"/>
            </c:ext>
          </c:extLst>
        </c:ser>
        <c:ser>
          <c:idx val="1"/>
          <c:order val="1"/>
          <c:tx>
            <c:strRef>
              <c:f>'Benchmark group distribut'!$C$3:$C$4</c:f>
              <c:strCache>
                <c:ptCount val="1"/>
                <c:pt idx="0">
                  <c:v>Acute-Medium</c:v>
                </c:pt>
              </c:strCache>
            </c:strRef>
          </c:tx>
          <c:spPr>
            <a:ln w="28575" cap="rnd">
              <a:solidFill>
                <a:schemeClr val="accent2"/>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distribut'!$C$5:$C$12</c:f>
              <c:numCache>
                <c:formatCode>General</c:formatCode>
                <c:ptCount val="7"/>
                <c:pt idx="0">
                  <c:v>5</c:v>
                </c:pt>
                <c:pt idx="1">
                  <c:v>5</c:v>
                </c:pt>
                <c:pt idx="2">
                  <c:v>5</c:v>
                </c:pt>
                <c:pt idx="3">
                  <c:v>4</c:v>
                </c:pt>
                <c:pt idx="4">
                  <c:v>4</c:v>
                </c:pt>
                <c:pt idx="5">
                  <c:v>5</c:v>
                </c:pt>
                <c:pt idx="6">
                  <c:v>6</c:v>
                </c:pt>
              </c:numCache>
            </c:numRef>
          </c:val>
          <c:smooth val="0"/>
          <c:extLst>
            <c:ext xmlns:c16="http://schemas.microsoft.com/office/drawing/2014/chart" uri="{C3380CC4-5D6E-409C-BE32-E72D297353CC}">
              <c16:uniqueId val="{00000001-564E-43EA-8566-6F17CE381616}"/>
            </c:ext>
          </c:extLst>
        </c:ser>
        <c:ser>
          <c:idx val="2"/>
          <c:order val="2"/>
          <c:tx>
            <c:strRef>
              <c:f>'Benchmark group distribut'!$D$3:$D$4</c:f>
              <c:strCache>
                <c:ptCount val="1"/>
                <c:pt idx="0">
                  <c:v>Acute-Multi-Service</c:v>
                </c:pt>
              </c:strCache>
            </c:strRef>
          </c:tx>
          <c:spPr>
            <a:ln w="28575" cap="rnd">
              <a:solidFill>
                <a:schemeClr val="accent3"/>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distribut'!$D$5:$D$12</c:f>
              <c:numCache>
                <c:formatCode>General</c:formatCode>
                <c:ptCount val="7"/>
                <c:pt idx="0">
                  <c:v>3</c:v>
                </c:pt>
                <c:pt idx="1">
                  <c:v>2</c:v>
                </c:pt>
                <c:pt idx="2">
                  <c:v>3</c:v>
                </c:pt>
                <c:pt idx="3">
                  <c:v>3</c:v>
                </c:pt>
                <c:pt idx="4">
                  <c:v>3</c:v>
                </c:pt>
                <c:pt idx="5">
                  <c:v>2</c:v>
                </c:pt>
              </c:numCache>
            </c:numRef>
          </c:val>
          <c:smooth val="0"/>
          <c:extLst>
            <c:ext xmlns:c16="http://schemas.microsoft.com/office/drawing/2014/chart" uri="{C3380CC4-5D6E-409C-BE32-E72D297353CC}">
              <c16:uniqueId val="{00000002-564E-43EA-8566-6F17CE381616}"/>
            </c:ext>
          </c:extLst>
        </c:ser>
        <c:ser>
          <c:idx val="3"/>
          <c:order val="3"/>
          <c:tx>
            <c:strRef>
              <c:f>'Benchmark group distribut'!$E$3:$E$4</c:f>
              <c:strCache>
                <c:ptCount val="1"/>
                <c:pt idx="0">
                  <c:v>Acute-Small</c:v>
                </c:pt>
              </c:strCache>
            </c:strRef>
          </c:tx>
          <c:spPr>
            <a:ln w="28575" cap="rnd">
              <a:solidFill>
                <a:schemeClr val="accent4"/>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distribut'!$E$5:$E$12</c:f>
              <c:numCache>
                <c:formatCode>General</c:formatCode>
                <c:ptCount val="7"/>
                <c:pt idx="0">
                  <c:v>8</c:v>
                </c:pt>
                <c:pt idx="1">
                  <c:v>8</c:v>
                </c:pt>
                <c:pt idx="2">
                  <c:v>7</c:v>
                </c:pt>
                <c:pt idx="3">
                  <c:v>8</c:v>
                </c:pt>
                <c:pt idx="4">
                  <c:v>8</c:v>
                </c:pt>
                <c:pt idx="5">
                  <c:v>7</c:v>
                </c:pt>
                <c:pt idx="6">
                  <c:v>7</c:v>
                </c:pt>
              </c:numCache>
            </c:numRef>
          </c:val>
          <c:smooth val="0"/>
          <c:extLst>
            <c:ext xmlns:c16="http://schemas.microsoft.com/office/drawing/2014/chart" uri="{C3380CC4-5D6E-409C-BE32-E72D297353CC}">
              <c16:uniqueId val="{00000003-564E-43EA-8566-6F17CE381616}"/>
            </c:ext>
          </c:extLst>
        </c:ser>
        <c:ser>
          <c:idx val="4"/>
          <c:order val="4"/>
          <c:tx>
            <c:strRef>
              <c:f>'Benchmark group distribut'!$F$3:$F$4</c:f>
              <c:strCache>
                <c:ptCount val="1"/>
                <c:pt idx="0">
                  <c:v>Acute-Specialist</c:v>
                </c:pt>
              </c:strCache>
            </c:strRef>
          </c:tx>
          <c:spPr>
            <a:ln w="28575" cap="rnd">
              <a:solidFill>
                <a:schemeClr val="accent5"/>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distribut'!$F$5:$F$12</c:f>
              <c:numCache>
                <c:formatCode>General</c:formatCode>
                <c:ptCount val="7"/>
                <c:pt idx="0">
                  <c:v>5</c:v>
                </c:pt>
                <c:pt idx="1">
                  <c:v>4</c:v>
                </c:pt>
                <c:pt idx="2">
                  <c:v>6</c:v>
                </c:pt>
                <c:pt idx="3">
                  <c:v>5</c:v>
                </c:pt>
                <c:pt idx="4">
                  <c:v>5</c:v>
                </c:pt>
                <c:pt idx="5">
                  <c:v>4</c:v>
                </c:pt>
                <c:pt idx="6">
                  <c:v>4</c:v>
                </c:pt>
              </c:numCache>
            </c:numRef>
          </c:val>
          <c:smooth val="0"/>
          <c:extLst>
            <c:ext xmlns:c16="http://schemas.microsoft.com/office/drawing/2014/chart" uri="{C3380CC4-5D6E-409C-BE32-E72D297353CC}">
              <c16:uniqueId val="{00000004-564E-43EA-8566-6F17CE381616}"/>
            </c:ext>
          </c:extLst>
        </c:ser>
        <c:ser>
          <c:idx val="5"/>
          <c:order val="5"/>
          <c:tx>
            <c:strRef>
              <c:f>'Benchmark group distribut'!$G$3:$G$4</c:f>
              <c:strCache>
                <c:ptCount val="1"/>
                <c:pt idx="0">
                  <c:v>Acute-Teaching</c:v>
                </c:pt>
              </c:strCache>
            </c:strRef>
          </c:tx>
          <c:spPr>
            <a:ln w="28575" cap="rnd">
              <a:solidFill>
                <a:schemeClr val="accent6"/>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distribut'!$G$5:$G$12</c:f>
              <c:numCache>
                <c:formatCode>General</c:formatCode>
                <c:ptCount val="7"/>
                <c:pt idx="0">
                  <c:v>8</c:v>
                </c:pt>
                <c:pt idx="1">
                  <c:v>6</c:v>
                </c:pt>
                <c:pt idx="2">
                  <c:v>8</c:v>
                </c:pt>
                <c:pt idx="3">
                  <c:v>6</c:v>
                </c:pt>
                <c:pt idx="4">
                  <c:v>6</c:v>
                </c:pt>
                <c:pt idx="5">
                  <c:v>6</c:v>
                </c:pt>
                <c:pt idx="6">
                  <c:v>6</c:v>
                </c:pt>
              </c:numCache>
            </c:numRef>
          </c:val>
          <c:smooth val="0"/>
          <c:extLst>
            <c:ext xmlns:c16="http://schemas.microsoft.com/office/drawing/2014/chart" uri="{C3380CC4-5D6E-409C-BE32-E72D297353CC}">
              <c16:uniqueId val="{00000005-564E-43EA-8566-6F17CE381616}"/>
            </c:ext>
          </c:extLst>
        </c:ser>
        <c:ser>
          <c:idx val="6"/>
          <c:order val="6"/>
          <c:tx>
            <c:strRef>
              <c:f>'Benchmark group distribut'!$H$3:$H$4</c:f>
              <c:strCache>
                <c:ptCount val="1"/>
                <c:pt idx="0">
                  <c:v>CareTrust</c:v>
                </c:pt>
              </c:strCache>
            </c:strRef>
          </c:tx>
          <c:spPr>
            <a:ln w="28575" cap="rnd">
              <a:solidFill>
                <a:schemeClr val="accent1">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distribut'!$H$5:$H$12</c:f>
              <c:numCache>
                <c:formatCode>General</c:formatCode>
                <c:ptCount val="7"/>
                <c:pt idx="4">
                  <c:v>1</c:v>
                </c:pt>
                <c:pt idx="6">
                  <c:v>1</c:v>
                </c:pt>
              </c:numCache>
            </c:numRef>
          </c:val>
          <c:smooth val="0"/>
          <c:extLst>
            <c:ext xmlns:c16="http://schemas.microsoft.com/office/drawing/2014/chart" uri="{C3380CC4-5D6E-409C-BE32-E72D297353CC}">
              <c16:uniqueId val="{00000006-564E-43EA-8566-6F17CE381616}"/>
            </c:ext>
          </c:extLst>
        </c:ser>
        <c:ser>
          <c:idx val="7"/>
          <c:order val="7"/>
          <c:tx>
            <c:strRef>
              <c:f>'Benchmark group distribut'!$I$3:$I$4</c:f>
              <c:strCache>
                <c:ptCount val="1"/>
                <c:pt idx="0">
                  <c:v>CommissioningSupportUnit</c:v>
                </c:pt>
              </c:strCache>
            </c:strRef>
          </c:tx>
          <c:spPr>
            <a:ln w="28575" cap="rnd">
              <a:solidFill>
                <a:schemeClr val="accent2">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distribut'!$I$5:$I$12</c:f>
              <c:numCache>
                <c:formatCode>General</c:formatCode>
                <c:ptCount val="7"/>
                <c:pt idx="0">
                  <c:v>2</c:v>
                </c:pt>
                <c:pt idx="1">
                  <c:v>2</c:v>
                </c:pt>
                <c:pt idx="2">
                  <c:v>2</c:v>
                </c:pt>
                <c:pt idx="3">
                  <c:v>2</c:v>
                </c:pt>
                <c:pt idx="4">
                  <c:v>2</c:v>
                </c:pt>
                <c:pt idx="5">
                  <c:v>2</c:v>
                </c:pt>
                <c:pt idx="6">
                  <c:v>3</c:v>
                </c:pt>
              </c:numCache>
            </c:numRef>
          </c:val>
          <c:smooth val="0"/>
          <c:extLst>
            <c:ext xmlns:c16="http://schemas.microsoft.com/office/drawing/2014/chart" uri="{C3380CC4-5D6E-409C-BE32-E72D297353CC}">
              <c16:uniqueId val="{00000007-564E-43EA-8566-6F17CE381616}"/>
            </c:ext>
          </c:extLst>
        </c:ser>
        <c:ser>
          <c:idx val="8"/>
          <c:order val="8"/>
          <c:tx>
            <c:strRef>
              <c:f>'Benchmark group distribut'!$J$3:$J$4</c:f>
              <c:strCache>
                <c:ptCount val="1"/>
                <c:pt idx="0">
                  <c:v>CommunityProviderTrust</c:v>
                </c:pt>
              </c:strCache>
            </c:strRef>
          </c:tx>
          <c:spPr>
            <a:ln w="28575" cap="rnd">
              <a:solidFill>
                <a:schemeClr val="accent3">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distribut'!$J$5:$J$12</c:f>
              <c:numCache>
                <c:formatCode>General</c:formatCode>
                <c:ptCount val="7"/>
                <c:pt idx="0">
                  <c:v>8</c:v>
                </c:pt>
                <c:pt idx="1">
                  <c:v>7</c:v>
                </c:pt>
                <c:pt idx="2">
                  <c:v>6</c:v>
                </c:pt>
                <c:pt idx="3">
                  <c:v>8</c:v>
                </c:pt>
                <c:pt idx="4">
                  <c:v>5</c:v>
                </c:pt>
                <c:pt idx="5">
                  <c:v>8</c:v>
                </c:pt>
                <c:pt idx="6">
                  <c:v>9</c:v>
                </c:pt>
              </c:numCache>
            </c:numRef>
          </c:val>
          <c:smooth val="0"/>
          <c:extLst>
            <c:ext xmlns:c16="http://schemas.microsoft.com/office/drawing/2014/chart" uri="{C3380CC4-5D6E-409C-BE32-E72D297353CC}">
              <c16:uniqueId val="{00000008-564E-43EA-8566-6F17CE381616}"/>
            </c:ext>
          </c:extLst>
        </c:ser>
        <c:ser>
          <c:idx val="9"/>
          <c:order val="9"/>
          <c:tx>
            <c:strRef>
              <c:f>'Benchmark group distribut'!$K$3:$K$4</c:f>
              <c:strCache>
                <c:ptCount val="1"/>
                <c:pt idx="0">
                  <c:v>IntegratedCareBoard</c:v>
                </c:pt>
              </c:strCache>
            </c:strRef>
          </c:tx>
          <c:spPr>
            <a:ln w="28575" cap="rnd">
              <a:solidFill>
                <a:schemeClr val="accent4">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distribut'!$K$5:$K$12</c:f>
              <c:numCache>
                <c:formatCode>General</c:formatCode>
                <c:ptCount val="7"/>
                <c:pt idx="0">
                  <c:v>13</c:v>
                </c:pt>
                <c:pt idx="1">
                  <c:v>15</c:v>
                </c:pt>
                <c:pt idx="2">
                  <c:v>14</c:v>
                </c:pt>
                <c:pt idx="3">
                  <c:v>16</c:v>
                </c:pt>
                <c:pt idx="4">
                  <c:v>15</c:v>
                </c:pt>
                <c:pt idx="5">
                  <c:v>16</c:v>
                </c:pt>
                <c:pt idx="6">
                  <c:v>14</c:v>
                </c:pt>
              </c:numCache>
            </c:numRef>
          </c:val>
          <c:smooth val="0"/>
          <c:extLst>
            <c:ext xmlns:c16="http://schemas.microsoft.com/office/drawing/2014/chart" uri="{C3380CC4-5D6E-409C-BE32-E72D297353CC}">
              <c16:uniqueId val="{00000009-564E-43EA-8566-6F17CE381616}"/>
            </c:ext>
          </c:extLst>
        </c:ser>
        <c:ser>
          <c:idx val="10"/>
          <c:order val="10"/>
          <c:tx>
            <c:strRef>
              <c:f>'Benchmark group distribut'!$L$3:$L$4</c:f>
              <c:strCache>
                <c:ptCount val="1"/>
                <c:pt idx="0">
                  <c:v>MentalHealthandLearningDisability</c:v>
                </c:pt>
              </c:strCache>
            </c:strRef>
          </c:tx>
          <c:spPr>
            <a:ln w="28575" cap="rnd">
              <a:solidFill>
                <a:schemeClr val="accent5">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distribut'!$L$5:$L$12</c:f>
              <c:numCache>
                <c:formatCode>General</c:formatCode>
                <c:ptCount val="7"/>
                <c:pt idx="0">
                  <c:v>13</c:v>
                </c:pt>
                <c:pt idx="1">
                  <c:v>14</c:v>
                </c:pt>
                <c:pt idx="2">
                  <c:v>14</c:v>
                </c:pt>
                <c:pt idx="3">
                  <c:v>14</c:v>
                </c:pt>
                <c:pt idx="4">
                  <c:v>16</c:v>
                </c:pt>
                <c:pt idx="5">
                  <c:v>15</c:v>
                </c:pt>
                <c:pt idx="6">
                  <c:v>14</c:v>
                </c:pt>
              </c:numCache>
            </c:numRef>
          </c:val>
          <c:smooth val="0"/>
          <c:extLst>
            <c:ext xmlns:c16="http://schemas.microsoft.com/office/drawing/2014/chart" uri="{C3380CC4-5D6E-409C-BE32-E72D297353CC}">
              <c16:uniqueId val="{0000000A-564E-43EA-8566-6F17CE381616}"/>
            </c:ext>
          </c:extLst>
        </c:ser>
        <c:ser>
          <c:idx val="11"/>
          <c:order val="11"/>
          <c:tx>
            <c:strRef>
              <c:f>'Benchmark group distribut'!$M$3:$M$4</c:f>
              <c:strCache>
                <c:ptCount val="1"/>
                <c:pt idx="0">
                  <c:v>Others</c:v>
                </c:pt>
              </c:strCache>
            </c:strRef>
          </c:tx>
          <c:spPr>
            <a:ln w="28575" cap="rnd">
              <a:solidFill>
                <a:schemeClr val="accent6">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distribut'!$M$5:$M$12</c:f>
              <c:numCache>
                <c:formatCode>General</c:formatCode>
                <c:ptCount val="7"/>
                <c:pt idx="0">
                  <c:v>1</c:v>
                </c:pt>
                <c:pt idx="1">
                  <c:v>2</c:v>
                </c:pt>
                <c:pt idx="2">
                  <c:v>1</c:v>
                </c:pt>
                <c:pt idx="3">
                  <c:v>1</c:v>
                </c:pt>
                <c:pt idx="4">
                  <c:v>2</c:v>
                </c:pt>
                <c:pt idx="5">
                  <c:v>1</c:v>
                </c:pt>
                <c:pt idx="6">
                  <c:v>1</c:v>
                </c:pt>
              </c:numCache>
            </c:numRef>
          </c:val>
          <c:smooth val="0"/>
          <c:extLst>
            <c:ext xmlns:c16="http://schemas.microsoft.com/office/drawing/2014/chart" uri="{C3380CC4-5D6E-409C-BE32-E72D297353CC}">
              <c16:uniqueId val="{0000000E-564E-43EA-8566-6F17CE381616}"/>
            </c:ext>
          </c:extLst>
        </c:ser>
        <c:dLbls>
          <c:showLegendKey val="0"/>
          <c:showVal val="0"/>
          <c:showCatName val="0"/>
          <c:showSerName val="0"/>
          <c:showPercent val="0"/>
          <c:showBubbleSize val="0"/>
        </c:dLbls>
        <c:smooth val="0"/>
        <c:axId val="1851151264"/>
        <c:axId val="1851148864"/>
      </c:lineChart>
      <c:catAx>
        <c:axId val="185115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48864"/>
        <c:crosses val="autoZero"/>
        <c:auto val="1"/>
        <c:lblAlgn val="ctr"/>
        <c:lblOffset val="100"/>
        <c:noMultiLvlLbl val="0"/>
      </c:catAx>
      <c:valAx>
        <c:axId val="185114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1264"/>
        <c:crosses val="autoZero"/>
        <c:crossBetween val="between"/>
      </c:valAx>
      <c:spPr>
        <a:noFill/>
        <a:ln>
          <a:noFill/>
        </a:ln>
        <a:effectLst/>
      </c:spPr>
    </c:plotArea>
    <c:legend>
      <c:legendPos val="r"/>
      <c:layout>
        <c:manualLayout>
          <c:xMode val="edge"/>
          <c:yMode val="edge"/>
          <c:x val="0.71138878535153527"/>
          <c:y val="0.20481173768720087"/>
          <c:w val="0.27148794825203065"/>
          <c:h val="0.73798633626679022"/>
        </c:manualLayout>
      </c:layout>
      <c:overlay val="0"/>
      <c:spPr>
        <a:noFill/>
        <a:ln>
          <a:noFill/>
        </a:ln>
        <a:effectLst/>
      </c:spPr>
      <c:txPr>
        <a:bodyPr rot="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Dashboard-up.xlsm]High Performing Org Based on VP!PivotTable5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 Performing Org Based on VPD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'High Performing Org Based on VP'!$B$1</c:f>
              <c:strCache>
                <c:ptCount val="1"/>
                <c:pt idx="0">
                  <c:v>Total</c:v>
                </c:pt>
              </c:strCache>
            </c:strRef>
          </c:tx>
          <c:spPr>
            <a:solidFill>
              <a:schemeClr val="accent1"/>
            </a:solidFill>
            <a:ln>
              <a:noFill/>
            </a:ln>
            <a:effectLst/>
          </c:spPr>
          <c:invertIfNegative val="0"/>
          <c:cat>
            <c:strRef>
              <c:f>'High Performing Org Based on VP'!$A$2:$A$12</c:f>
              <c:strCache>
                <c:ptCount val="10"/>
                <c:pt idx="0">
                  <c:v>NHSBusinessServicesAuthority</c:v>
                </c:pt>
                <c:pt idx="1">
                  <c:v>NHSBloodandTransplant</c:v>
                </c:pt>
                <c:pt idx="2">
                  <c:v>UKHealthSecurityAgency</c:v>
                </c:pt>
                <c:pt idx="3">
                  <c:v>NHSShropshire,TelfordandWrekinICB</c:v>
                </c:pt>
                <c:pt idx="4">
                  <c:v>HealthResearchAuthority</c:v>
                </c:pt>
                <c:pt idx="5">
                  <c:v>NHSBathandNorthEastSomerset,SwindonandWiltshireICB</c:v>
                </c:pt>
                <c:pt idx="6">
                  <c:v>NHSNorthCentralLondonICB</c:v>
                </c:pt>
                <c:pt idx="7">
                  <c:v>NHSEngland</c:v>
                </c:pt>
                <c:pt idx="8">
                  <c:v>NHSLeicester,LeicestershireandRutlandICB</c:v>
                </c:pt>
                <c:pt idx="9">
                  <c:v>NHSDerbyandDerbyshireICB</c:v>
                </c:pt>
              </c:strCache>
            </c:strRef>
          </c:cat>
          <c:val>
            <c:numRef>
              <c:f>'High Performing Org Based on VP'!$B$2:$B$12</c:f>
              <c:numCache>
                <c:formatCode>General</c:formatCode>
                <c:ptCount val="10"/>
                <c:pt idx="0">
                  <c:v>914</c:v>
                </c:pt>
                <c:pt idx="1">
                  <c:v>918</c:v>
                </c:pt>
                <c:pt idx="2">
                  <c:v>919</c:v>
                </c:pt>
                <c:pt idx="3">
                  <c:v>942</c:v>
                </c:pt>
                <c:pt idx="4">
                  <c:v>980</c:v>
                </c:pt>
                <c:pt idx="5">
                  <c:v>983</c:v>
                </c:pt>
                <c:pt idx="6">
                  <c:v>985</c:v>
                </c:pt>
                <c:pt idx="7">
                  <c:v>990</c:v>
                </c:pt>
                <c:pt idx="8">
                  <c:v>994</c:v>
                </c:pt>
                <c:pt idx="9">
                  <c:v>996</c:v>
                </c:pt>
              </c:numCache>
            </c:numRef>
          </c:val>
          <c:extLst>
            <c:ext xmlns:c16="http://schemas.microsoft.com/office/drawing/2014/chart" uri="{C3380CC4-5D6E-409C-BE32-E72D297353CC}">
              <c16:uniqueId val="{00000000-AE6F-44D8-BCEC-F3DF3CFFBF1E}"/>
            </c:ext>
          </c:extLst>
        </c:ser>
        <c:dLbls>
          <c:showLegendKey val="0"/>
          <c:showVal val="0"/>
          <c:showCatName val="0"/>
          <c:showSerName val="0"/>
          <c:showPercent val="0"/>
          <c:showBubbleSize val="0"/>
        </c:dLbls>
        <c:gapWidth val="182"/>
        <c:axId val="1851106144"/>
        <c:axId val="1851102784"/>
      </c:barChart>
      <c:catAx>
        <c:axId val="185110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02784"/>
        <c:crosses val="autoZero"/>
        <c:auto val="1"/>
        <c:lblAlgn val="ctr"/>
        <c:lblOffset val="100"/>
        <c:noMultiLvlLbl val="0"/>
      </c:catAx>
      <c:valAx>
        <c:axId val="185110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0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Dashboard-up.xlsm]Average VPD Count By Quartile!PivotTable6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VPD Count By Quartile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pivotFmt>
      <c:pivotFmt>
        <c:idx val="2"/>
        <c:spPr>
          <a:solidFill>
            <a:schemeClr val="accent4">
              <a:lumMod val="40000"/>
              <a:lumOff val="60000"/>
            </a:schemeClr>
          </a:solidFill>
          <a:ln>
            <a:noFill/>
          </a:ln>
          <a:effectLst/>
        </c:spPr>
      </c:pivotFmt>
      <c:pivotFmt>
        <c:idx val="3"/>
        <c:spPr>
          <a:solidFill>
            <a:schemeClr val="accent4">
              <a:lumMod val="75000"/>
            </a:schemeClr>
          </a:solidFill>
          <a:ln>
            <a:noFill/>
          </a:ln>
          <a:effectLst/>
        </c:spPr>
      </c:pivotFmt>
      <c:pivotFmt>
        <c:idx val="4"/>
        <c:spPr>
          <a:solidFill>
            <a:schemeClr val="accent4">
              <a:lumMod val="20000"/>
              <a:lumOff val="80000"/>
            </a:schemeClr>
          </a:solidFill>
          <a:ln>
            <a:noFill/>
          </a:ln>
          <a:effectLst/>
        </c:spPr>
      </c:pivotFmt>
      <c:pivotFmt>
        <c:idx val="5"/>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20000"/>
              <a:lumOff val="80000"/>
            </a:schemeClr>
          </a:solidFill>
          <a:ln>
            <a:noFill/>
          </a:ln>
          <a:effectLst/>
        </c:spPr>
      </c:pivotFmt>
      <c:pivotFmt>
        <c:idx val="7"/>
        <c:spPr>
          <a:solidFill>
            <a:schemeClr val="accent4">
              <a:lumMod val="75000"/>
            </a:schemeClr>
          </a:solidFill>
          <a:ln>
            <a:noFill/>
          </a:ln>
          <a:effectLst/>
        </c:spPr>
      </c:pivotFmt>
      <c:pivotFmt>
        <c:idx val="8"/>
        <c:spPr>
          <a:solidFill>
            <a:schemeClr val="accent4">
              <a:lumMod val="40000"/>
              <a:lumOff val="60000"/>
            </a:schemeClr>
          </a:solidFill>
          <a:ln>
            <a:noFill/>
          </a:ln>
          <a:effectLst/>
        </c:spPr>
      </c:pivotFmt>
      <c:pivotFmt>
        <c:idx val="9"/>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20000"/>
              <a:lumOff val="80000"/>
            </a:schemeClr>
          </a:solidFill>
          <a:ln>
            <a:noFill/>
          </a:ln>
          <a:effectLst/>
        </c:spPr>
      </c:pivotFmt>
      <c:pivotFmt>
        <c:idx val="11"/>
        <c:spPr>
          <a:solidFill>
            <a:schemeClr val="accent4">
              <a:lumMod val="75000"/>
            </a:schemeClr>
          </a:solidFill>
          <a:ln>
            <a:noFill/>
          </a:ln>
          <a:effectLst/>
        </c:spPr>
      </c:pivotFmt>
      <c:pivotFmt>
        <c:idx val="12"/>
        <c:spPr>
          <a:solidFill>
            <a:schemeClr val="accent4">
              <a:lumMod val="40000"/>
              <a:lumOff val="60000"/>
            </a:schemeClr>
          </a:solidFill>
          <a:ln>
            <a:noFill/>
          </a:ln>
          <a:effectLst/>
        </c:spPr>
      </c:pivotFmt>
    </c:pivotFmts>
    <c:plotArea>
      <c:layout/>
      <c:barChart>
        <c:barDir val="col"/>
        <c:grouping val="clustered"/>
        <c:varyColors val="0"/>
        <c:ser>
          <c:idx val="0"/>
          <c:order val="0"/>
          <c:tx>
            <c:strRef>
              <c:f>'Average VPD Count By Quartile'!$B$1</c:f>
              <c:strCache>
                <c:ptCount val="1"/>
                <c:pt idx="0">
                  <c:v>Total</c:v>
                </c:pt>
              </c:strCache>
            </c:strRef>
          </c:tx>
          <c:spPr>
            <a:solidFill>
              <a:schemeClr val="accent4">
                <a:lumMod val="50000"/>
              </a:schemeClr>
            </a:solidFill>
            <a:ln>
              <a:noFill/>
            </a:ln>
            <a:effectLst/>
          </c:spPr>
          <c:invertIfNegative val="0"/>
          <c:dPt>
            <c:idx val="0"/>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1-F821-4AE0-AACA-850950F64279}"/>
              </c:ext>
            </c:extLst>
          </c:dPt>
          <c:dPt>
            <c:idx val="1"/>
            <c:invertIfNegative val="0"/>
            <c:bubble3D val="0"/>
            <c:spPr>
              <a:solidFill>
                <a:schemeClr val="accent4">
                  <a:lumMod val="75000"/>
                </a:schemeClr>
              </a:solidFill>
              <a:ln>
                <a:noFill/>
              </a:ln>
              <a:effectLst/>
            </c:spPr>
            <c:extLst>
              <c:ext xmlns:c16="http://schemas.microsoft.com/office/drawing/2014/chart" uri="{C3380CC4-5D6E-409C-BE32-E72D297353CC}">
                <c16:uniqueId val="{00000003-F821-4AE0-AACA-850950F64279}"/>
              </c:ext>
            </c:extLst>
          </c:dPt>
          <c:dPt>
            <c:idx val="2"/>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F821-4AE0-AACA-850950F64279}"/>
              </c:ext>
            </c:extLst>
          </c:dPt>
          <c:cat>
            <c:strRef>
              <c:f>'Average VPD Count By Quartile'!$A$2:$A$6</c:f>
              <c:strCache>
                <c:ptCount val="4"/>
                <c:pt idx="0">
                  <c:v>FourthQuartile</c:v>
                </c:pt>
                <c:pt idx="1">
                  <c:v>SecondQuartile</c:v>
                </c:pt>
                <c:pt idx="2">
                  <c:v>ThirdQuartile</c:v>
                </c:pt>
                <c:pt idx="3">
                  <c:v>TopQuartile</c:v>
                </c:pt>
              </c:strCache>
            </c:strRef>
          </c:cat>
          <c:val>
            <c:numRef>
              <c:f>'Average VPD Count By Quartile'!$B$2:$B$6</c:f>
              <c:numCache>
                <c:formatCode>General</c:formatCode>
                <c:ptCount val="4"/>
                <c:pt idx="0">
                  <c:v>374.68620037807182</c:v>
                </c:pt>
                <c:pt idx="1">
                  <c:v>413.68836291913215</c:v>
                </c:pt>
                <c:pt idx="2">
                  <c:v>390.8365180467091</c:v>
                </c:pt>
                <c:pt idx="3">
                  <c:v>365.43775100401604</c:v>
                </c:pt>
              </c:numCache>
            </c:numRef>
          </c:val>
          <c:extLst>
            <c:ext xmlns:c16="http://schemas.microsoft.com/office/drawing/2014/chart" uri="{C3380CC4-5D6E-409C-BE32-E72D297353CC}">
              <c16:uniqueId val="{00000006-F821-4AE0-AACA-850950F64279}"/>
            </c:ext>
          </c:extLst>
        </c:ser>
        <c:dLbls>
          <c:showLegendKey val="0"/>
          <c:showVal val="0"/>
          <c:showCatName val="0"/>
          <c:showSerName val="0"/>
          <c:showPercent val="0"/>
          <c:showBubbleSize val="0"/>
        </c:dLbls>
        <c:gapWidth val="219"/>
        <c:overlap val="-27"/>
        <c:axId val="1206467647"/>
        <c:axId val="1206469087"/>
      </c:barChart>
      <c:catAx>
        <c:axId val="120646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469087"/>
        <c:crosses val="autoZero"/>
        <c:auto val="1"/>
        <c:lblAlgn val="ctr"/>
        <c:lblOffset val="100"/>
        <c:noMultiLvlLbl val="0"/>
      </c:catAx>
      <c:valAx>
        <c:axId val="1206469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467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Dashboard-up.xlsm]Monthly Performance Movement Tr!Monthly Performance Movement Trends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Monthly Performance Movement Trends</a:t>
            </a:r>
            <a:endParaRPr lang="en-GB"/>
          </a:p>
        </c:rich>
      </c:tx>
      <c:layout>
        <c:manualLayout>
          <c:xMode val="edge"/>
          <c:yMode val="edge"/>
          <c:x val="0.55612485748538798"/>
          <c:y val="2.7131375138794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908737247111661E-2"/>
          <c:y val="0.24479283218977438"/>
          <c:w val="0.82162564114887471"/>
          <c:h val="0.59839956931612381"/>
        </c:manualLayout>
      </c:layout>
      <c:barChart>
        <c:barDir val="col"/>
        <c:grouping val="percentStacked"/>
        <c:varyColors val="0"/>
        <c:ser>
          <c:idx val="0"/>
          <c:order val="0"/>
          <c:tx>
            <c:strRef>
              <c:f>'Monthly Performance Movement Tr'!$B$3:$B$4</c:f>
              <c:strCache>
                <c:ptCount val="1"/>
                <c:pt idx="0">
                  <c:v>Dropped</c:v>
                </c:pt>
              </c:strCache>
            </c:strRef>
          </c:tx>
          <c:spPr>
            <a:solidFill>
              <a:srgbClr val="FF0000"/>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Tr'!$B$5:$B$13</c:f>
              <c:numCache>
                <c:formatCode>General</c:formatCode>
                <c:ptCount val="8"/>
                <c:pt idx="0">
                  <c:v>12</c:v>
                </c:pt>
                <c:pt idx="1">
                  <c:v>21</c:v>
                </c:pt>
                <c:pt idx="2">
                  <c:v>22</c:v>
                </c:pt>
                <c:pt idx="3">
                  <c:v>14</c:v>
                </c:pt>
                <c:pt idx="4">
                  <c:v>20</c:v>
                </c:pt>
                <c:pt idx="5">
                  <c:v>15</c:v>
                </c:pt>
                <c:pt idx="6">
                  <c:v>5</c:v>
                </c:pt>
                <c:pt idx="7">
                  <c:v>3</c:v>
                </c:pt>
              </c:numCache>
            </c:numRef>
          </c:val>
          <c:extLst>
            <c:ext xmlns:c16="http://schemas.microsoft.com/office/drawing/2014/chart" uri="{C3380CC4-5D6E-409C-BE32-E72D297353CC}">
              <c16:uniqueId val="{00000000-2FAB-48F0-9C67-46697CE71D26}"/>
            </c:ext>
          </c:extLst>
        </c:ser>
        <c:ser>
          <c:idx val="1"/>
          <c:order val="1"/>
          <c:tx>
            <c:strRef>
              <c:f>'Monthly Performance Movement Tr'!$C$3:$C$4</c:f>
              <c:strCache>
                <c:ptCount val="1"/>
                <c:pt idx="0">
                  <c:v>Improved</c:v>
                </c:pt>
              </c:strCache>
            </c:strRef>
          </c:tx>
          <c:spPr>
            <a:solidFill>
              <a:schemeClr val="accent3">
                <a:lumMod val="60000"/>
                <a:lumOff val="40000"/>
              </a:schemeClr>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Tr'!$C$5:$C$13</c:f>
              <c:numCache>
                <c:formatCode>General</c:formatCode>
                <c:ptCount val="8"/>
                <c:pt idx="0">
                  <c:v>11</c:v>
                </c:pt>
                <c:pt idx="1">
                  <c:v>16</c:v>
                </c:pt>
                <c:pt idx="2">
                  <c:v>22</c:v>
                </c:pt>
                <c:pt idx="3">
                  <c:v>17</c:v>
                </c:pt>
                <c:pt idx="4">
                  <c:v>13</c:v>
                </c:pt>
                <c:pt idx="5">
                  <c:v>18</c:v>
                </c:pt>
                <c:pt idx="6">
                  <c:v>7</c:v>
                </c:pt>
                <c:pt idx="7">
                  <c:v>5</c:v>
                </c:pt>
              </c:numCache>
            </c:numRef>
          </c:val>
          <c:extLst>
            <c:ext xmlns:c16="http://schemas.microsoft.com/office/drawing/2014/chart" uri="{C3380CC4-5D6E-409C-BE32-E72D297353CC}">
              <c16:uniqueId val="{00000020-2FAB-48F0-9C67-46697CE71D26}"/>
            </c:ext>
          </c:extLst>
        </c:ser>
        <c:ser>
          <c:idx val="2"/>
          <c:order val="2"/>
          <c:tx>
            <c:strRef>
              <c:f>'Monthly Performance Movement Tr'!$D$3:$D$4</c:f>
              <c:strCache>
                <c:ptCount val="1"/>
                <c:pt idx="0">
                  <c:v>Same</c:v>
                </c:pt>
              </c:strCache>
            </c:strRef>
          </c:tx>
          <c:spPr>
            <a:solidFill>
              <a:srgbClr val="FFC000"/>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Tr'!$D$5:$D$13</c:f>
              <c:numCache>
                <c:formatCode>General</c:formatCode>
                <c:ptCount val="8"/>
                <c:pt idx="0">
                  <c:v>163</c:v>
                </c:pt>
                <c:pt idx="1">
                  <c:v>221</c:v>
                </c:pt>
                <c:pt idx="2">
                  <c:v>274</c:v>
                </c:pt>
                <c:pt idx="3">
                  <c:v>227</c:v>
                </c:pt>
                <c:pt idx="4">
                  <c:v>178</c:v>
                </c:pt>
                <c:pt idx="5">
                  <c:v>195</c:v>
                </c:pt>
                <c:pt idx="6">
                  <c:v>162</c:v>
                </c:pt>
                <c:pt idx="7">
                  <c:v>76</c:v>
                </c:pt>
              </c:numCache>
            </c:numRef>
          </c:val>
          <c:extLst>
            <c:ext xmlns:c16="http://schemas.microsoft.com/office/drawing/2014/chart" uri="{C3380CC4-5D6E-409C-BE32-E72D297353CC}">
              <c16:uniqueId val="{00000021-2FAB-48F0-9C67-46697CE71D26}"/>
            </c:ext>
          </c:extLst>
        </c:ser>
        <c:ser>
          <c:idx val="3"/>
          <c:order val="3"/>
          <c:tx>
            <c:strRef>
              <c:f>'Monthly Performance Movement Tr'!$E$3:$E$4</c:f>
              <c:strCache>
                <c:ptCount val="1"/>
                <c:pt idx="0">
                  <c:v>No data on previous month</c:v>
                </c:pt>
              </c:strCache>
            </c:strRef>
          </c:tx>
          <c:spPr>
            <a:solidFill>
              <a:schemeClr val="accent4"/>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Tr'!$E$5:$E$13</c:f>
              <c:numCache>
                <c:formatCode>General</c:formatCode>
                <c:ptCount val="8"/>
                <c:pt idx="0">
                  <c:v>31</c:v>
                </c:pt>
                <c:pt idx="1">
                  <c:v>43</c:v>
                </c:pt>
                <c:pt idx="2">
                  <c:v>53</c:v>
                </c:pt>
                <c:pt idx="3">
                  <c:v>43</c:v>
                </c:pt>
                <c:pt idx="4">
                  <c:v>36</c:v>
                </c:pt>
                <c:pt idx="5">
                  <c:v>38</c:v>
                </c:pt>
                <c:pt idx="6">
                  <c:v>29</c:v>
                </c:pt>
                <c:pt idx="7">
                  <c:v>15</c:v>
                </c:pt>
              </c:numCache>
            </c:numRef>
          </c:val>
          <c:extLst>
            <c:ext xmlns:c16="http://schemas.microsoft.com/office/drawing/2014/chart" uri="{C3380CC4-5D6E-409C-BE32-E72D297353CC}">
              <c16:uniqueId val="{00000022-2FAB-48F0-9C67-46697CE71D26}"/>
            </c:ext>
          </c:extLst>
        </c:ser>
        <c:dLbls>
          <c:showLegendKey val="0"/>
          <c:showVal val="0"/>
          <c:showCatName val="0"/>
          <c:showSerName val="0"/>
          <c:showPercent val="0"/>
          <c:showBubbleSize val="0"/>
        </c:dLbls>
        <c:gapWidth val="150"/>
        <c:overlap val="100"/>
        <c:axId val="1851159904"/>
        <c:axId val="1851156064"/>
      </c:barChart>
      <c:catAx>
        <c:axId val="185115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6064"/>
        <c:crosses val="autoZero"/>
        <c:auto val="1"/>
        <c:lblAlgn val="ctr"/>
        <c:lblOffset val="100"/>
        <c:noMultiLvlLbl val="0"/>
      </c:catAx>
      <c:valAx>
        <c:axId val="1851156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9904"/>
        <c:crosses val="autoZero"/>
        <c:crossBetween val="midCat"/>
      </c:valAx>
      <c:spPr>
        <a:noFill/>
        <a:ln>
          <a:noFill/>
        </a:ln>
        <a:effectLst/>
      </c:spPr>
    </c:plotArea>
    <c:legend>
      <c:legendPos val="r"/>
      <c:layout>
        <c:manualLayout>
          <c:xMode val="edge"/>
          <c:yMode val="edge"/>
          <c:x val="1.69548999660902E-3"/>
          <c:y val="6.851740386921182E-3"/>
          <c:w val="0.42753849563311197"/>
          <c:h val="0.16618287721824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Dashboard-up.xlsm]Monthly Quartile Composition!Monthly Quartile Composition</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Monthly Quartile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20000"/>
              <a:lumOff val="8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20000"/>
              <a:lumOff val="8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20000"/>
              <a:lumOff val="8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'Monthly Quartile Composition'!$B$1:$B$2</c:f>
              <c:strCache>
                <c:ptCount val="1"/>
                <c:pt idx="0">
                  <c:v>FourthQuartile</c:v>
                </c:pt>
              </c:strCache>
            </c:strRef>
          </c:tx>
          <c:spPr>
            <a:solidFill>
              <a:schemeClr val="accent4">
                <a:lumMod val="20000"/>
                <a:lumOff val="8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Composition'!$B$3:$B$10</c:f>
              <c:numCache>
                <c:formatCode>General</c:formatCode>
                <c:ptCount val="7"/>
                <c:pt idx="0">
                  <c:v>72</c:v>
                </c:pt>
                <c:pt idx="1">
                  <c:v>71</c:v>
                </c:pt>
                <c:pt idx="2">
                  <c:v>72</c:v>
                </c:pt>
                <c:pt idx="3">
                  <c:v>72</c:v>
                </c:pt>
                <c:pt idx="4">
                  <c:v>100</c:v>
                </c:pt>
                <c:pt idx="5">
                  <c:v>71</c:v>
                </c:pt>
                <c:pt idx="6">
                  <c:v>71</c:v>
                </c:pt>
              </c:numCache>
            </c:numRef>
          </c:val>
          <c:extLst>
            <c:ext xmlns:c16="http://schemas.microsoft.com/office/drawing/2014/chart" uri="{C3380CC4-5D6E-409C-BE32-E72D297353CC}">
              <c16:uniqueId val="{00000000-44F1-47D0-A5AC-4BB0D5DDC24B}"/>
            </c:ext>
          </c:extLst>
        </c:ser>
        <c:ser>
          <c:idx val="1"/>
          <c:order val="1"/>
          <c:tx>
            <c:strRef>
              <c:f>'Monthly Quartile Composition'!$C$1:$C$2</c:f>
              <c:strCache>
                <c:ptCount val="1"/>
                <c:pt idx="0">
                  <c:v>SecondQuartile</c:v>
                </c:pt>
              </c:strCache>
            </c:strRef>
          </c:tx>
          <c:spPr>
            <a:solidFill>
              <a:schemeClr val="accent4">
                <a:lumMod val="75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Composition'!$C$3:$C$10</c:f>
              <c:numCache>
                <c:formatCode>General</c:formatCode>
                <c:ptCount val="7"/>
                <c:pt idx="0">
                  <c:v>73</c:v>
                </c:pt>
                <c:pt idx="1">
                  <c:v>74</c:v>
                </c:pt>
                <c:pt idx="2">
                  <c:v>72</c:v>
                </c:pt>
                <c:pt idx="3">
                  <c:v>72</c:v>
                </c:pt>
                <c:pt idx="4">
                  <c:v>72</c:v>
                </c:pt>
                <c:pt idx="5">
                  <c:v>72</c:v>
                </c:pt>
                <c:pt idx="6">
                  <c:v>72</c:v>
                </c:pt>
              </c:numCache>
            </c:numRef>
          </c:val>
          <c:extLst>
            <c:ext xmlns:c16="http://schemas.microsoft.com/office/drawing/2014/chart" uri="{C3380CC4-5D6E-409C-BE32-E72D297353CC}">
              <c16:uniqueId val="{00000005-44F1-47D0-A5AC-4BB0D5DDC24B}"/>
            </c:ext>
          </c:extLst>
        </c:ser>
        <c:ser>
          <c:idx val="2"/>
          <c:order val="2"/>
          <c:tx>
            <c:strRef>
              <c:f>'Monthly Quartile Composition'!$D$1:$D$2</c:f>
              <c:strCache>
                <c:ptCount val="1"/>
                <c:pt idx="0">
                  <c:v>ThirdQuartile</c:v>
                </c:pt>
              </c:strCache>
            </c:strRef>
          </c:tx>
          <c:spPr>
            <a:solidFill>
              <a:schemeClr val="accent4">
                <a:lumMod val="40000"/>
                <a:lumOff val="6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Composition'!$D$3:$D$10</c:f>
              <c:numCache>
                <c:formatCode>General</c:formatCode>
                <c:ptCount val="7"/>
                <c:pt idx="0">
                  <c:v>72</c:v>
                </c:pt>
                <c:pt idx="1">
                  <c:v>71</c:v>
                </c:pt>
                <c:pt idx="2">
                  <c:v>71</c:v>
                </c:pt>
                <c:pt idx="3">
                  <c:v>71</c:v>
                </c:pt>
                <c:pt idx="4">
                  <c:v>43</c:v>
                </c:pt>
                <c:pt idx="5">
                  <c:v>71</c:v>
                </c:pt>
                <c:pt idx="6">
                  <c:v>72</c:v>
                </c:pt>
              </c:numCache>
            </c:numRef>
          </c:val>
          <c:extLst>
            <c:ext xmlns:c16="http://schemas.microsoft.com/office/drawing/2014/chart" uri="{C3380CC4-5D6E-409C-BE32-E72D297353CC}">
              <c16:uniqueId val="{00000006-44F1-47D0-A5AC-4BB0D5DDC24B}"/>
            </c:ext>
          </c:extLst>
        </c:ser>
        <c:ser>
          <c:idx val="3"/>
          <c:order val="3"/>
          <c:tx>
            <c:strRef>
              <c:f>'Monthly Quartile Composition'!$E$1:$E$2</c:f>
              <c:strCache>
                <c:ptCount val="1"/>
                <c:pt idx="0">
                  <c:v>TopQuartile</c:v>
                </c:pt>
              </c:strCache>
            </c:strRef>
          </c:tx>
          <c:spPr>
            <a:solidFill>
              <a:schemeClr val="accent4">
                <a:lumMod val="5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Composition'!$E$3:$E$10</c:f>
              <c:numCache>
                <c:formatCode>General</c:formatCode>
                <c:ptCount val="7"/>
                <c:pt idx="0">
                  <c:v>71</c:v>
                </c:pt>
                <c:pt idx="1">
                  <c:v>71</c:v>
                </c:pt>
                <c:pt idx="2">
                  <c:v>71</c:v>
                </c:pt>
                <c:pt idx="3">
                  <c:v>71</c:v>
                </c:pt>
                <c:pt idx="4">
                  <c:v>71</c:v>
                </c:pt>
                <c:pt idx="5">
                  <c:v>72</c:v>
                </c:pt>
                <c:pt idx="6">
                  <c:v>71</c:v>
                </c:pt>
              </c:numCache>
            </c:numRef>
          </c:val>
          <c:extLst>
            <c:ext xmlns:c16="http://schemas.microsoft.com/office/drawing/2014/chart" uri="{C3380CC4-5D6E-409C-BE32-E72D297353CC}">
              <c16:uniqueId val="{00000007-44F1-47D0-A5AC-4BB0D5DDC24B}"/>
            </c:ext>
          </c:extLst>
        </c:ser>
        <c:dLbls>
          <c:showLegendKey val="0"/>
          <c:showVal val="0"/>
          <c:showCatName val="0"/>
          <c:showSerName val="0"/>
          <c:showPercent val="0"/>
          <c:showBubbleSize val="0"/>
        </c:dLbls>
        <c:gapWidth val="150"/>
        <c:shape val="box"/>
        <c:axId val="1851112384"/>
        <c:axId val="1851124384"/>
        <c:axId val="0"/>
      </c:bar3DChart>
      <c:catAx>
        <c:axId val="1851112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24384"/>
        <c:crosses val="autoZero"/>
        <c:auto val="1"/>
        <c:lblAlgn val="ctr"/>
        <c:lblOffset val="100"/>
        <c:noMultiLvlLbl val="0"/>
      </c:catAx>
      <c:valAx>
        <c:axId val="185112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12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Dashboard-up.xlsm]Records submitted!PivotTable9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Records Submitted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'Records submitted'!$B$1</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'Records submitted'!$A$2:$A$9</c:f>
              <c:strCache>
                <c:ptCount val="7"/>
                <c:pt idx="0">
                  <c:v>Jan</c:v>
                </c:pt>
                <c:pt idx="1">
                  <c:v>Feb</c:v>
                </c:pt>
                <c:pt idx="2">
                  <c:v>Mar</c:v>
                </c:pt>
                <c:pt idx="3">
                  <c:v>Apr</c:v>
                </c:pt>
                <c:pt idx="4">
                  <c:v>May</c:v>
                </c:pt>
                <c:pt idx="5">
                  <c:v>Jun</c:v>
                </c:pt>
                <c:pt idx="6">
                  <c:v>Jul</c:v>
                </c:pt>
              </c:strCache>
            </c:strRef>
          </c:cat>
          <c:val>
            <c:numRef>
              <c:f>'Records submitted'!$B$2:$B$9</c:f>
              <c:numCache>
                <c:formatCode>General</c:formatCode>
                <c:ptCount val="7"/>
                <c:pt idx="0">
                  <c:v>288</c:v>
                </c:pt>
                <c:pt idx="1">
                  <c:v>287</c:v>
                </c:pt>
                <c:pt idx="2">
                  <c:v>286</c:v>
                </c:pt>
                <c:pt idx="3">
                  <c:v>286</c:v>
                </c:pt>
                <c:pt idx="4">
                  <c:v>286</c:v>
                </c:pt>
                <c:pt idx="5">
                  <c:v>286</c:v>
                </c:pt>
                <c:pt idx="6">
                  <c:v>286</c:v>
                </c:pt>
              </c:numCache>
            </c:numRef>
          </c:val>
          <c:extLst>
            <c:ext xmlns:c16="http://schemas.microsoft.com/office/drawing/2014/chart" uri="{C3380CC4-5D6E-409C-BE32-E72D297353CC}">
              <c16:uniqueId val="{00000000-AD4D-44A6-86A1-7F6D18719B82}"/>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Dashboard-up.xlsm]High Performing Org Based on VP!PivotTable5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'High Performing Org Based on VP'!$B$1</c:f>
              <c:strCache>
                <c:ptCount val="1"/>
                <c:pt idx="0">
                  <c:v>Total</c:v>
                </c:pt>
              </c:strCache>
            </c:strRef>
          </c:tx>
          <c:spPr>
            <a:solidFill>
              <a:schemeClr val="accent1"/>
            </a:solidFill>
            <a:ln>
              <a:noFill/>
            </a:ln>
            <a:effectLst/>
          </c:spPr>
          <c:invertIfNegative val="0"/>
          <c:cat>
            <c:strRef>
              <c:f>'High Performing Org Based on VP'!$A$2:$A$12</c:f>
              <c:strCache>
                <c:ptCount val="10"/>
                <c:pt idx="0">
                  <c:v>NHSBusinessServicesAuthority</c:v>
                </c:pt>
                <c:pt idx="1">
                  <c:v>NHSBloodandTransplant</c:v>
                </c:pt>
                <c:pt idx="2">
                  <c:v>UKHealthSecurityAgency</c:v>
                </c:pt>
                <c:pt idx="3">
                  <c:v>NHSShropshire,TelfordandWrekinICB</c:v>
                </c:pt>
                <c:pt idx="4">
                  <c:v>HealthResearchAuthority</c:v>
                </c:pt>
                <c:pt idx="5">
                  <c:v>NHSBathandNorthEastSomerset,SwindonandWiltshireICB</c:v>
                </c:pt>
                <c:pt idx="6">
                  <c:v>NHSNorthCentralLondonICB</c:v>
                </c:pt>
                <c:pt idx="7">
                  <c:v>NHSEngland</c:v>
                </c:pt>
                <c:pt idx="8">
                  <c:v>NHSLeicester,LeicestershireandRutlandICB</c:v>
                </c:pt>
                <c:pt idx="9">
                  <c:v>NHSDerbyandDerbyshireICB</c:v>
                </c:pt>
              </c:strCache>
            </c:strRef>
          </c:cat>
          <c:val>
            <c:numRef>
              <c:f>'High Performing Org Based on VP'!$B$2:$B$12</c:f>
              <c:numCache>
                <c:formatCode>General</c:formatCode>
                <c:ptCount val="10"/>
                <c:pt idx="0">
                  <c:v>914</c:v>
                </c:pt>
                <c:pt idx="1">
                  <c:v>918</c:v>
                </c:pt>
                <c:pt idx="2">
                  <c:v>919</c:v>
                </c:pt>
                <c:pt idx="3">
                  <c:v>942</c:v>
                </c:pt>
                <c:pt idx="4">
                  <c:v>980</c:v>
                </c:pt>
                <c:pt idx="5">
                  <c:v>983</c:v>
                </c:pt>
                <c:pt idx="6">
                  <c:v>985</c:v>
                </c:pt>
                <c:pt idx="7">
                  <c:v>990</c:v>
                </c:pt>
                <c:pt idx="8">
                  <c:v>994</c:v>
                </c:pt>
                <c:pt idx="9">
                  <c:v>996</c:v>
                </c:pt>
              </c:numCache>
            </c:numRef>
          </c:val>
          <c:extLst>
            <c:ext xmlns:c16="http://schemas.microsoft.com/office/drawing/2014/chart" uri="{C3380CC4-5D6E-409C-BE32-E72D297353CC}">
              <c16:uniqueId val="{00000000-2AF2-46CC-8DC6-2B3040118D07}"/>
            </c:ext>
          </c:extLst>
        </c:ser>
        <c:dLbls>
          <c:showLegendKey val="0"/>
          <c:showVal val="0"/>
          <c:showCatName val="0"/>
          <c:showSerName val="0"/>
          <c:showPercent val="0"/>
          <c:showBubbleSize val="0"/>
        </c:dLbls>
        <c:gapWidth val="182"/>
        <c:axId val="1851119104"/>
        <c:axId val="1851130624"/>
      </c:barChart>
      <c:catAx>
        <c:axId val="1851119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30624"/>
        <c:crosses val="autoZero"/>
        <c:auto val="1"/>
        <c:lblAlgn val="ctr"/>
        <c:lblOffset val="100"/>
        <c:noMultiLvlLbl val="0"/>
      </c:catAx>
      <c:valAx>
        <c:axId val="1851130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19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Dashboard-up.xlsm]High Performing Org Based on VP!PivotTable5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 Performing Org Based on VPD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'High Performing Org Based on VP'!$B$1</c:f>
              <c:strCache>
                <c:ptCount val="1"/>
                <c:pt idx="0">
                  <c:v>Total</c:v>
                </c:pt>
              </c:strCache>
            </c:strRef>
          </c:tx>
          <c:spPr>
            <a:solidFill>
              <a:schemeClr val="accent1"/>
            </a:solidFill>
            <a:ln>
              <a:noFill/>
            </a:ln>
            <a:effectLst/>
          </c:spPr>
          <c:invertIfNegative val="0"/>
          <c:cat>
            <c:strRef>
              <c:f>'High Performing Org Based on VP'!$A$2:$A$12</c:f>
              <c:strCache>
                <c:ptCount val="10"/>
                <c:pt idx="0">
                  <c:v>NHSBusinessServicesAuthority</c:v>
                </c:pt>
                <c:pt idx="1">
                  <c:v>NHSBloodandTransplant</c:v>
                </c:pt>
                <c:pt idx="2">
                  <c:v>UKHealthSecurityAgency</c:v>
                </c:pt>
                <c:pt idx="3">
                  <c:v>NHSShropshire,TelfordandWrekinICB</c:v>
                </c:pt>
                <c:pt idx="4">
                  <c:v>HealthResearchAuthority</c:v>
                </c:pt>
                <c:pt idx="5">
                  <c:v>NHSBathandNorthEastSomerset,SwindonandWiltshireICB</c:v>
                </c:pt>
                <c:pt idx="6">
                  <c:v>NHSNorthCentralLondonICB</c:v>
                </c:pt>
                <c:pt idx="7">
                  <c:v>NHSEngland</c:v>
                </c:pt>
                <c:pt idx="8">
                  <c:v>NHSLeicester,LeicestershireandRutlandICB</c:v>
                </c:pt>
                <c:pt idx="9">
                  <c:v>NHSDerbyandDerbyshireICB</c:v>
                </c:pt>
              </c:strCache>
            </c:strRef>
          </c:cat>
          <c:val>
            <c:numRef>
              <c:f>'High Performing Org Based on VP'!$B$2:$B$12</c:f>
              <c:numCache>
                <c:formatCode>General</c:formatCode>
                <c:ptCount val="10"/>
                <c:pt idx="0">
                  <c:v>914</c:v>
                </c:pt>
                <c:pt idx="1">
                  <c:v>918</c:v>
                </c:pt>
                <c:pt idx="2">
                  <c:v>919</c:v>
                </c:pt>
                <c:pt idx="3">
                  <c:v>942</c:v>
                </c:pt>
                <c:pt idx="4">
                  <c:v>980</c:v>
                </c:pt>
                <c:pt idx="5">
                  <c:v>983</c:v>
                </c:pt>
                <c:pt idx="6">
                  <c:v>985</c:v>
                </c:pt>
                <c:pt idx="7">
                  <c:v>990</c:v>
                </c:pt>
                <c:pt idx="8">
                  <c:v>994</c:v>
                </c:pt>
                <c:pt idx="9">
                  <c:v>996</c:v>
                </c:pt>
              </c:numCache>
            </c:numRef>
          </c:val>
          <c:extLst>
            <c:ext xmlns:c16="http://schemas.microsoft.com/office/drawing/2014/chart" uri="{C3380CC4-5D6E-409C-BE32-E72D297353CC}">
              <c16:uniqueId val="{00000000-C165-4696-95F8-86D428A5EC87}"/>
            </c:ext>
          </c:extLst>
        </c:ser>
        <c:dLbls>
          <c:showLegendKey val="0"/>
          <c:showVal val="0"/>
          <c:showCatName val="0"/>
          <c:showSerName val="0"/>
          <c:showPercent val="0"/>
          <c:showBubbleSize val="0"/>
        </c:dLbls>
        <c:gapWidth val="182"/>
        <c:axId val="1851106144"/>
        <c:axId val="1851102784"/>
      </c:barChart>
      <c:catAx>
        <c:axId val="185110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02784"/>
        <c:crosses val="autoZero"/>
        <c:auto val="1"/>
        <c:lblAlgn val="ctr"/>
        <c:lblOffset val="100"/>
        <c:noMultiLvlLbl val="0"/>
      </c:catAx>
      <c:valAx>
        <c:axId val="185110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0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Dashboard-up.xlsm]Monthly Quartile Composition!Monthly Quartile Composition</c:name>
    <c:fmtId val="0"/>
  </c:pivotSource>
  <c:chart>
    <c:autoTitleDeleted val="0"/>
    <c:pivotFmts>
      <c:pivotFmt>
        <c:idx val="0"/>
        <c:spPr>
          <a:solidFill>
            <a:schemeClr val="accent4">
              <a:lumMod val="20000"/>
              <a:lumOff val="8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'Monthly Quartile Composition'!$B$1:$B$2</c:f>
              <c:strCache>
                <c:ptCount val="1"/>
                <c:pt idx="0">
                  <c:v>FourthQuartile</c:v>
                </c:pt>
              </c:strCache>
            </c:strRef>
          </c:tx>
          <c:spPr>
            <a:solidFill>
              <a:schemeClr val="accent4">
                <a:lumMod val="20000"/>
                <a:lumOff val="8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Composition'!$B$3:$B$10</c:f>
              <c:numCache>
                <c:formatCode>General</c:formatCode>
                <c:ptCount val="7"/>
                <c:pt idx="0">
                  <c:v>72</c:v>
                </c:pt>
                <c:pt idx="1">
                  <c:v>71</c:v>
                </c:pt>
                <c:pt idx="2">
                  <c:v>72</c:v>
                </c:pt>
                <c:pt idx="3">
                  <c:v>72</c:v>
                </c:pt>
                <c:pt idx="4">
                  <c:v>100</c:v>
                </c:pt>
                <c:pt idx="5">
                  <c:v>71</c:v>
                </c:pt>
                <c:pt idx="6">
                  <c:v>71</c:v>
                </c:pt>
              </c:numCache>
            </c:numRef>
          </c:val>
          <c:extLst>
            <c:ext xmlns:c16="http://schemas.microsoft.com/office/drawing/2014/chart" uri="{C3380CC4-5D6E-409C-BE32-E72D297353CC}">
              <c16:uniqueId val="{00000000-A7B0-48CB-A79A-76FDB47F5D50}"/>
            </c:ext>
          </c:extLst>
        </c:ser>
        <c:ser>
          <c:idx val="1"/>
          <c:order val="1"/>
          <c:tx>
            <c:strRef>
              <c:f>'Monthly Quartile Composition'!$C$1:$C$2</c:f>
              <c:strCache>
                <c:ptCount val="1"/>
                <c:pt idx="0">
                  <c:v>SecondQuartile</c:v>
                </c:pt>
              </c:strCache>
            </c:strRef>
          </c:tx>
          <c:spPr>
            <a:solidFill>
              <a:schemeClr val="accent4">
                <a:lumMod val="75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Composition'!$C$3:$C$10</c:f>
              <c:numCache>
                <c:formatCode>General</c:formatCode>
                <c:ptCount val="7"/>
                <c:pt idx="0">
                  <c:v>73</c:v>
                </c:pt>
                <c:pt idx="1">
                  <c:v>74</c:v>
                </c:pt>
                <c:pt idx="2">
                  <c:v>72</c:v>
                </c:pt>
                <c:pt idx="3">
                  <c:v>72</c:v>
                </c:pt>
                <c:pt idx="4">
                  <c:v>72</c:v>
                </c:pt>
                <c:pt idx="5">
                  <c:v>72</c:v>
                </c:pt>
                <c:pt idx="6">
                  <c:v>72</c:v>
                </c:pt>
              </c:numCache>
            </c:numRef>
          </c:val>
          <c:extLst>
            <c:ext xmlns:c16="http://schemas.microsoft.com/office/drawing/2014/chart" uri="{C3380CC4-5D6E-409C-BE32-E72D297353CC}">
              <c16:uniqueId val="{00000005-A7B0-48CB-A79A-76FDB47F5D50}"/>
            </c:ext>
          </c:extLst>
        </c:ser>
        <c:ser>
          <c:idx val="2"/>
          <c:order val="2"/>
          <c:tx>
            <c:strRef>
              <c:f>'Monthly Quartile Composition'!$D$1:$D$2</c:f>
              <c:strCache>
                <c:ptCount val="1"/>
                <c:pt idx="0">
                  <c:v>ThirdQuartile</c:v>
                </c:pt>
              </c:strCache>
            </c:strRef>
          </c:tx>
          <c:spPr>
            <a:solidFill>
              <a:schemeClr val="accent4">
                <a:lumMod val="40000"/>
                <a:lumOff val="6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Composition'!$D$3:$D$10</c:f>
              <c:numCache>
                <c:formatCode>General</c:formatCode>
                <c:ptCount val="7"/>
                <c:pt idx="0">
                  <c:v>72</c:v>
                </c:pt>
                <c:pt idx="1">
                  <c:v>71</c:v>
                </c:pt>
                <c:pt idx="2">
                  <c:v>71</c:v>
                </c:pt>
                <c:pt idx="3">
                  <c:v>71</c:v>
                </c:pt>
                <c:pt idx="4">
                  <c:v>43</c:v>
                </c:pt>
                <c:pt idx="5">
                  <c:v>71</c:v>
                </c:pt>
                <c:pt idx="6">
                  <c:v>72</c:v>
                </c:pt>
              </c:numCache>
            </c:numRef>
          </c:val>
          <c:extLst>
            <c:ext xmlns:c16="http://schemas.microsoft.com/office/drawing/2014/chart" uri="{C3380CC4-5D6E-409C-BE32-E72D297353CC}">
              <c16:uniqueId val="{00000006-A7B0-48CB-A79A-76FDB47F5D50}"/>
            </c:ext>
          </c:extLst>
        </c:ser>
        <c:ser>
          <c:idx val="3"/>
          <c:order val="3"/>
          <c:tx>
            <c:strRef>
              <c:f>'Monthly Quartile Composition'!$E$1:$E$2</c:f>
              <c:strCache>
                <c:ptCount val="1"/>
                <c:pt idx="0">
                  <c:v>TopQuartile</c:v>
                </c:pt>
              </c:strCache>
            </c:strRef>
          </c:tx>
          <c:spPr>
            <a:solidFill>
              <a:schemeClr val="accent4">
                <a:lumMod val="50000"/>
              </a:schemeClr>
            </a:solidFill>
            <a:ln>
              <a:noFill/>
            </a:ln>
            <a:effectLst/>
            <a:sp3d/>
          </c:spPr>
          <c:invertIfNegative val="0"/>
          <c:cat>
            <c:strRef>
              <c:f>'Monthly Quartile Composition'!$A$3:$A$10</c:f>
              <c:strCache>
                <c:ptCount val="7"/>
                <c:pt idx="0">
                  <c:v>Jan</c:v>
                </c:pt>
                <c:pt idx="1">
                  <c:v>Feb</c:v>
                </c:pt>
                <c:pt idx="2">
                  <c:v>Mar</c:v>
                </c:pt>
                <c:pt idx="3">
                  <c:v>Apr</c:v>
                </c:pt>
                <c:pt idx="4">
                  <c:v>May</c:v>
                </c:pt>
                <c:pt idx="5">
                  <c:v>Jun</c:v>
                </c:pt>
                <c:pt idx="6">
                  <c:v>Jul</c:v>
                </c:pt>
              </c:strCache>
            </c:strRef>
          </c:cat>
          <c:val>
            <c:numRef>
              <c:f>'Monthly Quartile Composition'!$E$3:$E$10</c:f>
              <c:numCache>
                <c:formatCode>General</c:formatCode>
                <c:ptCount val="7"/>
                <c:pt idx="0">
                  <c:v>71</c:v>
                </c:pt>
                <c:pt idx="1">
                  <c:v>71</c:v>
                </c:pt>
                <c:pt idx="2">
                  <c:v>71</c:v>
                </c:pt>
                <c:pt idx="3">
                  <c:v>71</c:v>
                </c:pt>
                <c:pt idx="4">
                  <c:v>71</c:v>
                </c:pt>
                <c:pt idx="5">
                  <c:v>72</c:v>
                </c:pt>
                <c:pt idx="6">
                  <c:v>71</c:v>
                </c:pt>
              </c:numCache>
            </c:numRef>
          </c:val>
          <c:extLst>
            <c:ext xmlns:c16="http://schemas.microsoft.com/office/drawing/2014/chart" uri="{C3380CC4-5D6E-409C-BE32-E72D297353CC}">
              <c16:uniqueId val="{00000007-A7B0-48CB-A79A-76FDB47F5D50}"/>
            </c:ext>
          </c:extLst>
        </c:ser>
        <c:dLbls>
          <c:showLegendKey val="0"/>
          <c:showVal val="0"/>
          <c:showCatName val="0"/>
          <c:showSerName val="0"/>
          <c:showPercent val="0"/>
          <c:showBubbleSize val="0"/>
        </c:dLbls>
        <c:gapWidth val="150"/>
        <c:shape val="box"/>
        <c:axId val="1851112384"/>
        <c:axId val="1851124384"/>
        <c:axId val="0"/>
      </c:bar3DChart>
      <c:catAx>
        <c:axId val="1851112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24384"/>
        <c:crosses val="autoZero"/>
        <c:auto val="1"/>
        <c:lblAlgn val="ctr"/>
        <c:lblOffset val="100"/>
        <c:noMultiLvlLbl val="0"/>
      </c:catAx>
      <c:valAx>
        <c:axId val="185112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1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Dashboard-up.xlsm]Monthly Performance Movement Tr!Monthly Performance Movement Trends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Monthly Performance Movement Trends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s>
    <c:plotArea>
      <c:layout/>
      <c:barChart>
        <c:barDir val="col"/>
        <c:grouping val="percentStacked"/>
        <c:varyColors val="0"/>
        <c:ser>
          <c:idx val="0"/>
          <c:order val="0"/>
          <c:tx>
            <c:strRef>
              <c:f>'Monthly Performance Movement Tr'!$B$3:$B$4</c:f>
              <c:strCache>
                <c:ptCount val="1"/>
                <c:pt idx="0">
                  <c:v>Dropped</c:v>
                </c:pt>
              </c:strCache>
            </c:strRef>
          </c:tx>
          <c:spPr>
            <a:solidFill>
              <a:srgbClr val="FF0000"/>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Tr'!$B$5:$B$13</c:f>
              <c:numCache>
                <c:formatCode>General</c:formatCode>
                <c:ptCount val="8"/>
                <c:pt idx="0">
                  <c:v>12</c:v>
                </c:pt>
                <c:pt idx="1">
                  <c:v>21</c:v>
                </c:pt>
                <c:pt idx="2">
                  <c:v>22</c:v>
                </c:pt>
                <c:pt idx="3">
                  <c:v>14</c:v>
                </c:pt>
                <c:pt idx="4">
                  <c:v>20</c:v>
                </c:pt>
                <c:pt idx="5">
                  <c:v>15</c:v>
                </c:pt>
                <c:pt idx="6">
                  <c:v>5</c:v>
                </c:pt>
                <c:pt idx="7">
                  <c:v>3</c:v>
                </c:pt>
              </c:numCache>
            </c:numRef>
          </c:val>
          <c:extLst>
            <c:ext xmlns:c16="http://schemas.microsoft.com/office/drawing/2014/chart" uri="{C3380CC4-5D6E-409C-BE32-E72D297353CC}">
              <c16:uniqueId val="{00000000-E99B-45AC-90AA-42C1A7A2057A}"/>
            </c:ext>
          </c:extLst>
        </c:ser>
        <c:ser>
          <c:idx val="1"/>
          <c:order val="1"/>
          <c:tx>
            <c:strRef>
              <c:f>'Monthly Performance Movement Tr'!$C$3:$C$4</c:f>
              <c:strCache>
                <c:ptCount val="1"/>
                <c:pt idx="0">
                  <c:v>Improved</c:v>
                </c:pt>
              </c:strCache>
            </c:strRef>
          </c:tx>
          <c:spPr>
            <a:solidFill>
              <a:schemeClr val="accent3">
                <a:lumMod val="60000"/>
                <a:lumOff val="40000"/>
              </a:schemeClr>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Tr'!$C$5:$C$13</c:f>
              <c:numCache>
                <c:formatCode>General</c:formatCode>
                <c:ptCount val="8"/>
                <c:pt idx="0">
                  <c:v>11</c:v>
                </c:pt>
                <c:pt idx="1">
                  <c:v>16</c:v>
                </c:pt>
                <c:pt idx="2">
                  <c:v>22</c:v>
                </c:pt>
                <c:pt idx="3">
                  <c:v>17</c:v>
                </c:pt>
                <c:pt idx="4">
                  <c:v>13</c:v>
                </c:pt>
                <c:pt idx="5">
                  <c:v>18</c:v>
                </c:pt>
                <c:pt idx="6">
                  <c:v>7</c:v>
                </c:pt>
                <c:pt idx="7">
                  <c:v>5</c:v>
                </c:pt>
              </c:numCache>
            </c:numRef>
          </c:val>
          <c:extLst>
            <c:ext xmlns:c16="http://schemas.microsoft.com/office/drawing/2014/chart" uri="{C3380CC4-5D6E-409C-BE32-E72D297353CC}">
              <c16:uniqueId val="{00000020-E99B-45AC-90AA-42C1A7A2057A}"/>
            </c:ext>
          </c:extLst>
        </c:ser>
        <c:ser>
          <c:idx val="2"/>
          <c:order val="2"/>
          <c:tx>
            <c:strRef>
              <c:f>'Monthly Performance Movement Tr'!$D$3:$D$4</c:f>
              <c:strCache>
                <c:ptCount val="1"/>
                <c:pt idx="0">
                  <c:v>Same</c:v>
                </c:pt>
              </c:strCache>
            </c:strRef>
          </c:tx>
          <c:spPr>
            <a:solidFill>
              <a:srgbClr val="FFC000"/>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Tr'!$D$5:$D$13</c:f>
              <c:numCache>
                <c:formatCode>General</c:formatCode>
                <c:ptCount val="8"/>
                <c:pt idx="0">
                  <c:v>163</c:v>
                </c:pt>
                <c:pt idx="1">
                  <c:v>221</c:v>
                </c:pt>
                <c:pt idx="2">
                  <c:v>274</c:v>
                </c:pt>
                <c:pt idx="3">
                  <c:v>227</c:v>
                </c:pt>
                <c:pt idx="4">
                  <c:v>178</c:v>
                </c:pt>
                <c:pt idx="5">
                  <c:v>195</c:v>
                </c:pt>
                <c:pt idx="6">
                  <c:v>162</c:v>
                </c:pt>
                <c:pt idx="7">
                  <c:v>76</c:v>
                </c:pt>
              </c:numCache>
            </c:numRef>
          </c:val>
          <c:extLst>
            <c:ext xmlns:c16="http://schemas.microsoft.com/office/drawing/2014/chart" uri="{C3380CC4-5D6E-409C-BE32-E72D297353CC}">
              <c16:uniqueId val="{00000021-E99B-45AC-90AA-42C1A7A2057A}"/>
            </c:ext>
          </c:extLst>
        </c:ser>
        <c:ser>
          <c:idx val="3"/>
          <c:order val="3"/>
          <c:tx>
            <c:strRef>
              <c:f>'Monthly Performance Movement Tr'!$E$3:$E$4</c:f>
              <c:strCache>
                <c:ptCount val="1"/>
                <c:pt idx="0">
                  <c:v>No data on previous month</c:v>
                </c:pt>
              </c:strCache>
            </c:strRef>
          </c:tx>
          <c:spPr>
            <a:solidFill>
              <a:schemeClr val="accent4"/>
            </a:solidFill>
            <a:ln>
              <a:noFill/>
            </a:ln>
            <a:effectLst/>
          </c:spPr>
          <c:invertIfNegative val="0"/>
          <c:cat>
            <c:strRef>
              <c:f>'Monthly Performance Movement Tr'!$A$5:$A$13</c:f>
              <c:strCache>
                <c:ptCount val="8"/>
                <c:pt idx="0">
                  <c:v>East of England</c:v>
                </c:pt>
                <c:pt idx="1">
                  <c:v>London</c:v>
                </c:pt>
                <c:pt idx="2">
                  <c:v>Midlands</c:v>
                </c:pt>
                <c:pt idx="3">
                  <c:v>North East and Yorkshire</c:v>
                </c:pt>
                <c:pt idx="4">
                  <c:v>North West</c:v>
                </c:pt>
                <c:pt idx="5">
                  <c:v>South East</c:v>
                </c:pt>
                <c:pt idx="6">
                  <c:v>South West</c:v>
                </c:pt>
                <c:pt idx="7">
                  <c:v>Special Health Authorities and other statutory bodies</c:v>
                </c:pt>
              </c:strCache>
            </c:strRef>
          </c:cat>
          <c:val>
            <c:numRef>
              <c:f>'Monthly Performance Movement Tr'!$E$5:$E$13</c:f>
              <c:numCache>
                <c:formatCode>General</c:formatCode>
                <c:ptCount val="8"/>
                <c:pt idx="0">
                  <c:v>31</c:v>
                </c:pt>
                <c:pt idx="1">
                  <c:v>43</c:v>
                </c:pt>
                <c:pt idx="2">
                  <c:v>53</c:v>
                </c:pt>
                <c:pt idx="3">
                  <c:v>43</c:v>
                </c:pt>
                <c:pt idx="4">
                  <c:v>36</c:v>
                </c:pt>
                <c:pt idx="5">
                  <c:v>38</c:v>
                </c:pt>
                <c:pt idx="6">
                  <c:v>29</c:v>
                </c:pt>
                <c:pt idx="7">
                  <c:v>15</c:v>
                </c:pt>
              </c:numCache>
            </c:numRef>
          </c:val>
          <c:extLst>
            <c:ext xmlns:c16="http://schemas.microsoft.com/office/drawing/2014/chart" uri="{C3380CC4-5D6E-409C-BE32-E72D297353CC}">
              <c16:uniqueId val="{00000022-E99B-45AC-90AA-42C1A7A2057A}"/>
            </c:ext>
          </c:extLst>
        </c:ser>
        <c:dLbls>
          <c:showLegendKey val="0"/>
          <c:showVal val="0"/>
          <c:showCatName val="0"/>
          <c:showSerName val="0"/>
          <c:showPercent val="0"/>
          <c:showBubbleSize val="0"/>
        </c:dLbls>
        <c:gapWidth val="150"/>
        <c:overlap val="100"/>
        <c:axId val="1851159904"/>
        <c:axId val="1851156064"/>
      </c:barChart>
      <c:catAx>
        <c:axId val="185115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6064"/>
        <c:crosses val="autoZero"/>
        <c:auto val="1"/>
        <c:lblAlgn val="ctr"/>
        <c:lblOffset val="100"/>
        <c:noMultiLvlLbl val="0"/>
      </c:catAx>
      <c:valAx>
        <c:axId val="1851156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9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Dashboard-up.xlsm]Average VPD Count By Quartile!PivotTable6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VPD Count By Quartile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pivotFmt>
      <c:pivotFmt>
        <c:idx val="2"/>
        <c:spPr>
          <a:solidFill>
            <a:schemeClr val="accent4">
              <a:lumMod val="40000"/>
              <a:lumOff val="60000"/>
            </a:schemeClr>
          </a:solidFill>
          <a:ln>
            <a:noFill/>
          </a:ln>
          <a:effectLst/>
        </c:spPr>
      </c:pivotFmt>
      <c:pivotFmt>
        <c:idx val="3"/>
        <c:spPr>
          <a:solidFill>
            <a:schemeClr val="accent4">
              <a:lumMod val="75000"/>
            </a:schemeClr>
          </a:solidFill>
          <a:ln>
            <a:noFill/>
          </a:ln>
          <a:effectLst/>
        </c:spPr>
      </c:pivotFmt>
      <c:pivotFmt>
        <c:idx val="4"/>
        <c:spPr>
          <a:solidFill>
            <a:schemeClr val="accent4">
              <a:lumMod val="20000"/>
              <a:lumOff val="80000"/>
            </a:schemeClr>
          </a:solidFill>
          <a:ln>
            <a:noFill/>
          </a:ln>
          <a:effectLst/>
        </c:spPr>
      </c:pivotFmt>
    </c:pivotFmts>
    <c:plotArea>
      <c:layout/>
      <c:barChart>
        <c:barDir val="col"/>
        <c:grouping val="clustered"/>
        <c:varyColors val="0"/>
        <c:ser>
          <c:idx val="0"/>
          <c:order val="0"/>
          <c:tx>
            <c:strRef>
              <c:f>'Average VPD Count By Quartile'!$B$1</c:f>
              <c:strCache>
                <c:ptCount val="1"/>
                <c:pt idx="0">
                  <c:v>Total</c:v>
                </c:pt>
              </c:strCache>
            </c:strRef>
          </c:tx>
          <c:spPr>
            <a:solidFill>
              <a:schemeClr val="accent4">
                <a:lumMod val="50000"/>
              </a:schemeClr>
            </a:solidFill>
            <a:ln>
              <a:noFill/>
            </a:ln>
            <a:effectLst/>
          </c:spPr>
          <c:invertIfNegative val="0"/>
          <c:dPt>
            <c:idx val="0"/>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5-5005-4C36-B826-462841AAFBF8}"/>
              </c:ext>
            </c:extLst>
          </c:dPt>
          <c:dPt>
            <c:idx val="1"/>
            <c:invertIfNegative val="0"/>
            <c:bubble3D val="0"/>
            <c:spPr>
              <a:solidFill>
                <a:schemeClr val="accent4">
                  <a:lumMod val="75000"/>
                </a:schemeClr>
              </a:solidFill>
              <a:ln>
                <a:noFill/>
              </a:ln>
              <a:effectLst/>
            </c:spPr>
            <c:extLst>
              <c:ext xmlns:c16="http://schemas.microsoft.com/office/drawing/2014/chart" uri="{C3380CC4-5D6E-409C-BE32-E72D297353CC}">
                <c16:uniqueId val="{00000004-5005-4C36-B826-462841AAFBF8}"/>
              </c:ext>
            </c:extLst>
          </c:dPt>
          <c:dPt>
            <c:idx val="2"/>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5005-4C36-B826-462841AAFBF8}"/>
              </c:ext>
            </c:extLst>
          </c:dPt>
          <c:cat>
            <c:strRef>
              <c:f>'Average VPD Count By Quartile'!$A$2:$A$6</c:f>
              <c:strCache>
                <c:ptCount val="4"/>
                <c:pt idx="0">
                  <c:v>FourthQuartile</c:v>
                </c:pt>
                <c:pt idx="1">
                  <c:v>SecondQuartile</c:v>
                </c:pt>
                <c:pt idx="2">
                  <c:v>ThirdQuartile</c:v>
                </c:pt>
                <c:pt idx="3">
                  <c:v>TopQuartile</c:v>
                </c:pt>
              </c:strCache>
            </c:strRef>
          </c:cat>
          <c:val>
            <c:numRef>
              <c:f>'Average VPD Count By Quartile'!$B$2:$B$6</c:f>
              <c:numCache>
                <c:formatCode>General</c:formatCode>
                <c:ptCount val="4"/>
                <c:pt idx="0">
                  <c:v>374.68620037807182</c:v>
                </c:pt>
                <c:pt idx="1">
                  <c:v>413.68836291913215</c:v>
                </c:pt>
                <c:pt idx="2">
                  <c:v>390.8365180467091</c:v>
                </c:pt>
                <c:pt idx="3">
                  <c:v>365.43775100401604</c:v>
                </c:pt>
              </c:numCache>
            </c:numRef>
          </c:val>
          <c:extLst>
            <c:ext xmlns:c16="http://schemas.microsoft.com/office/drawing/2014/chart" uri="{C3380CC4-5D6E-409C-BE32-E72D297353CC}">
              <c16:uniqueId val="{00000000-5005-4C36-B826-462841AAFBF8}"/>
            </c:ext>
          </c:extLst>
        </c:ser>
        <c:dLbls>
          <c:showLegendKey val="0"/>
          <c:showVal val="0"/>
          <c:showCatName val="0"/>
          <c:showSerName val="0"/>
          <c:showPercent val="0"/>
          <c:showBubbleSize val="0"/>
        </c:dLbls>
        <c:gapWidth val="219"/>
        <c:overlap val="-27"/>
        <c:axId val="1206467647"/>
        <c:axId val="1206469087"/>
      </c:barChart>
      <c:catAx>
        <c:axId val="120646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469087"/>
        <c:crosses val="autoZero"/>
        <c:auto val="1"/>
        <c:lblAlgn val="ctr"/>
        <c:lblOffset val="100"/>
        <c:noMultiLvlLbl val="0"/>
      </c:catAx>
      <c:valAx>
        <c:axId val="1206469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467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Dashboard-up.xlsm]Benchmark group distribut!Benchmark group distribut</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'Benchmark group distribut'!$B$3:$B$4</c:f>
              <c:strCache>
                <c:ptCount val="1"/>
                <c:pt idx="0">
                  <c:v>Acute-Large</c:v>
                </c:pt>
              </c:strCache>
            </c:strRef>
          </c:tx>
          <c:spPr>
            <a:ln w="28575" cap="rnd">
              <a:solidFill>
                <a:schemeClr val="accent1"/>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distribut'!$B$5:$B$12</c:f>
              <c:numCache>
                <c:formatCode>General</c:formatCode>
                <c:ptCount val="7"/>
                <c:pt idx="0">
                  <c:v>5</c:v>
                </c:pt>
                <c:pt idx="1">
                  <c:v>6</c:v>
                </c:pt>
                <c:pt idx="2">
                  <c:v>5</c:v>
                </c:pt>
                <c:pt idx="3">
                  <c:v>4</c:v>
                </c:pt>
                <c:pt idx="4">
                  <c:v>4</c:v>
                </c:pt>
                <c:pt idx="5">
                  <c:v>6</c:v>
                </c:pt>
                <c:pt idx="6">
                  <c:v>6</c:v>
                </c:pt>
              </c:numCache>
            </c:numRef>
          </c:val>
          <c:smooth val="0"/>
          <c:extLst>
            <c:ext xmlns:c16="http://schemas.microsoft.com/office/drawing/2014/chart" uri="{C3380CC4-5D6E-409C-BE32-E72D297353CC}">
              <c16:uniqueId val="{00000000-4C66-4B24-98FD-34D6BF302112}"/>
            </c:ext>
          </c:extLst>
        </c:ser>
        <c:ser>
          <c:idx val="1"/>
          <c:order val="1"/>
          <c:tx>
            <c:strRef>
              <c:f>'Benchmark group distribut'!$C$3:$C$4</c:f>
              <c:strCache>
                <c:ptCount val="1"/>
                <c:pt idx="0">
                  <c:v>Acute-Medium</c:v>
                </c:pt>
              </c:strCache>
            </c:strRef>
          </c:tx>
          <c:spPr>
            <a:ln w="28575" cap="rnd">
              <a:solidFill>
                <a:schemeClr val="accent2"/>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distribut'!$C$5:$C$12</c:f>
              <c:numCache>
                <c:formatCode>General</c:formatCode>
                <c:ptCount val="7"/>
                <c:pt idx="0">
                  <c:v>5</c:v>
                </c:pt>
                <c:pt idx="1">
                  <c:v>5</c:v>
                </c:pt>
                <c:pt idx="2">
                  <c:v>5</c:v>
                </c:pt>
                <c:pt idx="3">
                  <c:v>4</c:v>
                </c:pt>
                <c:pt idx="4">
                  <c:v>4</c:v>
                </c:pt>
                <c:pt idx="5">
                  <c:v>5</c:v>
                </c:pt>
                <c:pt idx="6">
                  <c:v>6</c:v>
                </c:pt>
              </c:numCache>
            </c:numRef>
          </c:val>
          <c:smooth val="0"/>
          <c:extLst>
            <c:ext xmlns:c16="http://schemas.microsoft.com/office/drawing/2014/chart" uri="{C3380CC4-5D6E-409C-BE32-E72D297353CC}">
              <c16:uniqueId val="{00000001-4C66-4B24-98FD-34D6BF302112}"/>
            </c:ext>
          </c:extLst>
        </c:ser>
        <c:ser>
          <c:idx val="2"/>
          <c:order val="2"/>
          <c:tx>
            <c:strRef>
              <c:f>'Benchmark group distribut'!$D$3:$D$4</c:f>
              <c:strCache>
                <c:ptCount val="1"/>
                <c:pt idx="0">
                  <c:v>Acute-Multi-Service</c:v>
                </c:pt>
              </c:strCache>
            </c:strRef>
          </c:tx>
          <c:spPr>
            <a:ln w="28575" cap="rnd">
              <a:solidFill>
                <a:schemeClr val="accent3"/>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distribut'!$D$5:$D$12</c:f>
              <c:numCache>
                <c:formatCode>General</c:formatCode>
                <c:ptCount val="7"/>
                <c:pt idx="0">
                  <c:v>3</c:v>
                </c:pt>
                <c:pt idx="1">
                  <c:v>2</c:v>
                </c:pt>
                <c:pt idx="2">
                  <c:v>3</c:v>
                </c:pt>
                <c:pt idx="3">
                  <c:v>3</c:v>
                </c:pt>
                <c:pt idx="4">
                  <c:v>3</c:v>
                </c:pt>
                <c:pt idx="5">
                  <c:v>2</c:v>
                </c:pt>
              </c:numCache>
            </c:numRef>
          </c:val>
          <c:smooth val="0"/>
          <c:extLst>
            <c:ext xmlns:c16="http://schemas.microsoft.com/office/drawing/2014/chart" uri="{C3380CC4-5D6E-409C-BE32-E72D297353CC}">
              <c16:uniqueId val="{00000002-4C66-4B24-98FD-34D6BF302112}"/>
            </c:ext>
          </c:extLst>
        </c:ser>
        <c:ser>
          <c:idx val="3"/>
          <c:order val="3"/>
          <c:tx>
            <c:strRef>
              <c:f>'Benchmark group distribut'!$E$3:$E$4</c:f>
              <c:strCache>
                <c:ptCount val="1"/>
                <c:pt idx="0">
                  <c:v>Acute-Small</c:v>
                </c:pt>
              </c:strCache>
            </c:strRef>
          </c:tx>
          <c:spPr>
            <a:ln w="28575" cap="rnd">
              <a:solidFill>
                <a:schemeClr val="accent4"/>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distribut'!$E$5:$E$12</c:f>
              <c:numCache>
                <c:formatCode>General</c:formatCode>
                <c:ptCount val="7"/>
                <c:pt idx="0">
                  <c:v>8</c:v>
                </c:pt>
                <c:pt idx="1">
                  <c:v>8</c:v>
                </c:pt>
                <c:pt idx="2">
                  <c:v>7</c:v>
                </c:pt>
                <c:pt idx="3">
                  <c:v>8</c:v>
                </c:pt>
                <c:pt idx="4">
                  <c:v>8</c:v>
                </c:pt>
                <c:pt idx="5">
                  <c:v>7</c:v>
                </c:pt>
                <c:pt idx="6">
                  <c:v>7</c:v>
                </c:pt>
              </c:numCache>
            </c:numRef>
          </c:val>
          <c:smooth val="0"/>
          <c:extLst>
            <c:ext xmlns:c16="http://schemas.microsoft.com/office/drawing/2014/chart" uri="{C3380CC4-5D6E-409C-BE32-E72D297353CC}">
              <c16:uniqueId val="{00000003-4C66-4B24-98FD-34D6BF302112}"/>
            </c:ext>
          </c:extLst>
        </c:ser>
        <c:ser>
          <c:idx val="4"/>
          <c:order val="4"/>
          <c:tx>
            <c:strRef>
              <c:f>'Benchmark group distribut'!$F$3:$F$4</c:f>
              <c:strCache>
                <c:ptCount val="1"/>
                <c:pt idx="0">
                  <c:v>Acute-Specialist</c:v>
                </c:pt>
              </c:strCache>
            </c:strRef>
          </c:tx>
          <c:spPr>
            <a:ln w="28575" cap="rnd">
              <a:solidFill>
                <a:schemeClr val="accent5"/>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distribut'!$F$5:$F$12</c:f>
              <c:numCache>
                <c:formatCode>General</c:formatCode>
                <c:ptCount val="7"/>
                <c:pt idx="0">
                  <c:v>5</c:v>
                </c:pt>
                <c:pt idx="1">
                  <c:v>4</c:v>
                </c:pt>
                <c:pt idx="2">
                  <c:v>6</c:v>
                </c:pt>
                <c:pt idx="3">
                  <c:v>5</c:v>
                </c:pt>
                <c:pt idx="4">
                  <c:v>5</c:v>
                </c:pt>
                <c:pt idx="5">
                  <c:v>4</c:v>
                </c:pt>
                <c:pt idx="6">
                  <c:v>4</c:v>
                </c:pt>
              </c:numCache>
            </c:numRef>
          </c:val>
          <c:smooth val="0"/>
          <c:extLst>
            <c:ext xmlns:c16="http://schemas.microsoft.com/office/drawing/2014/chart" uri="{C3380CC4-5D6E-409C-BE32-E72D297353CC}">
              <c16:uniqueId val="{00000004-4C66-4B24-98FD-34D6BF302112}"/>
            </c:ext>
          </c:extLst>
        </c:ser>
        <c:ser>
          <c:idx val="5"/>
          <c:order val="5"/>
          <c:tx>
            <c:strRef>
              <c:f>'Benchmark group distribut'!$G$3:$G$4</c:f>
              <c:strCache>
                <c:ptCount val="1"/>
                <c:pt idx="0">
                  <c:v>Acute-Teaching</c:v>
                </c:pt>
              </c:strCache>
            </c:strRef>
          </c:tx>
          <c:spPr>
            <a:ln w="28575" cap="rnd">
              <a:solidFill>
                <a:schemeClr val="accent6"/>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distribut'!$G$5:$G$12</c:f>
              <c:numCache>
                <c:formatCode>General</c:formatCode>
                <c:ptCount val="7"/>
                <c:pt idx="0">
                  <c:v>8</c:v>
                </c:pt>
                <c:pt idx="1">
                  <c:v>6</c:v>
                </c:pt>
                <c:pt idx="2">
                  <c:v>8</c:v>
                </c:pt>
                <c:pt idx="3">
                  <c:v>6</c:v>
                </c:pt>
                <c:pt idx="4">
                  <c:v>6</c:v>
                </c:pt>
                <c:pt idx="5">
                  <c:v>6</c:v>
                </c:pt>
                <c:pt idx="6">
                  <c:v>6</c:v>
                </c:pt>
              </c:numCache>
            </c:numRef>
          </c:val>
          <c:smooth val="0"/>
          <c:extLst>
            <c:ext xmlns:c16="http://schemas.microsoft.com/office/drawing/2014/chart" uri="{C3380CC4-5D6E-409C-BE32-E72D297353CC}">
              <c16:uniqueId val="{00000005-4C66-4B24-98FD-34D6BF302112}"/>
            </c:ext>
          </c:extLst>
        </c:ser>
        <c:ser>
          <c:idx val="6"/>
          <c:order val="6"/>
          <c:tx>
            <c:strRef>
              <c:f>'Benchmark group distribut'!$H$3:$H$4</c:f>
              <c:strCache>
                <c:ptCount val="1"/>
                <c:pt idx="0">
                  <c:v>CareTrust</c:v>
                </c:pt>
              </c:strCache>
            </c:strRef>
          </c:tx>
          <c:spPr>
            <a:ln w="28575" cap="rnd">
              <a:solidFill>
                <a:schemeClr val="accent1">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distribut'!$H$5:$H$12</c:f>
              <c:numCache>
                <c:formatCode>General</c:formatCode>
                <c:ptCount val="7"/>
                <c:pt idx="4">
                  <c:v>1</c:v>
                </c:pt>
                <c:pt idx="6">
                  <c:v>1</c:v>
                </c:pt>
              </c:numCache>
            </c:numRef>
          </c:val>
          <c:smooth val="0"/>
          <c:extLst>
            <c:ext xmlns:c16="http://schemas.microsoft.com/office/drawing/2014/chart" uri="{C3380CC4-5D6E-409C-BE32-E72D297353CC}">
              <c16:uniqueId val="{00000006-4C66-4B24-98FD-34D6BF302112}"/>
            </c:ext>
          </c:extLst>
        </c:ser>
        <c:ser>
          <c:idx val="7"/>
          <c:order val="7"/>
          <c:tx>
            <c:strRef>
              <c:f>'Benchmark group distribut'!$I$3:$I$4</c:f>
              <c:strCache>
                <c:ptCount val="1"/>
                <c:pt idx="0">
                  <c:v>CommissioningSupportUnit</c:v>
                </c:pt>
              </c:strCache>
            </c:strRef>
          </c:tx>
          <c:spPr>
            <a:ln w="28575" cap="rnd">
              <a:solidFill>
                <a:schemeClr val="accent2">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distribut'!$I$5:$I$12</c:f>
              <c:numCache>
                <c:formatCode>General</c:formatCode>
                <c:ptCount val="7"/>
                <c:pt idx="0">
                  <c:v>2</c:v>
                </c:pt>
                <c:pt idx="1">
                  <c:v>2</c:v>
                </c:pt>
                <c:pt idx="2">
                  <c:v>2</c:v>
                </c:pt>
                <c:pt idx="3">
                  <c:v>2</c:v>
                </c:pt>
                <c:pt idx="4">
                  <c:v>2</c:v>
                </c:pt>
                <c:pt idx="5">
                  <c:v>2</c:v>
                </c:pt>
                <c:pt idx="6">
                  <c:v>3</c:v>
                </c:pt>
              </c:numCache>
            </c:numRef>
          </c:val>
          <c:smooth val="0"/>
          <c:extLst>
            <c:ext xmlns:c16="http://schemas.microsoft.com/office/drawing/2014/chart" uri="{C3380CC4-5D6E-409C-BE32-E72D297353CC}">
              <c16:uniqueId val="{00000007-4C66-4B24-98FD-34D6BF302112}"/>
            </c:ext>
          </c:extLst>
        </c:ser>
        <c:ser>
          <c:idx val="8"/>
          <c:order val="8"/>
          <c:tx>
            <c:strRef>
              <c:f>'Benchmark group distribut'!$J$3:$J$4</c:f>
              <c:strCache>
                <c:ptCount val="1"/>
                <c:pt idx="0">
                  <c:v>CommunityProviderTrust</c:v>
                </c:pt>
              </c:strCache>
            </c:strRef>
          </c:tx>
          <c:spPr>
            <a:ln w="28575" cap="rnd">
              <a:solidFill>
                <a:schemeClr val="accent3">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distribut'!$J$5:$J$12</c:f>
              <c:numCache>
                <c:formatCode>General</c:formatCode>
                <c:ptCount val="7"/>
                <c:pt idx="0">
                  <c:v>8</c:v>
                </c:pt>
                <c:pt idx="1">
                  <c:v>7</c:v>
                </c:pt>
                <c:pt idx="2">
                  <c:v>6</c:v>
                </c:pt>
                <c:pt idx="3">
                  <c:v>8</c:v>
                </c:pt>
                <c:pt idx="4">
                  <c:v>5</c:v>
                </c:pt>
                <c:pt idx="5">
                  <c:v>8</c:v>
                </c:pt>
                <c:pt idx="6">
                  <c:v>9</c:v>
                </c:pt>
              </c:numCache>
            </c:numRef>
          </c:val>
          <c:smooth val="0"/>
          <c:extLst>
            <c:ext xmlns:c16="http://schemas.microsoft.com/office/drawing/2014/chart" uri="{C3380CC4-5D6E-409C-BE32-E72D297353CC}">
              <c16:uniqueId val="{00000008-4C66-4B24-98FD-34D6BF302112}"/>
            </c:ext>
          </c:extLst>
        </c:ser>
        <c:ser>
          <c:idx val="9"/>
          <c:order val="9"/>
          <c:tx>
            <c:strRef>
              <c:f>'Benchmark group distribut'!$K$3:$K$4</c:f>
              <c:strCache>
                <c:ptCount val="1"/>
                <c:pt idx="0">
                  <c:v>IntegratedCareBoard</c:v>
                </c:pt>
              </c:strCache>
            </c:strRef>
          </c:tx>
          <c:spPr>
            <a:ln w="28575" cap="rnd">
              <a:solidFill>
                <a:schemeClr val="accent4">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distribut'!$K$5:$K$12</c:f>
              <c:numCache>
                <c:formatCode>General</c:formatCode>
                <c:ptCount val="7"/>
                <c:pt idx="0">
                  <c:v>13</c:v>
                </c:pt>
                <c:pt idx="1">
                  <c:v>15</c:v>
                </c:pt>
                <c:pt idx="2">
                  <c:v>14</c:v>
                </c:pt>
                <c:pt idx="3">
                  <c:v>16</c:v>
                </c:pt>
                <c:pt idx="4">
                  <c:v>15</c:v>
                </c:pt>
                <c:pt idx="5">
                  <c:v>16</c:v>
                </c:pt>
                <c:pt idx="6">
                  <c:v>14</c:v>
                </c:pt>
              </c:numCache>
            </c:numRef>
          </c:val>
          <c:smooth val="0"/>
          <c:extLst>
            <c:ext xmlns:c16="http://schemas.microsoft.com/office/drawing/2014/chart" uri="{C3380CC4-5D6E-409C-BE32-E72D297353CC}">
              <c16:uniqueId val="{00000009-4C66-4B24-98FD-34D6BF302112}"/>
            </c:ext>
          </c:extLst>
        </c:ser>
        <c:ser>
          <c:idx val="10"/>
          <c:order val="10"/>
          <c:tx>
            <c:strRef>
              <c:f>'Benchmark group distribut'!$L$3:$L$4</c:f>
              <c:strCache>
                <c:ptCount val="1"/>
                <c:pt idx="0">
                  <c:v>MentalHealthandLearningDisability</c:v>
                </c:pt>
              </c:strCache>
            </c:strRef>
          </c:tx>
          <c:spPr>
            <a:ln w="28575" cap="rnd">
              <a:solidFill>
                <a:schemeClr val="accent5">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distribut'!$L$5:$L$12</c:f>
              <c:numCache>
                <c:formatCode>General</c:formatCode>
                <c:ptCount val="7"/>
                <c:pt idx="0">
                  <c:v>13</c:v>
                </c:pt>
                <c:pt idx="1">
                  <c:v>14</c:v>
                </c:pt>
                <c:pt idx="2">
                  <c:v>14</c:v>
                </c:pt>
                <c:pt idx="3">
                  <c:v>14</c:v>
                </c:pt>
                <c:pt idx="4">
                  <c:v>16</c:v>
                </c:pt>
                <c:pt idx="5">
                  <c:v>15</c:v>
                </c:pt>
                <c:pt idx="6">
                  <c:v>14</c:v>
                </c:pt>
              </c:numCache>
            </c:numRef>
          </c:val>
          <c:smooth val="0"/>
          <c:extLst>
            <c:ext xmlns:c16="http://schemas.microsoft.com/office/drawing/2014/chart" uri="{C3380CC4-5D6E-409C-BE32-E72D297353CC}">
              <c16:uniqueId val="{0000000A-4C66-4B24-98FD-34D6BF302112}"/>
            </c:ext>
          </c:extLst>
        </c:ser>
        <c:ser>
          <c:idx val="11"/>
          <c:order val="11"/>
          <c:tx>
            <c:strRef>
              <c:f>'Benchmark group distribut'!$M$3:$M$4</c:f>
              <c:strCache>
                <c:ptCount val="1"/>
                <c:pt idx="0">
                  <c:v>Others</c:v>
                </c:pt>
              </c:strCache>
            </c:strRef>
          </c:tx>
          <c:spPr>
            <a:ln w="28575" cap="rnd">
              <a:solidFill>
                <a:schemeClr val="accent6">
                  <a:lumMod val="60000"/>
                </a:schemeClr>
              </a:solidFill>
              <a:round/>
            </a:ln>
            <a:effectLst/>
          </c:spPr>
          <c:marker>
            <c:symbol val="none"/>
          </c:marker>
          <c:cat>
            <c:strRef>
              <c:f>'Benchmark group distribut'!$A$5:$A$12</c:f>
              <c:strCache>
                <c:ptCount val="7"/>
                <c:pt idx="0">
                  <c:v>Jan</c:v>
                </c:pt>
                <c:pt idx="1">
                  <c:v>Feb</c:v>
                </c:pt>
                <c:pt idx="2">
                  <c:v>Mar</c:v>
                </c:pt>
                <c:pt idx="3">
                  <c:v>Apr</c:v>
                </c:pt>
                <c:pt idx="4">
                  <c:v>May</c:v>
                </c:pt>
                <c:pt idx="5">
                  <c:v>Jun</c:v>
                </c:pt>
                <c:pt idx="6">
                  <c:v>Jul</c:v>
                </c:pt>
              </c:strCache>
            </c:strRef>
          </c:cat>
          <c:val>
            <c:numRef>
              <c:f>'Benchmark group distribut'!$M$5:$M$12</c:f>
              <c:numCache>
                <c:formatCode>General</c:formatCode>
                <c:ptCount val="7"/>
                <c:pt idx="0">
                  <c:v>1</c:v>
                </c:pt>
                <c:pt idx="1">
                  <c:v>2</c:v>
                </c:pt>
                <c:pt idx="2">
                  <c:v>1</c:v>
                </c:pt>
                <c:pt idx="3">
                  <c:v>1</c:v>
                </c:pt>
                <c:pt idx="4">
                  <c:v>2</c:v>
                </c:pt>
                <c:pt idx="5">
                  <c:v>1</c:v>
                </c:pt>
                <c:pt idx="6">
                  <c:v>1</c:v>
                </c:pt>
              </c:numCache>
            </c:numRef>
          </c:val>
          <c:smooth val="0"/>
          <c:extLst>
            <c:ext xmlns:c16="http://schemas.microsoft.com/office/drawing/2014/chart" uri="{C3380CC4-5D6E-409C-BE32-E72D297353CC}">
              <c16:uniqueId val="{0000000E-4C66-4B24-98FD-34D6BF302112}"/>
            </c:ext>
          </c:extLst>
        </c:ser>
        <c:dLbls>
          <c:showLegendKey val="0"/>
          <c:showVal val="0"/>
          <c:showCatName val="0"/>
          <c:showSerName val="0"/>
          <c:showPercent val="0"/>
          <c:showBubbleSize val="0"/>
        </c:dLbls>
        <c:smooth val="0"/>
        <c:axId val="1851151264"/>
        <c:axId val="1851148864"/>
      </c:lineChart>
      <c:catAx>
        <c:axId val="185115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48864"/>
        <c:crosses val="autoZero"/>
        <c:auto val="1"/>
        <c:lblAlgn val="ctr"/>
        <c:lblOffset val="100"/>
        <c:noMultiLvlLbl val="0"/>
      </c:catAx>
      <c:valAx>
        <c:axId val="185114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15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[WoVen Score Dashboard-up.xlsm]Records submitted!PivotTable9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'Records submitted'!$B$1</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cat>
            <c:strRef>
              <c:f>'Records submitted'!$A$2:$A$9</c:f>
              <c:strCache>
                <c:ptCount val="7"/>
                <c:pt idx="0">
                  <c:v>Jan</c:v>
                </c:pt>
                <c:pt idx="1">
                  <c:v>Feb</c:v>
                </c:pt>
                <c:pt idx="2">
                  <c:v>Mar</c:v>
                </c:pt>
                <c:pt idx="3">
                  <c:v>Apr</c:v>
                </c:pt>
                <c:pt idx="4">
                  <c:v>May</c:v>
                </c:pt>
                <c:pt idx="5">
                  <c:v>Jun</c:v>
                </c:pt>
                <c:pt idx="6">
                  <c:v>Jul</c:v>
                </c:pt>
              </c:strCache>
            </c:strRef>
          </c:cat>
          <c:val>
            <c:numRef>
              <c:f>'Records submitted'!$B$2:$B$9</c:f>
              <c:numCache>
                <c:formatCode>General</c:formatCode>
                <c:ptCount val="7"/>
                <c:pt idx="0">
                  <c:v>288</c:v>
                </c:pt>
                <c:pt idx="1">
                  <c:v>287</c:v>
                </c:pt>
                <c:pt idx="2">
                  <c:v>286</c:v>
                </c:pt>
                <c:pt idx="3">
                  <c:v>286</c:v>
                </c:pt>
                <c:pt idx="4">
                  <c:v>286</c:v>
                </c:pt>
                <c:pt idx="5">
                  <c:v>286</c:v>
                </c:pt>
                <c:pt idx="6">
                  <c:v>286</c:v>
                </c:pt>
              </c:numCache>
            </c:numRef>
          </c:val>
          <c:extLst>
            <c:ext xmlns:c16="http://schemas.microsoft.com/office/drawing/2014/chart" uri="{C3380CC4-5D6E-409C-BE32-E72D297353CC}">
              <c16:uniqueId val="{00000000-6490-4DED-9185-79AD5272B61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944880</xdr:colOff>
      <xdr:row>0</xdr:row>
      <xdr:rowOff>723900</xdr:rowOff>
    </xdr:to>
    <xdr:pic>
      <xdr:nvPicPr>
        <xdr:cNvPr id="1029" name="Picture 0">
          <a:extLst>
            <a:ext uri="{FF2B5EF4-FFF2-40B4-BE49-F238E27FC236}">
              <a16:creationId xmlns:a16="http://schemas.microsoft.com/office/drawing/2014/main" id="{1D38F982-D85D-E9F1-851A-2738A598D2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82200" y="0"/>
          <a:ext cx="9448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17</xdr:row>
      <xdr:rowOff>0</xdr:rowOff>
    </xdr:from>
    <xdr:to>
      <xdr:col>1</xdr:col>
      <xdr:colOff>807720</xdr:colOff>
      <xdr:row>17</xdr:row>
      <xdr:rowOff>327660</xdr:rowOff>
    </xdr:to>
    <xdr:pic>
      <xdr:nvPicPr>
        <xdr:cNvPr id="1030" name="Picture 1">
          <a:extLst>
            <a:ext uri="{FF2B5EF4-FFF2-40B4-BE49-F238E27FC236}">
              <a16:creationId xmlns:a16="http://schemas.microsoft.com/office/drawing/2014/main" id="{B97B0C0B-F42E-F6C0-5079-53F7F3080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8140" y="4206240"/>
          <a:ext cx="807720" cy="327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0</xdr:row>
      <xdr:rowOff>7620</xdr:rowOff>
    </xdr:from>
    <xdr:to>
      <xdr:col>23</xdr:col>
      <xdr:colOff>0</xdr:colOff>
      <xdr:row>28</xdr:row>
      <xdr:rowOff>0</xdr:rowOff>
    </xdr:to>
    <xdr:sp macro="" textlink="">
      <xdr:nvSpPr>
        <xdr:cNvPr id="2" name="Rectangle 1">
          <a:extLst>
            <a:ext uri="{FF2B5EF4-FFF2-40B4-BE49-F238E27FC236}">
              <a16:creationId xmlns:a16="http://schemas.microsoft.com/office/drawing/2014/main" id="{889AC66B-A719-802C-29E6-FE285B72DDD6}"/>
            </a:ext>
          </a:extLst>
        </xdr:cNvPr>
        <xdr:cNvSpPr/>
      </xdr:nvSpPr>
      <xdr:spPr>
        <a:xfrm>
          <a:off x="15240" y="7620"/>
          <a:ext cx="14005560" cy="46863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53340</xdr:colOff>
      <xdr:row>3</xdr:row>
      <xdr:rowOff>160020</xdr:rowOff>
    </xdr:from>
    <xdr:to>
      <xdr:col>22</xdr:col>
      <xdr:colOff>563880</xdr:colOff>
      <xdr:row>3</xdr:row>
      <xdr:rowOff>160020</xdr:rowOff>
    </xdr:to>
    <xdr:cxnSp macro="">
      <xdr:nvCxnSpPr>
        <xdr:cNvPr id="4" name="Straight Connector 3">
          <a:extLst>
            <a:ext uri="{FF2B5EF4-FFF2-40B4-BE49-F238E27FC236}">
              <a16:creationId xmlns:a16="http://schemas.microsoft.com/office/drawing/2014/main" id="{BB416EBE-3A1D-7A26-04CD-FE931359ED50}"/>
            </a:ext>
          </a:extLst>
        </xdr:cNvPr>
        <xdr:cNvCxnSpPr/>
      </xdr:nvCxnSpPr>
      <xdr:spPr>
        <a:xfrm>
          <a:off x="53340" y="662940"/>
          <a:ext cx="13921740" cy="0"/>
        </a:xfrm>
        <a:prstGeom prst="line">
          <a:avLst/>
        </a:prstGeom>
        <a:ln>
          <a:solidFill>
            <a:schemeClr val="bg2">
              <a:lumMod val="5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83820</xdr:colOff>
      <xdr:row>0</xdr:row>
      <xdr:rowOff>53340</xdr:rowOff>
    </xdr:from>
    <xdr:to>
      <xdr:col>2</xdr:col>
      <xdr:colOff>472440</xdr:colOff>
      <xdr:row>3</xdr:row>
      <xdr:rowOff>121920</xdr:rowOff>
    </xdr:to>
    <xdr:sp macro="" textlink="">
      <xdr:nvSpPr>
        <xdr:cNvPr id="5" name="Rectangle 4">
          <a:extLst>
            <a:ext uri="{FF2B5EF4-FFF2-40B4-BE49-F238E27FC236}">
              <a16:creationId xmlns:a16="http://schemas.microsoft.com/office/drawing/2014/main" id="{BF7A11D1-1FF6-A440-3136-60ECF8783E32}"/>
            </a:ext>
          </a:extLst>
        </xdr:cNvPr>
        <xdr:cNvSpPr/>
      </xdr:nvSpPr>
      <xdr:spPr>
        <a:xfrm>
          <a:off x="83820" y="53340"/>
          <a:ext cx="1607820" cy="5715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chemeClr val="tx1"/>
              </a:solidFill>
            </a:rPr>
            <a:t>Total Organisation</a:t>
          </a:r>
        </a:p>
      </xdr:txBody>
    </xdr:sp>
    <xdr:clientData/>
  </xdr:twoCellAnchor>
  <xdr:twoCellAnchor>
    <xdr:from>
      <xdr:col>2</xdr:col>
      <xdr:colOff>472440</xdr:colOff>
      <xdr:row>0</xdr:row>
      <xdr:rowOff>53340</xdr:rowOff>
    </xdr:from>
    <xdr:to>
      <xdr:col>4</xdr:col>
      <xdr:colOff>236220</xdr:colOff>
      <xdr:row>3</xdr:row>
      <xdr:rowOff>121920</xdr:rowOff>
    </xdr:to>
    <xdr:sp macro="" textlink="">
      <xdr:nvSpPr>
        <xdr:cNvPr id="6" name="Rectangle 5">
          <a:extLst>
            <a:ext uri="{FF2B5EF4-FFF2-40B4-BE49-F238E27FC236}">
              <a16:creationId xmlns:a16="http://schemas.microsoft.com/office/drawing/2014/main" id="{A7745CCC-48DB-4C4B-A4BF-E377851F9A43}"/>
            </a:ext>
          </a:extLst>
        </xdr:cNvPr>
        <xdr:cNvSpPr/>
      </xdr:nvSpPr>
      <xdr:spPr>
        <a:xfrm>
          <a:off x="1691640" y="53340"/>
          <a:ext cx="982980" cy="5715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2005</a:t>
          </a:r>
        </a:p>
      </xdr:txBody>
    </xdr:sp>
    <xdr:clientData/>
  </xdr:twoCellAnchor>
  <xdr:twoCellAnchor>
    <xdr:from>
      <xdr:col>0</xdr:col>
      <xdr:colOff>76200</xdr:colOff>
      <xdr:row>4</xdr:row>
      <xdr:rowOff>22860</xdr:rowOff>
    </xdr:from>
    <xdr:to>
      <xdr:col>8</xdr:col>
      <xdr:colOff>350520</xdr:colOff>
      <xdr:row>16</xdr:row>
      <xdr:rowOff>106680</xdr:rowOff>
    </xdr:to>
    <xdr:graphicFrame macro="">
      <xdr:nvGraphicFramePr>
        <xdr:cNvPr id="7" name="Chart 6">
          <a:extLst>
            <a:ext uri="{FF2B5EF4-FFF2-40B4-BE49-F238E27FC236}">
              <a16:creationId xmlns:a16="http://schemas.microsoft.com/office/drawing/2014/main" id="{6B991FBB-B69C-4122-A8BE-2714CD692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259080</xdr:colOff>
      <xdr:row>4</xdr:row>
      <xdr:rowOff>22860</xdr:rowOff>
    </xdr:from>
    <xdr:to>
      <xdr:col>17</xdr:col>
      <xdr:colOff>579120</xdr:colOff>
      <xdr:row>27</xdr:row>
      <xdr:rowOff>144780</xdr:rowOff>
    </xdr:to>
    <xdr:graphicFrame macro="">
      <xdr:nvGraphicFramePr>
        <xdr:cNvPr id="11" name="High Performing Org Based on VPD Score">
          <a:extLst>
            <a:ext uri="{FF2B5EF4-FFF2-40B4-BE49-F238E27FC236}">
              <a16:creationId xmlns:a16="http://schemas.microsoft.com/office/drawing/2014/main" id="{10A22A72-F6DD-45FF-914C-6FE1B2594C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586740</xdr:colOff>
      <xdr:row>4</xdr:row>
      <xdr:rowOff>22860</xdr:rowOff>
    </xdr:from>
    <xdr:to>
      <xdr:col>22</xdr:col>
      <xdr:colOff>571500</xdr:colOff>
      <xdr:row>15</xdr:row>
      <xdr:rowOff>15240</xdr:rowOff>
    </xdr:to>
    <xdr:graphicFrame macro="">
      <xdr:nvGraphicFramePr>
        <xdr:cNvPr id="13" name="Average VPD Count By Quartile">
          <a:extLst>
            <a:ext uri="{FF2B5EF4-FFF2-40B4-BE49-F238E27FC236}">
              <a16:creationId xmlns:a16="http://schemas.microsoft.com/office/drawing/2014/main" id="{9685616F-7DB9-4C87-B83F-236324F8C3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76201</xdr:colOff>
      <xdr:row>16</xdr:row>
      <xdr:rowOff>114300</xdr:rowOff>
    </xdr:from>
    <xdr:to>
      <xdr:col>12</xdr:col>
      <xdr:colOff>251461</xdr:colOff>
      <xdr:row>27</xdr:row>
      <xdr:rowOff>142631</xdr:rowOff>
    </xdr:to>
    <xdr:graphicFrame macro="">
      <xdr:nvGraphicFramePr>
        <xdr:cNvPr id="14" name="Chart 13">
          <a:extLst>
            <a:ext uri="{FF2B5EF4-FFF2-40B4-BE49-F238E27FC236}">
              <a16:creationId xmlns:a16="http://schemas.microsoft.com/office/drawing/2014/main" id="{A71CD776-EF60-4BB3-A271-59803C3364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579120</xdr:colOff>
      <xdr:row>15</xdr:row>
      <xdr:rowOff>22861</xdr:rowOff>
    </xdr:from>
    <xdr:to>
      <xdr:col>22</xdr:col>
      <xdr:colOff>579120</xdr:colOff>
      <xdr:row>27</xdr:row>
      <xdr:rowOff>129540</xdr:rowOff>
    </xdr:to>
    <xdr:graphicFrame macro="">
      <xdr:nvGraphicFramePr>
        <xdr:cNvPr id="15" name="Chart 14">
          <a:extLst>
            <a:ext uri="{FF2B5EF4-FFF2-40B4-BE49-F238E27FC236}">
              <a16:creationId xmlns:a16="http://schemas.microsoft.com/office/drawing/2014/main" id="{A4F9DF83-15CC-4083-8A6D-D48CB3049D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289560</xdr:colOff>
      <xdr:row>0</xdr:row>
      <xdr:rowOff>45720</xdr:rowOff>
    </xdr:from>
    <xdr:to>
      <xdr:col>11</xdr:col>
      <xdr:colOff>243840</xdr:colOff>
      <xdr:row>3</xdr:row>
      <xdr:rowOff>121920</xdr:rowOff>
    </xdr:to>
    <xdr:sp macro="" textlink="">
      <xdr:nvSpPr>
        <xdr:cNvPr id="18" name="Rectangle 17">
          <a:extLst>
            <a:ext uri="{FF2B5EF4-FFF2-40B4-BE49-F238E27FC236}">
              <a16:creationId xmlns:a16="http://schemas.microsoft.com/office/drawing/2014/main" id="{5EFF709E-1E5E-4C1C-7E75-B07A163AB00A}"/>
            </a:ext>
          </a:extLst>
        </xdr:cNvPr>
        <xdr:cNvSpPr/>
      </xdr:nvSpPr>
      <xdr:spPr>
        <a:xfrm>
          <a:off x="2727960" y="45720"/>
          <a:ext cx="4221480" cy="57912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rPr>
            <a:t>Note: WoVEn quartiles are diagnostic indicators, not rankings. These insights support improvement of workforce data quality</a:t>
          </a:r>
          <a:r>
            <a:rPr lang="en-GB" sz="1100">
              <a:solidFill>
                <a:schemeClr val="lt1"/>
              </a:solidFill>
            </a:rPr>
            <a:t>.</a:t>
          </a:r>
          <a:endParaRPr lang="en-GB" sz="1100"/>
        </a:p>
      </xdr:txBody>
    </xdr:sp>
    <xdr:clientData/>
  </xdr:twoCellAnchor>
  <xdr:twoCellAnchor>
    <xdr:from>
      <xdr:col>8</xdr:col>
      <xdr:colOff>365760</xdr:colOff>
      <xdr:row>4</xdr:row>
      <xdr:rowOff>22860</xdr:rowOff>
    </xdr:from>
    <xdr:to>
      <xdr:col>12</xdr:col>
      <xdr:colOff>251460</xdr:colOff>
      <xdr:row>16</xdr:row>
      <xdr:rowOff>106680</xdr:rowOff>
    </xdr:to>
    <xdr:graphicFrame macro="">
      <xdr:nvGraphicFramePr>
        <xdr:cNvPr id="19" name="Chart 18">
          <a:extLst>
            <a:ext uri="{FF2B5EF4-FFF2-40B4-BE49-F238E27FC236}">
              <a16:creationId xmlns:a16="http://schemas.microsoft.com/office/drawing/2014/main" id="{ADB8D595-2DE8-4F5D-92EF-738C4AADAD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304800</xdr:colOff>
      <xdr:row>0</xdr:row>
      <xdr:rowOff>53341</xdr:rowOff>
    </xdr:from>
    <xdr:to>
      <xdr:col>22</xdr:col>
      <xdr:colOff>571500</xdr:colOff>
      <xdr:row>3</xdr:row>
      <xdr:rowOff>121921</xdr:rowOff>
    </xdr:to>
    <mc:AlternateContent xmlns:mc="http://schemas.openxmlformats.org/markup-compatibility/2006">
      <mc:Choice xmlns:a14="http://schemas.microsoft.com/office/drawing/2010/main" Requires="a14">
        <xdr:graphicFrame macro="">
          <xdr:nvGraphicFramePr>
            <xdr:cNvPr id="20" name="Months (YearMonth) 2">
              <a:extLst>
                <a:ext uri="{FF2B5EF4-FFF2-40B4-BE49-F238E27FC236}">
                  <a16:creationId xmlns:a16="http://schemas.microsoft.com/office/drawing/2014/main" id="{439FC360-F0AE-4A9D-ADD0-F5D0087BED71}"/>
                </a:ext>
              </a:extLst>
            </xdr:cNvPr>
            <xdr:cNvGraphicFramePr/>
          </xdr:nvGraphicFramePr>
          <xdr:xfrm>
            <a:off x="0" y="0"/>
            <a:ext cx="0" cy="0"/>
          </xdr:xfrm>
          <a:graphic>
            <a:graphicData uri="http://schemas.microsoft.com/office/drawing/2010/slicer">
              <sle:slicer xmlns:sle="http://schemas.microsoft.com/office/drawing/2010/slicer" name="Months (YearMonth) 2"/>
            </a:graphicData>
          </a:graphic>
        </xdr:graphicFrame>
      </mc:Choice>
      <mc:Fallback>
        <xdr:sp macro="" textlink="">
          <xdr:nvSpPr>
            <xdr:cNvPr id="0" name=""/>
            <xdr:cNvSpPr>
              <a:spLocks noTextEdit="1"/>
            </xdr:cNvSpPr>
          </xdr:nvSpPr>
          <xdr:spPr>
            <a:xfrm>
              <a:off x="7010400" y="53341"/>
              <a:ext cx="6972300" cy="571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457200</xdr:colOff>
      <xdr:row>0</xdr:row>
      <xdr:rowOff>76200</xdr:rowOff>
    </xdr:from>
    <xdr:to>
      <xdr:col>4</xdr:col>
      <xdr:colOff>228600</xdr:colOff>
      <xdr:row>3</xdr:row>
      <xdr:rowOff>106680</xdr:rowOff>
    </xdr:to>
    <xdr:sp macro="" textlink="'Total Org Analysed'!B6">
      <xdr:nvSpPr>
        <xdr:cNvPr id="22" name="TextBox 21">
          <a:extLst>
            <a:ext uri="{FF2B5EF4-FFF2-40B4-BE49-F238E27FC236}">
              <a16:creationId xmlns:a16="http://schemas.microsoft.com/office/drawing/2014/main" id="{F1872B8E-D9E1-8BA2-4E07-274B780D109B}"/>
            </a:ext>
          </a:extLst>
        </xdr:cNvPr>
        <xdr:cNvSpPr txBox="1"/>
      </xdr:nvSpPr>
      <xdr:spPr>
        <a:xfrm>
          <a:off x="1676400" y="76200"/>
          <a:ext cx="990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7B3A376-5A23-4564-AE17-34DF1D09551C}" type="TxLink">
            <a:rPr lang="en-US" sz="1800" b="0" i="0" u="none" strike="noStrike">
              <a:solidFill>
                <a:srgbClr val="000000"/>
              </a:solidFill>
              <a:latin typeface="Arial"/>
              <a:cs typeface="Arial"/>
            </a:rPr>
            <a:pPr algn="ctr"/>
            <a:t>2005</a:t>
          </a:fld>
          <a:endParaRPr lang="en-GB" sz="2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415290</xdr:colOff>
      <xdr:row>73</xdr:row>
      <xdr:rowOff>125730</xdr:rowOff>
    </xdr:from>
    <xdr:to>
      <xdr:col>2</xdr:col>
      <xdr:colOff>217170</xdr:colOff>
      <xdr:row>90</xdr:row>
      <xdr:rowOff>19050</xdr:rowOff>
    </xdr:to>
    <xdr:graphicFrame macro="">
      <xdr:nvGraphicFramePr>
        <xdr:cNvPr id="2" name="Chart 1">
          <a:extLst>
            <a:ext uri="{FF2B5EF4-FFF2-40B4-BE49-F238E27FC236}">
              <a16:creationId xmlns:a16="http://schemas.microsoft.com/office/drawing/2014/main" id="{5AB1C77D-BD0E-01E8-1CCF-FAF840577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87630</xdr:colOff>
      <xdr:row>13</xdr:row>
      <xdr:rowOff>19050</xdr:rowOff>
    </xdr:from>
    <xdr:to>
      <xdr:col>2</xdr:col>
      <xdr:colOff>247650</xdr:colOff>
      <xdr:row>29</xdr:row>
      <xdr:rowOff>80010</xdr:rowOff>
    </xdr:to>
    <xdr:graphicFrame macro="">
      <xdr:nvGraphicFramePr>
        <xdr:cNvPr id="4" name="High Performing Org Based on VPD Score">
          <a:extLst>
            <a:ext uri="{FF2B5EF4-FFF2-40B4-BE49-F238E27FC236}">
              <a16:creationId xmlns:a16="http://schemas.microsoft.com/office/drawing/2014/main" id="{D9DE1E13-C53F-0EF2-F84C-9CE60D6E9A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80010</xdr:colOff>
      <xdr:row>11</xdr:row>
      <xdr:rowOff>102870</xdr:rowOff>
    </xdr:from>
    <xdr:to>
      <xdr:col>4</xdr:col>
      <xdr:colOff>483870</xdr:colOff>
      <xdr:row>27</xdr:row>
      <xdr:rowOff>163830</xdr:rowOff>
    </xdr:to>
    <xdr:graphicFrame macro="">
      <xdr:nvGraphicFramePr>
        <xdr:cNvPr id="2" name="Chart 1">
          <a:extLst>
            <a:ext uri="{FF2B5EF4-FFF2-40B4-BE49-F238E27FC236}">
              <a16:creationId xmlns:a16="http://schemas.microsoft.com/office/drawing/2014/main" id="{CFAE2691-230C-9623-28AE-B425F867CC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15</xdr:row>
      <xdr:rowOff>11820</xdr:rowOff>
    </xdr:from>
    <xdr:to>
      <xdr:col>7</xdr:col>
      <xdr:colOff>254000</xdr:colOff>
      <xdr:row>31</xdr:row>
      <xdr:rowOff>71217</xdr:rowOff>
    </xdr:to>
    <xdr:graphicFrame macro="">
      <xdr:nvGraphicFramePr>
        <xdr:cNvPr id="2" name="Chart 1">
          <a:extLst>
            <a:ext uri="{FF2B5EF4-FFF2-40B4-BE49-F238E27FC236}">
              <a16:creationId xmlns:a16="http://schemas.microsoft.com/office/drawing/2014/main" id="{5ADB674A-EBCE-88DA-82B6-036E74851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87630</xdr:colOff>
      <xdr:row>7</xdr:row>
      <xdr:rowOff>95250</xdr:rowOff>
    </xdr:from>
    <xdr:to>
      <xdr:col>6</xdr:col>
      <xdr:colOff>209550</xdr:colOff>
      <xdr:row>23</xdr:row>
      <xdr:rowOff>156210</xdr:rowOff>
    </xdr:to>
    <xdr:graphicFrame macro="">
      <xdr:nvGraphicFramePr>
        <xdr:cNvPr id="2" name="Average VPD Count By Quartile">
          <a:extLst>
            <a:ext uri="{FF2B5EF4-FFF2-40B4-BE49-F238E27FC236}">
              <a16:creationId xmlns:a16="http://schemas.microsoft.com/office/drawing/2014/main" id="{1B34FADE-4D04-9B0B-2687-15692C39FD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11430</xdr:colOff>
      <xdr:row>12</xdr:row>
      <xdr:rowOff>95250</xdr:rowOff>
    </xdr:from>
    <xdr:to>
      <xdr:col>4</xdr:col>
      <xdr:colOff>102870</xdr:colOff>
      <xdr:row>28</xdr:row>
      <xdr:rowOff>156210</xdr:rowOff>
    </xdr:to>
    <xdr:graphicFrame macro="">
      <xdr:nvGraphicFramePr>
        <xdr:cNvPr id="2" name="Chart 1">
          <a:extLst>
            <a:ext uri="{FF2B5EF4-FFF2-40B4-BE49-F238E27FC236}">
              <a16:creationId xmlns:a16="http://schemas.microsoft.com/office/drawing/2014/main" id="{0F67AFDF-9DBD-7393-6349-F8F879F951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144780</xdr:colOff>
      <xdr:row>7</xdr:row>
      <xdr:rowOff>87630</xdr:rowOff>
    </xdr:from>
    <xdr:to>
      <xdr:col>11</xdr:col>
      <xdr:colOff>449580</xdr:colOff>
      <xdr:row>23</xdr:row>
      <xdr:rowOff>148590</xdr:rowOff>
    </xdr:to>
    <xdr:graphicFrame macro="">
      <xdr:nvGraphicFramePr>
        <xdr:cNvPr id="2" name="Chart 1">
          <a:extLst>
            <a:ext uri="{FF2B5EF4-FFF2-40B4-BE49-F238E27FC236}">
              <a16:creationId xmlns:a16="http://schemas.microsoft.com/office/drawing/2014/main" id="{AAD5821D-A9E6-BA1C-002B-A8F7C2153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434340</xdr:colOff>
      <xdr:row>6</xdr:row>
      <xdr:rowOff>68580</xdr:rowOff>
    </xdr:from>
    <xdr:to>
      <xdr:col>15</xdr:col>
      <xdr:colOff>434340</xdr:colOff>
      <xdr:row>19</xdr:row>
      <xdr:rowOff>127635</xdr:rowOff>
    </xdr:to>
    <mc:AlternateContent xmlns:mc="http://schemas.openxmlformats.org/markup-compatibility/2006">
      <mc:Choice xmlns:a14="http://schemas.microsoft.com/office/drawing/2010/main" Requires="a14">
        <xdr:graphicFrame macro="">
          <xdr:nvGraphicFramePr>
            <xdr:cNvPr id="3" name="Months (YearMonth) 1">
              <a:extLst>
                <a:ext uri="{FF2B5EF4-FFF2-40B4-BE49-F238E27FC236}">
                  <a16:creationId xmlns:a16="http://schemas.microsoft.com/office/drawing/2014/main" id="{486A231A-943F-F0E2-8FE0-D5B4C5465AAD}"/>
                </a:ext>
              </a:extLst>
            </xdr:cNvPr>
            <xdr:cNvGraphicFramePr/>
          </xdr:nvGraphicFramePr>
          <xdr:xfrm>
            <a:off x="0" y="0"/>
            <a:ext cx="0" cy="0"/>
          </xdr:xfrm>
          <a:graphic>
            <a:graphicData uri="http://schemas.microsoft.com/office/drawing/2010/slicer">
              <sle:slicer xmlns:sle="http://schemas.microsoft.com/office/drawing/2010/slicer" name="Months (YearMonth) 1"/>
            </a:graphicData>
          </a:graphic>
        </xdr:graphicFrame>
      </mc:Choice>
      <mc:Fallback>
        <xdr:sp macro="" textlink="">
          <xdr:nvSpPr>
            <xdr:cNvPr id="0" name=""/>
            <xdr:cNvSpPr>
              <a:spLocks noTextEdit="1"/>
            </xdr:cNvSpPr>
          </xdr:nvSpPr>
          <xdr:spPr>
            <a:xfrm>
              <a:off x="8625840" y="1074420"/>
              <a:ext cx="1828800" cy="2238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66.661768518519" createdVersion="8" refreshedVersion="8" minRefreshableVersion="3" recordCount="2005" xr:uid="{53CD7879-B16B-408A-9145-16470A98424F}">
  <cacheSource type="worksheet">
    <worksheetSource name="Table13"/>
  </cacheSource>
  <cacheFields count="15">
    <cacheField name="YearMonth" numFmtId="14">
      <sharedItems containsSemiMixedTypes="0" containsNonDate="0" containsDate="1" containsString="0" minDate="2024-01-01T00:00:00" maxDate="2024-07-02T00:00:00" count="7">
        <d v="2024-07-01T00:00:00"/>
        <d v="2024-06-01T00:00:00"/>
        <d v="2024-05-01T00:00:00"/>
        <d v="2024-04-01T00:00:00"/>
        <d v="2024-03-01T00:00:00"/>
        <d v="2024-02-01T00:00:00"/>
        <d v="2024-01-01T00:00:00"/>
      </sharedItems>
      <fieldGroup par="14"/>
    </cacheField>
    <cacheField name="Month Number" numFmtId="0">
      <sharedItems containsSemiMixedTypes="0" containsString="0" containsNumber="1" containsInteger="1" minValue="1" maxValue="7"/>
    </cacheField>
    <cacheField name="OrgCode" numFmtId="0">
      <sharedItems/>
    </cacheField>
    <cacheField name="Quartile" numFmtId="0">
      <sharedItems count="4">
        <s v="TopQuartile"/>
        <s v="SecondQuartile"/>
        <s v="ThirdQuartile"/>
        <s v="FourthQuartile"/>
      </sharedItems>
    </cacheField>
    <cacheField name="Quartile Value" numFmtId="0">
      <sharedItems containsSemiMixedTypes="0" containsString="0" containsNumber="1" containsInteger="1" minValue="1" maxValue="4"/>
    </cacheField>
    <cacheField name="OrgName" numFmtId="0">
      <sharedItems count="286">
        <s v="EastSussexHealthcareNHSTrust"/>
        <s v="LewishamandGreenwichNHSTrust"/>
        <s v="MaidstoneandTunbridgeWellsNHSTrust"/>
        <s v="NorthumbriaHealthcareNHSFoundationTrust"/>
        <s v="PortsmouthHospitalsUniversityNHSTrust"/>
        <s v="UnitedLincolnshireHospitalsNHSTrust"/>
        <s v="EastSuffolkandNorthEssexNHSFoundationTrust"/>
        <s v="RoyalWolverhamptonNHSTrust"/>
        <s v="MidandSouthEssexNHSFoundationTrust"/>
        <s v="EastandNorthHertfordshireNHSTrust"/>
        <s v="CalderdaleandHuddersfieldNHSFoundationTrust"/>
        <s v="NorthWestAngliaNHSFoundationTrust"/>
        <s v="FrimleyHealthNHSFoundationTrust"/>
        <s v="NorthBristolNHSTrust"/>
        <s v="WorcestershireAcuteHospitalsNHSTrust"/>
        <s v="SouthTynesideandSunderlandNHSFoundationTrust"/>
        <s v="GloucestershireHospitalsNHSFoundationTrust"/>
        <s v="EastLancashireHospitalsNHSTrust"/>
        <s v="RoyalDevonUniversityHealthcareNHSFoundationTrust"/>
        <s v="HampshireHospitalsNHSFoundationTrust"/>
        <s v="RoyalBerkshireNHSFoundationTrust"/>
        <s v="SandwellandWestBirminghamHospitalsNHSTrust"/>
        <s v="RoyalCornwallHospitalsNHSTrust"/>
        <s v="ShrewsburyandTelfordHospitalNHSTrust"/>
        <s v="CroydonHealthServicesNHSTrust"/>
        <s v="GatesheadHealthNHSFoundationTrust"/>
        <s v="SherwoodForestHospitalsNHSFoundationTrust"/>
        <s v="NorthernLincolnshireandGooleNHSFoundationTrust"/>
        <s v="RoyalUnitedHospitalsBathNHSFoundationTrust"/>
        <s v="KingstonHospitalNHSFoundationTrust"/>
        <s v="NorthTeesandHartlepoolNHSFoundationTrust"/>
        <s v="NorthamptonGeneralHospitalNHSTrust"/>
        <s v="SurreyandSussexHealthcareNHSTrust"/>
        <s v="RoyalSurreyCountyHospitalNHSFoundationTrust"/>
        <s v="MedwayNHSFoundationTrust"/>
        <s v="BoltonNHSFoundationTrust"/>
        <s v="StockportNHSFoundationTrust"/>
        <s v="NorthCumbriaIntegratedCareNHSFoundationTrust"/>
        <s v="BedfordshireHospitalsNHSFoundationTrust"/>
        <s v="GreatWesternHospitalsNHSFoundationTrust"/>
        <s v="Wrightington,WiganandLeighNHSFoundationTrust"/>
        <s v="AshfordandSt.Peter'sHospitalsNHSFoundationTrust"/>
        <s v="DudleyGroupNHSFoundationTrust"/>
        <s v="BuckinghamshireHealthcareNHSTrust"/>
        <s v="TorbayandSouthDevonNHSFoundationTrust"/>
        <s v="CountyDurhamandDarlingtonNHSFoundationTrust"/>
        <s v="WyeValleyNHSTrust"/>
        <s v="SomersetNHSFoundationTrust"/>
        <s v="IsleofWightNHSTrust"/>
        <s v="WhittingtonHealthNHSTrust"/>
        <s v="BarnsleyHospitalNHSFoundationTrust"/>
        <s v="AiredaleNHSFoundationTrust"/>
        <s v="EastCheshireNHSTrust"/>
        <s v="ChesterfieldRoyalHospitalNHSFoundationTrust"/>
        <s v="QueenElizabethHospitalKing'sLynnNHSFoundationTrust"/>
        <s v="RotherhamNHSFoundationTrust"/>
        <s v="DartfordandGraveshamNHSTrust"/>
        <s v="HarrogateandDistrictNHSFoundationTrust"/>
        <s v="CountessofChesterHospitalNHSFoundationTrust"/>
        <s v="KetteringGeneralHospitalNHSFoundationTrust"/>
        <s v="MidCheshireHospitalsNHSFoundationTrust"/>
        <s v="SalisburyNHSFoundationTrust"/>
        <s v="WalsallHealthcareNHSTrust"/>
        <s v="TamesideandGlossopIntegratedCareNHSFoundationTrust"/>
        <s v="HillingdonHospitalsNHSFoundationTrust"/>
        <s v="GeorgeEliotHospitalNHSTrust"/>
        <s v="PrincessAlexandraHospitalNHSTrust"/>
        <s v="DorsetCountyHospitalNHSFoundationTrust"/>
        <s v="WestSuffolkNHSFoundationTrust"/>
        <s v="RoyalPapworthHospitalNHSFoundationTrust"/>
        <s v="QueenVictoriaHospitalNHSFoundationTrust"/>
        <s v="RoyalOrthopaedicHospitalNHSFoundationTrust"/>
        <s v="GreatOrmondStreetHospitalforChildrenNHSFoundationTrust"/>
        <s v="AlderHeyChildren'sNHSFoundationTrust"/>
        <s v="ClatterbridgeCancerCentreNHSFoundationTrust"/>
        <s v="WaltonCentreNHSFoundationTrust"/>
        <s v="ChristieNHSFoundationTrust"/>
        <s v="RoyalMarsdenNHSFoundationTrust"/>
        <s v="MoorfieldsEyeHospitalNHSFoundationTrust"/>
        <s v="LiverpoolWomen'sNHSFoundationTrust"/>
        <s v="RobertJonesandAgnesHuntOrthopaedicHospitalNHSFoundationTrust"/>
        <s v="BirminghamWomen'sandChildren'sNHSFoundationTrust"/>
        <s v="SheffieldChildren'sNHSFoundationTrust"/>
        <s v="RoyalNationalOrthopaedicHospitalNHSTrust"/>
        <s v="LiverpoolHeartandChestHospitalNHSFoundationTrust"/>
        <s v="BradfordTeachingHospitalsNHSFoundationTrust"/>
        <s v="UniversityHospitalsofDerbyandBurtonNHSFoundationTrust"/>
        <s v="CambridgeUniversityHospitalsNHSFoundationTrust"/>
        <s v="WirralUniversityTeachingHospitalNHSFoundationTrust"/>
        <s v="LancashireTeachingHospitalsNHSFoundationTrust"/>
        <s v="NewcastleUponTyneHospitalsNHSFoundationTrust"/>
        <s v="UniversityHospitalSouthamptonNHSFoundationTrust"/>
        <s v="NorthernCareAllianceNHSFoundationTrust"/>
        <s v="Barking,HaveringandRedbridgeUniversityHospitalsNHSTrust"/>
        <s v="SouthWarwickshireUniversityNHSFoundationTrust"/>
        <s v="MerseyandWestLancashireTeachingHospitalsNHSTrust"/>
        <s v="SheffieldTeachingHospitalsNHSFoundationTrust"/>
        <s v="UniversityHospitalsofMorecambeBayNHSFoundationTrust"/>
        <s v="UniversityHospitalsSussexNHSFoundationTrust"/>
        <s v="HomertonHealthcareNHSFoundationTrust"/>
        <s v="RoyalFreeLondonNHSFoundationTrust"/>
        <s v="DoncasterandBassetlawTeachingHospitalsNHSFoundationTrust"/>
        <s v="EastKentHospitalsUniversityNHSFoundationTrust"/>
        <s v="HullUniversityTeachingHospitalsNHSTrust"/>
        <s v="UniversityCollegeLondonHospitalsNHSFoundationTrust"/>
        <s v="UniversityHospitalsCoventryandWarwickshireNHSTrust"/>
        <s v="UniversityHospitalsofLeicesterNHSTrust"/>
        <s v="MiltonKeynesUniversityHospitalNHSFoundationTrust"/>
        <s v="EpsomandStHelierUniversityHospitalsNHSTrust"/>
        <s v="StGeorge'sUniversityHospitalsNHSFoundationTrust"/>
        <s v="BartsHealthNHSTrust"/>
        <s v="NorthMiddlesexUniversityHospitalNHSTrust"/>
        <s v="MidYorkshireTeachingNHSTrust"/>
        <s v="SouthTeesHospitalsNHSFoundationTrust"/>
        <s v="WarringtonandHaltonTeachingHospitalsNHSFoundationTrust"/>
        <s v="JamesPagetUniversityHospitalsNHSFoundationTrust"/>
        <s v="WestHertfordshireTeachingHospitalsNHSTrust"/>
        <s v="King'sCollegeHospitalNHSFoundationTrust"/>
        <s v="LeedsTeachingHospitalsNHSTrust"/>
        <s v="BlackpoolTeachingHospitalsNHSFoundationTrust"/>
        <s v="UniversityHospitalsPlymouthNHSTrust"/>
        <s v="LondonNorthWestUniversityHealthcareNHSTrust"/>
        <s v="LiverpoolUniversityHospitalsNHSFoundationTrust"/>
        <s v="ManchesterUniversityNHSFoundationTrust"/>
        <s v="Guy'sandStThomas'NHSFoundationTrust"/>
        <s v="OxfordUniversityHospitalsNHSFoundationTrust"/>
        <s v="UniversityHospitalsBirminghamNHSFoundationTrust"/>
        <s v="UniversityHospitalsBristolandWestonNHSFoundationTrust"/>
        <s v="YorkshireandtheHumberStrategicHealthAuthority"/>
        <s v="UniversityHospitalsofNorthMidlandsNHSTrust"/>
        <s v="ImperialCollegeHealthcareNHSTrust"/>
        <s v="ChelseaandWestminsterHospitalNHSFoundationTrust"/>
        <s v="UniversityHospitalsDorsetNHSFoundationTrust"/>
        <s v="NottinghamUniversityHospitalsNHSTrust"/>
        <s v="NorfolkandNorwichUniversityHospitalsNHSFoundationTrust"/>
        <s v="SouthEastCoastAmbulanceServiceNHSFoundationTrust"/>
        <s v="WestMidlandsAmbulanceServiceUniversityNHSFoundationTrust"/>
        <s v="SouthCentralAmbulanceServiceNHSFoundationTrust"/>
        <s v="NorthEastAmbulanceServiceNHSFoundationTrust"/>
        <s v="YorkshireAmbulanceServiceNHSTrust"/>
        <s v="EastofEnglandAmbulanceServiceNHSTrust"/>
        <s v="LondonAmbulanceServiceNHSTrust"/>
        <s v="NorthWestAmbulanceServiceNHSTrust"/>
        <s v="SouthWesternAmbulanceServiceNHSFoundationTrust"/>
        <s v="EastMidlandsAmbulanceServiceNHSTrust"/>
        <s v="BradfordDistrictCareNHSFoundationTrust"/>
        <s v="SheffieldHealthandSocialCareNHSFoundationTrust"/>
        <s v="CamdenandIslingtonNHSFoundationTrust"/>
        <s v="NHSNorthofEnglandCommissioningSupportUnit"/>
        <s v="NHSSouth,CentralandWestCommissioningSupportUnit"/>
        <s v="NHSMidlandsandLancashireCommissioningSupportUnit"/>
        <s v="NHSArdenandGreaterEastMidlandsCommissioningSupportUnit"/>
        <s v="SolentNHSTrust"/>
        <s v="MedwayCommunityHealthcare"/>
        <s v="KentCommunityHealthNHSFoundationTrust"/>
        <s v="WiltshireHealthandCare"/>
        <s v="LincolnshireCommunityHealthServicesNHSTrust"/>
        <s v="Focus"/>
        <s v="SussexCommunityNHSFoundationTrust"/>
        <s v="WirralCommunityHealthandCareNHSFoundationTrust"/>
        <s v="ShropshireCommunityHealthNHSTrust"/>
        <s v="Provide"/>
        <s v="SpectrumCommunityHealth-CIC"/>
        <s v="EastCoastCommunityHealthcareCIC"/>
        <s v="CarePlusGroup"/>
        <s v="YourHealthcare"/>
        <s v="NAViGOHealthandSocialCareCIC"/>
        <s v="HertfordshireCommunityNHSTrust"/>
        <s v="HounslowandRichmondCommunityHealthcareNHSTrust"/>
        <s v="NorfolkCommunityHealthandCareNHSTrust"/>
        <s v="HerefordshireandWorcestershireHealthandCareNHSTrust"/>
        <s v="CambridgeshireCommunityServicesNHSTrust"/>
        <s v="DerbyshireCommunityHealthServicesNHSFoundationTrust"/>
        <s v="CityHealthCarePartnershipCIC"/>
        <s v="BridgewaterCommunityHealthcareNHSFoundationTrust"/>
        <s v="NottinghamCitycarePartnership"/>
        <s v="BirminghamCommunityHealthcareNHSFoundationTrust"/>
        <s v="LocalaCommunityPartnershipsCIC"/>
        <s v="BromleyHealthcare"/>
        <s v="CentralLondonCommunityHealthcareNHSTrust"/>
        <s v="LeedsCommunityHealthcareNHSTrust"/>
        <s v="SironaCareandHealth"/>
        <s v="CSHSurrey"/>
        <s v="LivewellSouthwest"/>
        <s v="DudleyIntegratedHealthandCareNHSTrust"/>
        <s v="FirstCommunityHealthandCareCIC"/>
        <s v="CommunityDentalServicesCIC"/>
        <s v="NHSSussexICB"/>
        <s v="NHSGloucestershireICB"/>
        <s v="NHSBristol,NorthSomersetandSouthGloucestershireICB"/>
        <s v="NHSHerefordshireandWorcestershireICB"/>
        <s v="NHSCheshireandMerseysideICB"/>
        <s v="NHSBuckinghamshire,OxfordshireandBerkshireWestICB"/>
        <s v="NHSBathandNorthEastSomerset,SwindonandWiltshireICB"/>
        <s v="NHSBedfordshire,LutonandMiltonKeynesICB"/>
        <s v="NHSNorthamptonshireICB"/>
        <s v="NHSStaffordshireandStoke-on-TrentICB"/>
        <s v="NHSSomersetICB"/>
        <s v="NHSDevonICB"/>
        <s v="NHSLincolnshireICB"/>
        <s v="NHSFrimleyICB"/>
        <s v="NHSSouthYorkshireICB"/>
        <s v="NHSHampshireandIsleofWightICB"/>
        <s v="NHSShropshire,TelfordandWrekinICB"/>
        <s v="NHSLeicester,LeicestershireandRutlandICB"/>
        <s v="NHSSouthEastLondonICB"/>
        <s v="NHSCoventryandWarwickshireICB"/>
        <s v="NHSBirminghamandSolihullICB"/>
        <s v="NHSNottinghamandNottinghamshireICB"/>
        <s v="NHSNorfolkandWaveneyICB"/>
        <s v="NHSCornwallandtheIslesofScillyICB"/>
        <s v="NHSDerbyandDerbyshireICB"/>
        <s v="NHSNorthWestLondonICB"/>
        <s v="NHSNorthCentralLondonICB"/>
        <s v="NHSKentandMedwayICB"/>
        <s v="NHSSouthWestLondonICB"/>
        <s v="NHSLancashireandSouthCumbriaICB"/>
        <s v="NHSNorthEastandNorthCumbriaICB"/>
        <s v="NHSGreaterManchesterICB"/>
        <s v="NHSSurreyHeartlandsICB"/>
        <s v="NHSNorthEastLondonICB"/>
        <s v="NHSMidandSouthEssexICB"/>
        <s v="NHSBlackCountryICB"/>
        <s v="NHSHertfordshireandWestEssexICB"/>
        <s v="NHSWestYorkshireICB"/>
        <s v="NHSDorsetICB"/>
        <s v="NHSSuffolkandNorthEastEssexICB"/>
        <s v="NHSHumberandNorthYorkshireICB"/>
        <s v="NHSCambridgeshireandPeterboroughICB"/>
        <s v="CornwallPartnershipNHSFoundationTrust"/>
        <s v="LincolnshirePartnershipNHSFoundationTrust"/>
        <s v="SussexPartnershipNHSFoundationTrust"/>
        <s v="LeedsandYorkPartnershipNHSFoundationTrust"/>
        <s v="Cumbria,Northumberland,TyneandWearNHSFoundationTrust"/>
        <s v="RotherhamDoncasterandSouthHumberNHSFoundationTrust"/>
        <s v="CheshireandWirralPartnershipNHSFoundationTrust"/>
        <s v="PennineCareNHSFoundationTrust"/>
        <s v="DevonPartnershipNHSTrust"/>
        <s v="AvonandWiltshireMentalHealthPartnershipNHSTrust"/>
        <s v="SouthWestYorkshirePartnershipNHSFoundationTrust"/>
        <s v="GloucestershireHealthandCareNHSFoundationTrust"/>
        <s v="Tees,EskandWearValleysNHSFoundationTrust"/>
        <s v="HumberTeachingNHSFoundationTrust"/>
        <s v="MerseyCareNHSFoundationTrust"/>
        <s v="SouthWestLondonandStGeorge'sMentalHealthNHSTrust"/>
        <s v="CentralandNorthWestLondonNHSFoundationTrust"/>
        <s v="HertfordshirePartnershipUniversityNHSFoundationTrust"/>
        <s v="DorsetHealthcareUniversityNHSFoundationTrust"/>
        <s v="NottinghamshireHealthcareNHSFoundationTrust"/>
        <s v="EssexPartnershipUniversityNHSFoundationTrust"/>
        <s v="Barnet,EnfieldandHaringeyMentalHealthNHSTrust"/>
        <s v="GreaterManchesterMentalHealthNHSFoundationTrust"/>
        <s v="WestLondonNHSTrust"/>
        <s v="MidlandsPartnershipNHSFoundationTrust"/>
        <s v="NorthStaffordshireCombinedHealthcareNHSTrust"/>
        <s v="SouthernHealthNHSFoundationTrust"/>
        <s v="NorthamptonshireHealthcareNHSFoundationTrust"/>
        <s v="BerkshireHealthcareNHSFoundationTrust"/>
        <s v="DerbyshireHealthcareNHSFoundationTrust"/>
        <s v="NorfolkandSuffolkNHSFoundationTrust"/>
        <s v="EastLondonNHSFoundationTrust"/>
        <s v="OxleasNHSFoundationTrust"/>
        <s v="LeicestershirePartnershipNHSTrust"/>
        <s v="KentandMedwayNHSandSocialCarePartnershipTrust"/>
        <s v="CambridgeshireandPeterboroughNHSFoundationTrust"/>
        <s v="OxfordHealthNHSFoundationTrust"/>
        <s v="SurreyandBordersPartnershipNHSFoundationTrust"/>
        <s v="SouthLondonandMaudsleyNHSFoundationTrust"/>
        <s v="TavistockandPortmanNHSFoundationTrust"/>
        <s v="NorthEastLondonNHSFoundationTrust"/>
        <s v="BlackCountryHealthcareNHSFoundationTrust"/>
        <s v="LancashireandSouthCumbriaNHSFoundationTrust"/>
        <s v="CoventryandWarwickshirePartnershipNHSTrust"/>
        <s v="BirminghamandSolihullMentalHealthNHSFoundationTrust"/>
        <s v="NationalInstituteforHealthandCareExcellence"/>
        <s v="HealthResearchAuthority"/>
        <s v="NHSBloodandTransplant"/>
        <s v="NHSBusinessServicesAuthority"/>
        <s v="King'sIFM"/>
        <s v="HealthServicesSafetyInvestigationsBody"/>
        <s v="NHSCounterFraudAuthority"/>
        <s v="NHSEngland"/>
        <s v="NHSResolution"/>
        <s v="LeadEmployerTrust"/>
        <s v="ENGIEServicesLtd"/>
        <s v="UKHealthSecurityAgency"/>
      </sharedItems>
    </cacheField>
    <cacheField name="Previous Quartile" numFmtId="0">
      <sharedItems/>
    </cacheField>
    <cacheField name="Previous Quartile Value" numFmtId="0">
      <sharedItems containsMixedTypes="1" containsNumber="1" containsInteger="1" minValue="1" maxValue="4"/>
    </cacheField>
    <cacheField name="Trend" numFmtId="0">
      <sharedItems count="5">
        <s v="Same"/>
        <s v="Dropped"/>
        <s v="Improved"/>
        <s v="No data on previous month"/>
        <s v="" u="1"/>
      </sharedItems>
    </cacheField>
    <cacheField name="NHSEREGIONCODE" numFmtId="0">
      <sharedItems/>
    </cacheField>
    <cacheField name="REGION" numFmtId="0">
      <sharedItems count="8">
        <s v="South East"/>
        <s v="London"/>
        <s v="North East and Yorkshire"/>
        <s v="Midlands"/>
        <s v="East of England"/>
        <s v="South West"/>
        <s v="North West"/>
        <s v="Special Health Authorities and other statutory bodies"/>
      </sharedItems>
    </cacheField>
    <cacheField name="VPDs" numFmtId="0">
      <sharedItems containsSemiMixedTypes="0" containsString="0" containsNumber="1" containsInteger="1" minValue="44" maxValue="996"/>
    </cacheField>
    <cacheField name="BenchmarkGroup" numFmtId="0">
      <sharedItems count="13">
        <s v="Acute-Large"/>
        <s v="Acute-Medium"/>
        <s v="Acute-Multi-Service"/>
        <s v="Acute-Small"/>
        <s v="Acute-Specialist"/>
        <s v="Acute-Teaching"/>
        <s v="AmbulanceTrust"/>
        <s v="CareTrust"/>
        <s v="CommissioningSupportUnit"/>
        <s v="CommunityProviderTrust"/>
        <s v="IntegratedCareBoard"/>
        <s v="MentalHealthandLearningDisability"/>
        <s v="Others"/>
      </sharedItems>
    </cacheField>
    <cacheField name="Days (YearMonth)" numFmtId="0" databaseField="0">
      <fieldGroup base="0">
        <rangePr groupBy="days" startDate="2024-01-01T00:00:00" endDate="2024-07-02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7/2024"/>
        </groupItems>
      </fieldGroup>
    </cacheField>
    <cacheField name="Months (YearMonth)" numFmtId="0" databaseField="0">
      <fieldGroup base="0">
        <rangePr groupBy="months" startDate="2024-01-01T00:00:00" endDate="2024-07-02T00:00:00"/>
        <groupItems count="14">
          <s v="&lt;01/01/2024"/>
          <s v="Jan"/>
          <s v="Feb"/>
          <s v="Mar"/>
          <s v="Apr"/>
          <s v="May"/>
          <s v="Jun"/>
          <s v="Jul"/>
          <s v="Aug"/>
          <s v="Sep"/>
          <s v="Oct"/>
          <s v="Nov"/>
          <s v="Dec"/>
          <s v="&gt;02/07/2024"/>
        </groupItems>
      </fieldGroup>
    </cacheField>
  </cacheFields>
  <extLst>
    <ext xmlns:x14="http://schemas.microsoft.com/office/spreadsheetml/2009/9/main" uri="{725AE2AE-9491-48be-B2B4-4EB974FC3084}">
      <x14:pivotCacheDefinition pivotCacheId="11342135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5">
  <r>
    <x v="0"/>
    <n v="7"/>
    <s v="RXC"/>
    <x v="0"/>
    <n v="1"/>
    <x v="0"/>
    <s v="TopQuartile"/>
    <n v="1"/>
    <x v="0"/>
    <s v="Y59"/>
    <x v="0"/>
    <n v="374"/>
    <x v="0"/>
  </r>
  <r>
    <x v="0"/>
    <n v="7"/>
    <s v="RJ2"/>
    <x v="0"/>
    <n v="1"/>
    <x v="1"/>
    <s v="TopQuartile"/>
    <n v="1"/>
    <x v="0"/>
    <s v="Y56"/>
    <x v="1"/>
    <n v="197"/>
    <x v="0"/>
  </r>
  <r>
    <x v="0"/>
    <n v="7"/>
    <s v="RWF"/>
    <x v="0"/>
    <n v="1"/>
    <x v="2"/>
    <s v="TopQuartile"/>
    <n v="1"/>
    <x v="0"/>
    <s v="Y59"/>
    <x v="0"/>
    <n v="359"/>
    <x v="0"/>
  </r>
  <r>
    <x v="0"/>
    <n v="7"/>
    <s v="RTF"/>
    <x v="0"/>
    <n v="1"/>
    <x v="3"/>
    <s v="TopQuartile"/>
    <n v="1"/>
    <x v="0"/>
    <s v="Y63"/>
    <x v="2"/>
    <n v="319"/>
    <x v="0"/>
  </r>
  <r>
    <x v="0"/>
    <n v="7"/>
    <s v="RHU"/>
    <x v="0"/>
    <n v="1"/>
    <x v="4"/>
    <s v="TopQuartile"/>
    <n v="1"/>
    <x v="0"/>
    <s v="Y59"/>
    <x v="0"/>
    <n v="192"/>
    <x v="0"/>
  </r>
  <r>
    <x v="0"/>
    <n v="7"/>
    <s v="RWD"/>
    <x v="0"/>
    <n v="1"/>
    <x v="5"/>
    <s v="TopQuartile"/>
    <n v="1"/>
    <x v="0"/>
    <s v="Y60"/>
    <x v="3"/>
    <n v="357"/>
    <x v="0"/>
  </r>
  <r>
    <x v="0"/>
    <n v="7"/>
    <s v="RDE"/>
    <x v="1"/>
    <n v="2"/>
    <x v="6"/>
    <s v="SecondQuartile"/>
    <n v="2"/>
    <x v="0"/>
    <s v="Y61"/>
    <x v="4"/>
    <n v="432"/>
    <x v="0"/>
  </r>
  <r>
    <x v="0"/>
    <n v="7"/>
    <s v="RL4"/>
    <x v="1"/>
    <n v="2"/>
    <x v="7"/>
    <s v="SecondQuartile"/>
    <n v="2"/>
    <x v="0"/>
    <s v="Y60"/>
    <x v="3"/>
    <n v="225"/>
    <x v="0"/>
  </r>
  <r>
    <x v="0"/>
    <n v="7"/>
    <s v="RAJ"/>
    <x v="2"/>
    <n v="3"/>
    <x v="8"/>
    <s v="ThirdQuartile"/>
    <n v="3"/>
    <x v="0"/>
    <s v="Y61"/>
    <x v="4"/>
    <n v="390"/>
    <x v="0"/>
  </r>
  <r>
    <x v="0"/>
    <n v="7"/>
    <s v="RWH"/>
    <x v="2"/>
    <n v="3"/>
    <x v="9"/>
    <s v="ThirdQuartile"/>
    <n v="3"/>
    <x v="0"/>
    <s v="Y61"/>
    <x v="4"/>
    <n v="361"/>
    <x v="0"/>
  </r>
  <r>
    <x v="0"/>
    <n v="7"/>
    <s v="RWY"/>
    <x v="2"/>
    <n v="3"/>
    <x v="10"/>
    <s v="ThirdQuartile"/>
    <n v="3"/>
    <x v="0"/>
    <s v="Y63"/>
    <x v="2"/>
    <n v="372"/>
    <x v="0"/>
  </r>
  <r>
    <x v="0"/>
    <n v="7"/>
    <s v="RGN"/>
    <x v="2"/>
    <n v="3"/>
    <x v="11"/>
    <s v="ThirdQuartile"/>
    <n v="3"/>
    <x v="0"/>
    <s v="Y61"/>
    <x v="4"/>
    <n v="176"/>
    <x v="0"/>
  </r>
  <r>
    <x v="0"/>
    <n v="7"/>
    <s v="RDU"/>
    <x v="2"/>
    <n v="3"/>
    <x v="12"/>
    <s v="SecondQuartile"/>
    <n v="2"/>
    <x v="1"/>
    <s v="Y59"/>
    <x v="0"/>
    <n v="151"/>
    <x v="0"/>
  </r>
  <r>
    <x v="0"/>
    <n v="7"/>
    <s v="RVJ"/>
    <x v="2"/>
    <n v="3"/>
    <x v="13"/>
    <s v="ThirdQuartile"/>
    <n v="3"/>
    <x v="0"/>
    <s v="Y58"/>
    <x v="5"/>
    <n v="339"/>
    <x v="0"/>
  </r>
  <r>
    <x v="0"/>
    <n v="7"/>
    <s v="RWP"/>
    <x v="2"/>
    <n v="3"/>
    <x v="14"/>
    <s v="ThirdQuartile"/>
    <n v="3"/>
    <x v="0"/>
    <s v="Y60"/>
    <x v="3"/>
    <n v="365"/>
    <x v="0"/>
  </r>
  <r>
    <x v="0"/>
    <n v="7"/>
    <s v="R0B"/>
    <x v="2"/>
    <n v="3"/>
    <x v="15"/>
    <s v="ThirdQuartile"/>
    <n v="3"/>
    <x v="0"/>
    <s v="Y63"/>
    <x v="2"/>
    <n v="155"/>
    <x v="0"/>
  </r>
  <r>
    <x v="0"/>
    <n v="7"/>
    <s v="RTE"/>
    <x v="3"/>
    <n v="4"/>
    <x v="16"/>
    <s v="FourthQuartile"/>
    <n v="4"/>
    <x v="0"/>
    <s v="Y58"/>
    <x v="5"/>
    <n v="318"/>
    <x v="0"/>
  </r>
  <r>
    <x v="0"/>
    <n v="7"/>
    <s v="RXR"/>
    <x v="3"/>
    <n v="4"/>
    <x v="17"/>
    <s v="FourthQuartile"/>
    <n v="4"/>
    <x v="0"/>
    <s v="Y62"/>
    <x v="6"/>
    <n v="435"/>
    <x v="0"/>
  </r>
  <r>
    <x v="0"/>
    <n v="7"/>
    <s v="RH8"/>
    <x v="3"/>
    <n v="4"/>
    <x v="18"/>
    <s v="FourthQuartile"/>
    <n v="4"/>
    <x v="0"/>
    <s v="Y58"/>
    <x v="5"/>
    <n v="185"/>
    <x v="0"/>
  </r>
  <r>
    <x v="0"/>
    <n v="7"/>
    <s v="RN5"/>
    <x v="3"/>
    <n v="4"/>
    <x v="19"/>
    <s v="FourthQuartile"/>
    <n v="4"/>
    <x v="0"/>
    <s v="Y59"/>
    <x v="0"/>
    <n v="251"/>
    <x v="0"/>
  </r>
  <r>
    <x v="0"/>
    <n v="7"/>
    <s v="RHW"/>
    <x v="3"/>
    <n v="4"/>
    <x v="20"/>
    <s v="FourthQuartile"/>
    <n v="4"/>
    <x v="0"/>
    <s v="Y59"/>
    <x v="0"/>
    <n v="193"/>
    <x v="0"/>
  </r>
  <r>
    <x v="0"/>
    <n v="7"/>
    <s v="RXK"/>
    <x v="3"/>
    <n v="4"/>
    <x v="21"/>
    <s v="FourthQuartile"/>
    <n v="4"/>
    <x v="0"/>
    <s v="Y60"/>
    <x v="3"/>
    <n v="381"/>
    <x v="0"/>
  </r>
  <r>
    <x v="0"/>
    <n v="7"/>
    <s v="REF"/>
    <x v="3"/>
    <n v="4"/>
    <x v="22"/>
    <s v="FourthQuartile"/>
    <n v="4"/>
    <x v="0"/>
    <s v="Y58"/>
    <x v="5"/>
    <n v="156"/>
    <x v="0"/>
  </r>
  <r>
    <x v="0"/>
    <n v="7"/>
    <s v="RXW"/>
    <x v="0"/>
    <n v="1"/>
    <x v="23"/>
    <s v="TopQuartile"/>
    <n v="1"/>
    <x v="0"/>
    <s v="Y60"/>
    <x v="3"/>
    <n v="223"/>
    <x v="1"/>
  </r>
  <r>
    <x v="0"/>
    <n v="7"/>
    <s v="RJ6"/>
    <x v="0"/>
    <n v="1"/>
    <x v="24"/>
    <s v="TopQuartile"/>
    <n v="1"/>
    <x v="0"/>
    <s v="Y56"/>
    <x v="1"/>
    <n v="199"/>
    <x v="1"/>
  </r>
  <r>
    <x v="0"/>
    <n v="7"/>
    <s v="RR7"/>
    <x v="0"/>
    <n v="1"/>
    <x v="25"/>
    <s v="TopQuartile"/>
    <n v="1"/>
    <x v="0"/>
    <s v="Y63"/>
    <x v="2"/>
    <n v="297"/>
    <x v="1"/>
  </r>
  <r>
    <x v="0"/>
    <n v="7"/>
    <s v="RK5"/>
    <x v="0"/>
    <n v="1"/>
    <x v="26"/>
    <s v="TopQuartile"/>
    <n v="1"/>
    <x v="0"/>
    <s v="Y60"/>
    <x v="3"/>
    <n v="214"/>
    <x v="1"/>
  </r>
  <r>
    <x v="0"/>
    <n v="7"/>
    <s v="RJL"/>
    <x v="0"/>
    <n v="1"/>
    <x v="27"/>
    <s v="TopQuartile"/>
    <n v="1"/>
    <x v="0"/>
    <s v="Y63"/>
    <x v="2"/>
    <n v="208"/>
    <x v="1"/>
  </r>
  <r>
    <x v="0"/>
    <n v="7"/>
    <s v="RD1"/>
    <x v="0"/>
    <n v="1"/>
    <x v="28"/>
    <s v="SecondQuartile"/>
    <n v="2"/>
    <x v="2"/>
    <s v="Y58"/>
    <x v="5"/>
    <n v="427"/>
    <x v="1"/>
  </r>
  <r>
    <x v="0"/>
    <n v="7"/>
    <s v="RAX"/>
    <x v="1"/>
    <n v="2"/>
    <x v="29"/>
    <s v="SecondQuartile"/>
    <n v="2"/>
    <x v="0"/>
    <s v="Y56"/>
    <x v="1"/>
    <n v="396"/>
    <x v="1"/>
  </r>
  <r>
    <x v="0"/>
    <n v="7"/>
    <s v="RVW"/>
    <x v="1"/>
    <n v="2"/>
    <x v="30"/>
    <s v="SecondQuartile"/>
    <n v="2"/>
    <x v="0"/>
    <s v="Y63"/>
    <x v="2"/>
    <n v="345"/>
    <x v="1"/>
  </r>
  <r>
    <x v="0"/>
    <n v="7"/>
    <s v="RNS"/>
    <x v="1"/>
    <n v="2"/>
    <x v="31"/>
    <s v="SecondQuartile"/>
    <n v="2"/>
    <x v="0"/>
    <s v="Y60"/>
    <x v="3"/>
    <n v="265"/>
    <x v="1"/>
  </r>
  <r>
    <x v="0"/>
    <n v="7"/>
    <s v="RTP"/>
    <x v="1"/>
    <n v="2"/>
    <x v="32"/>
    <s v="SecondQuartile"/>
    <n v="2"/>
    <x v="0"/>
    <s v="Y59"/>
    <x v="0"/>
    <n v="326"/>
    <x v="1"/>
  </r>
  <r>
    <x v="0"/>
    <n v="7"/>
    <s v="RA2"/>
    <x v="1"/>
    <n v="2"/>
    <x v="33"/>
    <s v="SecondQuartile"/>
    <n v="2"/>
    <x v="0"/>
    <s v="Y59"/>
    <x v="0"/>
    <n v="384"/>
    <x v="1"/>
  </r>
  <r>
    <x v="0"/>
    <n v="7"/>
    <s v="RPA"/>
    <x v="1"/>
    <n v="2"/>
    <x v="34"/>
    <s v="SecondQuartile"/>
    <n v="2"/>
    <x v="0"/>
    <s v="Y59"/>
    <x v="0"/>
    <n v="275"/>
    <x v="1"/>
  </r>
  <r>
    <x v="0"/>
    <n v="7"/>
    <s v="RMC"/>
    <x v="2"/>
    <n v="3"/>
    <x v="35"/>
    <s v="SecondQuartile"/>
    <n v="2"/>
    <x v="1"/>
    <s v="Y62"/>
    <x v="6"/>
    <n v="241"/>
    <x v="1"/>
  </r>
  <r>
    <x v="0"/>
    <n v="7"/>
    <s v="RWJ"/>
    <x v="2"/>
    <n v="3"/>
    <x v="36"/>
    <s v="ThirdQuartile"/>
    <n v="3"/>
    <x v="0"/>
    <s v="Y62"/>
    <x v="6"/>
    <n v="362"/>
    <x v="1"/>
  </r>
  <r>
    <x v="0"/>
    <n v="7"/>
    <s v="RNN"/>
    <x v="2"/>
    <n v="3"/>
    <x v="37"/>
    <s v="ThirdQuartile"/>
    <n v="3"/>
    <x v="0"/>
    <s v="Y63"/>
    <x v="2"/>
    <n v="262"/>
    <x v="1"/>
  </r>
  <r>
    <x v="0"/>
    <n v="7"/>
    <s v="RC9"/>
    <x v="2"/>
    <n v="3"/>
    <x v="38"/>
    <s v="ThirdQuartile"/>
    <n v="3"/>
    <x v="0"/>
    <s v="Y61"/>
    <x v="4"/>
    <n v="418"/>
    <x v="1"/>
  </r>
  <r>
    <x v="0"/>
    <n v="7"/>
    <s v="RN3"/>
    <x v="2"/>
    <n v="3"/>
    <x v="39"/>
    <s v="ThirdQuartile"/>
    <n v="3"/>
    <x v="0"/>
    <s v="Y58"/>
    <x v="5"/>
    <n v="249"/>
    <x v="1"/>
  </r>
  <r>
    <x v="0"/>
    <n v="7"/>
    <s v="RRF"/>
    <x v="2"/>
    <n v="3"/>
    <x v="40"/>
    <s v="ThirdQuartile"/>
    <n v="3"/>
    <x v="0"/>
    <s v="Y62"/>
    <x v="6"/>
    <n v="302"/>
    <x v="1"/>
  </r>
  <r>
    <x v="0"/>
    <n v="7"/>
    <s v="RTK"/>
    <x v="2"/>
    <n v="3"/>
    <x v="41"/>
    <s v="ThirdQuartile"/>
    <n v="3"/>
    <x v="0"/>
    <s v="Y59"/>
    <x v="0"/>
    <n v="323"/>
    <x v="1"/>
  </r>
  <r>
    <x v="0"/>
    <n v="7"/>
    <s v="RNA"/>
    <x v="3"/>
    <n v="4"/>
    <x v="42"/>
    <s v="FourthQuartile"/>
    <n v="4"/>
    <x v="0"/>
    <s v="Y60"/>
    <x v="3"/>
    <n v="253"/>
    <x v="1"/>
  </r>
  <r>
    <x v="0"/>
    <n v="7"/>
    <s v="RXQ"/>
    <x v="1"/>
    <n v="2"/>
    <x v="43"/>
    <s v="TopQuartile"/>
    <n v="1"/>
    <x v="1"/>
    <s v="Y59"/>
    <x v="0"/>
    <n v="434"/>
    <x v="2"/>
  </r>
  <r>
    <x v="0"/>
    <n v="7"/>
    <s v="RA9"/>
    <x v="1"/>
    <n v="2"/>
    <x v="44"/>
    <s v="SecondQuartile"/>
    <n v="2"/>
    <x v="0"/>
    <s v="Y58"/>
    <x v="5"/>
    <n v="388"/>
    <x v="2"/>
  </r>
  <r>
    <x v="0"/>
    <n v="7"/>
    <s v="RXP"/>
    <x v="1"/>
    <n v="2"/>
    <x v="45"/>
    <s v="TopQuartile"/>
    <n v="1"/>
    <x v="1"/>
    <s v="Y63"/>
    <x v="2"/>
    <n v="439"/>
    <x v="2"/>
  </r>
  <r>
    <x v="0"/>
    <n v="7"/>
    <s v="RLQ"/>
    <x v="1"/>
    <n v="2"/>
    <x v="46"/>
    <s v="SecondQuartile"/>
    <n v="2"/>
    <x v="0"/>
    <s v="Y60"/>
    <x v="3"/>
    <n v="229"/>
    <x v="2"/>
  </r>
  <r>
    <x v="0"/>
    <n v="7"/>
    <s v="RH5"/>
    <x v="1"/>
    <n v="2"/>
    <x v="47"/>
    <s v="SecondQuartile"/>
    <n v="2"/>
    <x v="0"/>
    <s v="Y58"/>
    <x v="5"/>
    <n v="184"/>
    <x v="2"/>
  </r>
  <r>
    <x v="0"/>
    <n v="7"/>
    <s v="R1F"/>
    <x v="2"/>
    <n v="3"/>
    <x v="48"/>
    <s v="SecondQuartile"/>
    <n v="2"/>
    <x v="1"/>
    <s v="Y59"/>
    <x v="0"/>
    <n v="470"/>
    <x v="2"/>
  </r>
  <r>
    <x v="0"/>
    <n v="7"/>
    <s v="RKE"/>
    <x v="3"/>
    <n v="4"/>
    <x v="49"/>
    <s v="FourthQuartile"/>
    <n v="4"/>
    <x v="0"/>
    <s v="Y56"/>
    <x v="1"/>
    <n v="220"/>
    <x v="2"/>
  </r>
  <r>
    <x v="0"/>
    <n v="7"/>
    <s v="RFF"/>
    <x v="0"/>
    <n v="1"/>
    <x v="50"/>
    <s v="TopQuartile"/>
    <n v="1"/>
    <x v="0"/>
    <s v="Y63"/>
    <x v="2"/>
    <n v="163"/>
    <x v="3"/>
  </r>
  <r>
    <x v="0"/>
    <n v="7"/>
    <s v="RCF"/>
    <x v="0"/>
    <n v="1"/>
    <x v="51"/>
    <s v="TopQuartile"/>
    <n v="1"/>
    <x v="0"/>
    <s v="Y63"/>
    <x v="2"/>
    <n v="423"/>
    <x v="3"/>
  </r>
  <r>
    <x v="0"/>
    <n v="7"/>
    <s v="RJN"/>
    <x v="0"/>
    <n v="1"/>
    <x v="52"/>
    <s v="TopQuartile"/>
    <n v="1"/>
    <x v="0"/>
    <s v="Y62"/>
    <x v="6"/>
    <n v="209"/>
    <x v="3"/>
  </r>
  <r>
    <x v="0"/>
    <n v="7"/>
    <s v="RFS"/>
    <x v="0"/>
    <n v="1"/>
    <x v="53"/>
    <s v="TopQuartile"/>
    <n v="1"/>
    <x v="0"/>
    <s v="Y60"/>
    <x v="3"/>
    <n v="166"/>
    <x v="3"/>
  </r>
  <r>
    <x v="0"/>
    <n v="7"/>
    <s v="RCX"/>
    <x v="0"/>
    <n v="1"/>
    <x v="54"/>
    <s v="TopQuartile"/>
    <n v="1"/>
    <x v="0"/>
    <s v="Y61"/>
    <x v="4"/>
    <n v="426"/>
    <x v="3"/>
  </r>
  <r>
    <x v="0"/>
    <n v="7"/>
    <s v="RFR"/>
    <x v="0"/>
    <n v="1"/>
    <x v="55"/>
    <s v="TopQuartile"/>
    <n v="1"/>
    <x v="0"/>
    <s v="Y63"/>
    <x v="2"/>
    <n v="165"/>
    <x v="3"/>
  </r>
  <r>
    <x v="0"/>
    <n v="7"/>
    <s v="RN7"/>
    <x v="0"/>
    <n v="1"/>
    <x v="56"/>
    <s v="TopQuartile"/>
    <n v="1"/>
    <x v="0"/>
    <s v="Y59"/>
    <x v="0"/>
    <n v="252"/>
    <x v="3"/>
  </r>
  <r>
    <x v="0"/>
    <n v="7"/>
    <s v="RCD"/>
    <x v="1"/>
    <n v="2"/>
    <x v="57"/>
    <s v="SecondQuartile"/>
    <n v="2"/>
    <x v="0"/>
    <s v="Y63"/>
    <x v="2"/>
    <n v="421"/>
    <x v="3"/>
  </r>
  <r>
    <x v="0"/>
    <n v="7"/>
    <s v="RJR"/>
    <x v="1"/>
    <n v="2"/>
    <x v="58"/>
    <s v="SecondQuartile"/>
    <n v="2"/>
    <x v="0"/>
    <s v="Y62"/>
    <x v="6"/>
    <n v="210"/>
    <x v="3"/>
  </r>
  <r>
    <x v="0"/>
    <n v="7"/>
    <s v="RNQ"/>
    <x v="1"/>
    <n v="2"/>
    <x v="59"/>
    <s v="SecondQuartile"/>
    <n v="2"/>
    <x v="0"/>
    <s v="Y60"/>
    <x v="3"/>
    <n v="264"/>
    <x v="3"/>
  </r>
  <r>
    <x v="0"/>
    <n v="7"/>
    <s v="RBT"/>
    <x v="2"/>
    <n v="3"/>
    <x v="60"/>
    <s v="ThirdQuartile"/>
    <n v="3"/>
    <x v="0"/>
    <s v="Y62"/>
    <x v="6"/>
    <n v="412"/>
    <x v="3"/>
  </r>
  <r>
    <x v="0"/>
    <n v="7"/>
    <s v="RNZ"/>
    <x v="2"/>
    <n v="3"/>
    <x v="61"/>
    <s v="ThirdQuartile"/>
    <n v="3"/>
    <x v="0"/>
    <s v="Y58"/>
    <x v="5"/>
    <n v="269"/>
    <x v="3"/>
  </r>
  <r>
    <x v="0"/>
    <n v="7"/>
    <s v="RBK"/>
    <x v="2"/>
    <n v="3"/>
    <x v="62"/>
    <s v="ThirdQuartile"/>
    <n v="3"/>
    <x v="0"/>
    <s v="Y60"/>
    <x v="3"/>
    <n v="407"/>
    <x v="3"/>
  </r>
  <r>
    <x v="0"/>
    <n v="7"/>
    <s v="RMP"/>
    <x v="2"/>
    <n v="3"/>
    <x v="63"/>
    <s v="ThirdQuartile"/>
    <n v="3"/>
    <x v="0"/>
    <s v="Y62"/>
    <x v="6"/>
    <n v="245"/>
    <x v="3"/>
  </r>
  <r>
    <x v="0"/>
    <n v="7"/>
    <s v="RAS"/>
    <x v="2"/>
    <n v="3"/>
    <x v="64"/>
    <s v="ThirdQuartile"/>
    <n v="3"/>
    <x v="0"/>
    <s v="Y56"/>
    <x v="1"/>
    <n v="394"/>
    <x v="3"/>
  </r>
  <r>
    <x v="0"/>
    <n v="7"/>
    <s v="RLT"/>
    <x v="3"/>
    <n v="4"/>
    <x v="65"/>
    <s v="ThirdQuartile"/>
    <n v="3"/>
    <x v="1"/>
    <s v="Y60"/>
    <x v="3"/>
    <n v="230"/>
    <x v="3"/>
  </r>
  <r>
    <x v="0"/>
    <n v="7"/>
    <s v="RQW"/>
    <x v="3"/>
    <n v="4"/>
    <x v="66"/>
    <s v="FourthQuartile"/>
    <n v="4"/>
    <x v="0"/>
    <s v="Y61"/>
    <x v="4"/>
    <n v="292"/>
    <x v="3"/>
  </r>
  <r>
    <x v="0"/>
    <n v="7"/>
    <s v="RBD"/>
    <x v="3"/>
    <n v="4"/>
    <x v="67"/>
    <s v="FourthQuartile"/>
    <n v="4"/>
    <x v="0"/>
    <s v="Y58"/>
    <x v="5"/>
    <n v="405"/>
    <x v="3"/>
  </r>
  <r>
    <x v="0"/>
    <n v="7"/>
    <s v="RGR"/>
    <x v="3"/>
    <n v="4"/>
    <x v="68"/>
    <s v="FourthQuartile"/>
    <n v="4"/>
    <x v="0"/>
    <s v="Y61"/>
    <x v="4"/>
    <n v="179"/>
    <x v="3"/>
  </r>
  <r>
    <x v="0"/>
    <n v="7"/>
    <s v="RGM"/>
    <x v="0"/>
    <n v="1"/>
    <x v="69"/>
    <s v="TopQuartile"/>
    <n v="1"/>
    <x v="0"/>
    <s v="Y61"/>
    <x v="4"/>
    <n v="175"/>
    <x v="4"/>
  </r>
  <r>
    <x v="0"/>
    <n v="7"/>
    <s v="RPC"/>
    <x v="0"/>
    <n v="1"/>
    <x v="70"/>
    <s v="TopQuartile"/>
    <n v="1"/>
    <x v="0"/>
    <s v="Y59"/>
    <x v="0"/>
    <n v="276"/>
    <x v="4"/>
  </r>
  <r>
    <x v="0"/>
    <n v="7"/>
    <s v="RRJ"/>
    <x v="0"/>
    <n v="1"/>
    <x v="71"/>
    <s v="SecondQuartile"/>
    <n v="2"/>
    <x v="2"/>
    <s v="Y60"/>
    <x v="3"/>
    <n v="303"/>
    <x v="4"/>
  </r>
  <r>
    <x v="0"/>
    <n v="7"/>
    <s v="RP4"/>
    <x v="0"/>
    <n v="1"/>
    <x v="72"/>
    <s v="TopQuartile"/>
    <n v="1"/>
    <x v="0"/>
    <s v="Y56"/>
    <x v="1"/>
    <n v="271"/>
    <x v="4"/>
  </r>
  <r>
    <x v="0"/>
    <n v="7"/>
    <s v="RBS"/>
    <x v="1"/>
    <n v="2"/>
    <x v="73"/>
    <s v="TopQuartile"/>
    <n v="1"/>
    <x v="1"/>
    <s v="Y62"/>
    <x v="6"/>
    <n v="411"/>
    <x v="4"/>
  </r>
  <r>
    <x v="0"/>
    <n v="7"/>
    <s v="REN"/>
    <x v="1"/>
    <n v="2"/>
    <x v="74"/>
    <s v="SecondQuartile"/>
    <n v="2"/>
    <x v="0"/>
    <s v="Y62"/>
    <x v="6"/>
    <n v="158"/>
    <x v="4"/>
  </r>
  <r>
    <x v="0"/>
    <n v="7"/>
    <s v="RET"/>
    <x v="1"/>
    <n v="2"/>
    <x v="75"/>
    <s v="SecondQuartile"/>
    <n v="2"/>
    <x v="0"/>
    <s v="Y62"/>
    <x v="6"/>
    <n v="160"/>
    <x v="4"/>
  </r>
  <r>
    <x v="0"/>
    <n v="7"/>
    <s v="RBV"/>
    <x v="1"/>
    <n v="2"/>
    <x v="76"/>
    <s v="SecondQuartile"/>
    <n v="2"/>
    <x v="0"/>
    <s v="Y62"/>
    <x v="6"/>
    <n v="413"/>
    <x v="4"/>
  </r>
  <r>
    <x v="0"/>
    <n v="7"/>
    <s v="RPY"/>
    <x v="2"/>
    <n v="3"/>
    <x v="77"/>
    <s v="ThirdQuartile"/>
    <n v="3"/>
    <x v="0"/>
    <s v="Y56"/>
    <x v="1"/>
    <n v="282"/>
    <x v="4"/>
  </r>
  <r>
    <x v="0"/>
    <n v="7"/>
    <s v="RP6"/>
    <x v="2"/>
    <n v="3"/>
    <x v="78"/>
    <s v="ThirdQuartile"/>
    <n v="3"/>
    <x v="0"/>
    <s v="Y56"/>
    <x v="1"/>
    <n v="273"/>
    <x v="4"/>
  </r>
  <r>
    <x v="0"/>
    <n v="7"/>
    <s v="REP"/>
    <x v="2"/>
    <n v="3"/>
    <x v="79"/>
    <s v="ThirdQuartile"/>
    <n v="3"/>
    <x v="0"/>
    <s v="Y62"/>
    <x v="6"/>
    <n v="159"/>
    <x v="4"/>
  </r>
  <r>
    <x v="0"/>
    <n v="7"/>
    <s v="RL1"/>
    <x v="2"/>
    <n v="3"/>
    <x v="80"/>
    <s v="ThirdQuartile"/>
    <n v="3"/>
    <x v="0"/>
    <s v="Y60"/>
    <x v="3"/>
    <n v="224"/>
    <x v="4"/>
  </r>
  <r>
    <x v="0"/>
    <n v="7"/>
    <s v="RQ3"/>
    <x v="2"/>
    <n v="3"/>
    <x v="81"/>
    <s v="ThirdQuartile"/>
    <n v="3"/>
    <x v="0"/>
    <s v="Y60"/>
    <x v="3"/>
    <n v="284"/>
    <x v="4"/>
  </r>
  <r>
    <x v="0"/>
    <n v="7"/>
    <s v="RCU"/>
    <x v="2"/>
    <n v="3"/>
    <x v="82"/>
    <s v="ThirdQuartile"/>
    <n v="3"/>
    <x v="0"/>
    <s v="Y63"/>
    <x v="2"/>
    <n v="425"/>
    <x v="4"/>
  </r>
  <r>
    <x v="0"/>
    <n v="7"/>
    <s v="RAN"/>
    <x v="3"/>
    <n v="4"/>
    <x v="83"/>
    <s v="FourthQuartile"/>
    <n v="4"/>
    <x v="0"/>
    <s v="Y56"/>
    <x v="1"/>
    <n v="392"/>
    <x v="4"/>
  </r>
  <r>
    <x v="0"/>
    <n v="7"/>
    <s v="RBQ"/>
    <x v="3"/>
    <n v="4"/>
    <x v="84"/>
    <s v="FourthQuartile"/>
    <n v="4"/>
    <x v="0"/>
    <s v="Y62"/>
    <x v="6"/>
    <n v="410"/>
    <x v="4"/>
  </r>
  <r>
    <x v="0"/>
    <n v="7"/>
    <s v="RAE"/>
    <x v="0"/>
    <n v="1"/>
    <x v="85"/>
    <s v="TopQuartile"/>
    <n v="1"/>
    <x v="0"/>
    <s v="Y63"/>
    <x v="2"/>
    <n v="389"/>
    <x v="5"/>
  </r>
  <r>
    <x v="0"/>
    <n v="7"/>
    <s v="RTG"/>
    <x v="0"/>
    <n v="1"/>
    <x v="86"/>
    <s v="TopQuartile"/>
    <n v="1"/>
    <x v="0"/>
    <s v="Y60"/>
    <x v="3"/>
    <n v="320"/>
    <x v="5"/>
  </r>
  <r>
    <x v="0"/>
    <n v="7"/>
    <s v="RGT"/>
    <x v="0"/>
    <n v="1"/>
    <x v="87"/>
    <s v="TopQuartile"/>
    <n v="1"/>
    <x v="0"/>
    <s v="Y61"/>
    <x v="4"/>
    <n v="180"/>
    <x v="5"/>
  </r>
  <r>
    <x v="0"/>
    <n v="7"/>
    <s v="RBL"/>
    <x v="0"/>
    <n v="1"/>
    <x v="88"/>
    <s v="SecondQuartile"/>
    <n v="2"/>
    <x v="2"/>
    <s v="Y62"/>
    <x v="6"/>
    <n v="408"/>
    <x v="5"/>
  </r>
  <r>
    <x v="0"/>
    <n v="7"/>
    <s v="RXN"/>
    <x v="0"/>
    <n v="1"/>
    <x v="89"/>
    <s v="TopQuartile"/>
    <n v="1"/>
    <x v="0"/>
    <s v="Y62"/>
    <x v="6"/>
    <n v="438"/>
    <x v="5"/>
  </r>
  <r>
    <x v="0"/>
    <n v="7"/>
    <s v="RTD"/>
    <x v="0"/>
    <n v="1"/>
    <x v="90"/>
    <s v="TopQuartile"/>
    <n v="1"/>
    <x v="0"/>
    <s v="Y63"/>
    <x v="2"/>
    <n v="317"/>
    <x v="5"/>
  </r>
  <r>
    <x v="0"/>
    <n v="7"/>
    <s v="RHM"/>
    <x v="1"/>
    <n v="2"/>
    <x v="91"/>
    <s v="TopQuartile"/>
    <n v="1"/>
    <x v="1"/>
    <s v="Y59"/>
    <x v="0"/>
    <n v="188"/>
    <x v="5"/>
  </r>
  <r>
    <x v="0"/>
    <n v="7"/>
    <s v="RM3"/>
    <x v="1"/>
    <n v="2"/>
    <x v="92"/>
    <s v="SecondQuartile"/>
    <n v="2"/>
    <x v="0"/>
    <s v="Y62"/>
    <x v="6"/>
    <n v="236"/>
    <x v="5"/>
  </r>
  <r>
    <x v="0"/>
    <n v="7"/>
    <s v="RF4"/>
    <x v="1"/>
    <n v="2"/>
    <x v="93"/>
    <s v="SecondQuartile"/>
    <n v="2"/>
    <x v="0"/>
    <s v="Y56"/>
    <x v="1"/>
    <n v="162"/>
    <x v="5"/>
  </r>
  <r>
    <x v="0"/>
    <n v="7"/>
    <s v="RJC"/>
    <x v="1"/>
    <n v="2"/>
    <x v="94"/>
    <s v="SecondQuartile"/>
    <n v="2"/>
    <x v="0"/>
    <s v="Y60"/>
    <x v="3"/>
    <n v="203"/>
    <x v="5"/>
  </r>
  <r>
    <x v="0"/>
    <n v="7"/>
    <s v="RBN"/>
    <x v="1"/>
    <n v="2"/>
    <x v="95"/>
    <s v="SecondQuartile"/>
    <n v="2"/>
    <x v="0"/>
    <s v="Y62"/>
    <x v="6"/>
    <n v="96"/>
    <x v="5"/>
  </r>
  <r>
    <x v="0"/>
    <n v="7"/>
    <s v="RBN"/>
    <x v="1"/>
    <n v="2"/>
    <x v="95"/>
    <s v="SecondQuartile"/>
    <n v="2"/>
    <x v="0"/>
    <s v="Y62"/>
    <x v="6"/>
    <n v="409"/>
    <x v="5"/>
  </r>
  <r>
    <x v="0"/>
    <n v="7"/>
    <s v="RHQ"/>
    <x v="1"/>
    <n v="2"/>
    <x v="96"/>
    <s v="SecondQuartile"/>
    <n v="2"/>
    <x v="0"/>
    <s v="Y63"/>
    <x v="2"/>
    <n v="190"/>
    <x v="5"/>
  </r>
  <r>
    <x v="0"/>
    <n v="7"/>
    <s v="RTX"/>
    <x v="1"/>
    <n v="2"/>
    <x v="97"/>
    <s v="SecondQuartile"/>
    <n v="2"/>
    <x v="0"/>
    <s v="Y62"/>
    <x v="6"/>
    <n v="331"/>
    <x v="5"/>
  </r>
  <r>
    <x v="0"/>
    <n v="7"/>
    <s v="RYR"/>
    <x v="1"/>
    <n v="2"/>
    <x v="98"/>
    <s v="SecondQuartile"/>
    <n v="2"/>
    <x v="0"/>
    <s v="Y59"/>
    <x v="0"/>
    <n v="279"/>
    <x v="5"/>
  </r>
  <r>
    <x v="0"/>
    <n v="7"/>
    <s v="RQX"/>
    <x v="1"/>
    <n v="2"/>
    <x v="99"/>
    <s v="ThirdQuartile"/>
    <n v="3"/>
    <x v="2"/>
    <s v="Y56"/>
    <x v="1"/>
    <n v="293"/>
    <x v="5"/>
  </r>
  <r>
    <x v="0"/>
    <n v="7"/>
    <s v="RAL"/>
    <x v="1"/>
    <n v="2"/>
    <x v="100"/>
    <s v="SecondQuartile"/>
    <n v="2"/>
    <x v="0"/>
    <s v="Y56"/>
    <x v="1"/>
    <n v="391"/>
    <x v="5"/>
  </r>
  <r>
    <x v="0"/>
    <n v="7"/>
    <s v="RP5"/>
    <x v="1"/>
    <n v="2"/>
    <x v="101"/>
    <s v="SecondQuartile"/>
    <n v="2"/>
    <x v="0"/>
    <s v="Y63"/>
    <x v="2"/>
    <n v="272"/>
    <x v="5"/>
  </r>
  <r>
    <x v="0"/>
    <n v="7"/>
    <s v="RVV"/>
    <x v="1"/>
    <n v="2"/>
    <x v="102"/>
    <s v="SecondQuartile"/>
    <n v="2"/>
    <x v="0"/>
    <s v="Y59"/>
    <x v="0"/>
    <n v="344"/>
    <x v="5"/>
  </r>
  <r>
    <x v="0"/>
    <n v="7"/>
    <s v="RWA"/>
    <x v="1"/>
    <n v="2"/>
    <x v="103"/>
    <s v="SecondQuartile"/>
    <n v="2"/>
    <x v="0"/>
    <s v="Y63"/>
    <x v="2"/>
    <n v="356"/>
    <x v="5"/>
  </r>
  <r>
    <x v="0"/>
    <n v="7"/>
    <s v="RRV"/>
    <x v="1"/>
    <n v="2"/>
    <x v="104"/>
    <s v="ThirdQuartile"/>
    <n v="3"/>
    <x v="2"/>
    <s v="Y56"/>
    <x v="1"/>
    <n v="309"/>
    <x v="5"/>
  </r>
  <r>
    <x v="0"/>
    <n v="7"/>
    <s v="RKB"/>
    <x v="1"/>
    <n v="2"/>
    <x v="105"/>
    <s v="ThirdQuartile"/>
    <n v="3"/>
    <x v="2"/>
    <s v="Y60"/>
    <x v="3"/>
    <n v="218"/>
    <x v="5"/>
  </r>
  <r>
    <x v="0"/>
    <n v="7"/>
    <s v="RWE"/>
    <x v="2"/>
    <n v="3"/>
    <x v="106"/>
    <s v="ThirdQuartile"/>
    <n v="3"/>
    <x v="0"/>
    <s v="Y60"/>
    <x v="3"/>
    <n v="358"/>
    <x v="5"/>
  </r>
  <r>
    <x v="0"/>
    <n v="7"/>
    <s v="RD8"/>
    <x v="2"/>
    <n v="3"/>
    <x v="107"/>
    <s v="ThirdQuartile"/>
    <n v="3"/>
    <x v="0"/>
    <s v="Y61"/>
    <x v="4"/>
    <n v="430"/>
    <x v="5"/>
  </r>
  <r>
    <x v="0"/>
    <n v="7"/>
    <s v="RVR"/>
    <x v="2"/>
    <n v="3"/>
    <x v="108"/>
    <s v="ThirdQuartile"/>
    <n v="3"/>
    <x v="0"/>
    <s v="Y56"/>
    <x v="1"/>
    <n v="343"/>
    <x v="5"/>
  </r>
  <r>
    <x v="0"/>
    <n v="7"/>
    <s v="RJ7"/>
    <x v="2"/>
    <n v="3"/>
    <x v="109"/>
    <s v="ThirdQuartile"/>
    <n v="3"/>
    <x v="0"/>
    <s v="Y56"/>
    <x v="1"/>
    <n v="200"/>
    <x v="5"/>
  </r>
  <r>
    <x v="0"/>
    <n v="7"/>
    <s v="R1H"/>
    <x v="2"/>
    <n v="3"/>
    <x v="110"/>
    <s v="ThirdQuartile"/>
    <n v="3"/>
    <x v="0"/>
    <s v="Y56"/>
    <x v="1"/>
    <n v="259"/>
    <x v="5"/>
  </r>
  <r>
    <x v="0"/>
    <n v="7"/>
    <s v="RAP"/>
    <x v="2"/>
    <n v="3"/>
    <x v="111"/>
    <s v="ThirdQuartile"/>
    <n v="3"/>
    <x v="0"/>
    <s v="Y56"/>
    <x v="1"/>
    <n v="393"/>
    <x v="5"/>
  </r>
  <r>
    <x v="0"/>
    <n v="7"/>
    <s v="RXF"/>
    <x v="2"/>
    <n v="3"/>
    <x v="112"/>
    <s v="ThirdQuartile"/>
    <n v="3"/>
    <x v="0"/>
    <s v="Y63"/>
    <x v="2"/>
    <n v="377"/>
    <x v="5"/>
  </r>
  <r>
    <x v="0"/>
    <n v="7"/>
    <s v="RTR"/>
    <x v="2"/>
    <n v="3"/>
    <x v="113"/>
    <s v="ThirdQuartile"/>
    <n v="3"/>
    <x v="0"/>
    <s v="Y63"/>
    <x v="2"/>
    <n v="328"/>
    <x v="5"/>
  </r>
  <r>
    <x v="0"/>
    <n v="7"/>
    <s v="RWW"/>
    <x v="2"/>
    <n v="3"/>
    <x v="114"/>
    <s v="ThirdQuartile"/>
    <n v="3"/>
    <x v="0"/>
    <s v="Y62"/>
    <x v="6"/>
    <n v="370"/>
    <x v="5"/>
  </r>
  <r>
    <x v="0"/>
    <n v="7"/>
    <s v="RGP"/>
    <x v="2"/>
    <n v="3"/>
    <x v="115"/>
    <s v="ThirdQuartile"/>
    <n v="3"/>
    <x v="0"/>
    <s v="Y61"/>
    <x v="4"/>
    <n v="177"/>
    <x v="5"/>
  </r>
  <r>
    <x v="0"/>
    <n v="7"/>
    <s v="RWG"/>
    <x v="2"/>
    <n v="3"/>
    <x v="116"/>
    <s v="ThirdQuartile"/>
    <n v="3"/>
    <x v="0"/>
    <s v="Y61"/>
    <x v="4"/>
    <n v="360"/>
    <x v="5"/>
  </r>
  <r>
    <x v="0"/>
    <n v="7"/>
    <s v="RJZ"/>
    <x v="2"/>
    <n v="3"/>
    <x v="117"/>
    <s v="ThirdQuartile"/>
    <n v="3"/>
    <x v="0"/>
    <s v="Y56"/>
    <x v="1"/>
    <n v="213"/>
    <x v="5"/>
  </r>
  <r>
    <x v="0"/>
    <n v="7"/>
    <s v="RR8"/>
    <x v="2"/>
    <n v="3"/>
    <x v="118"/>
    <s v="ThirdQuartile"/>
    <n v="3"/>
    <x v="0"/>
    <s v="Y63"/>
    <x v="2"/>
    <n v="298"/>
    <x v="5"/>
  </r>
  <r>
    <x v="0"/>
    <n v="7"/>
    <s v="RXL"/>
    <x v="2"/>
    <n v="3"/>
    <x v="119"/>
    <s v="ThirdQuartile"/>
    <n v="3"/>
    <x v="0"/>
    <s v="Y62"/>
    <x v="6"/>
    <n v="382"/>
    <x v="5"/>
  </r>
  <r>
    <x v="0"/>
    <n v="7"/>
    <s v="RK9"/>
    <x v="2"/>
    <n v="3"/>
    <x v="120"/>
    <s v="ThirdQuartile"/>
    <n v="3"/>
    <x v="0"/>
    <s v="Y58"/>
    <x v="5"/>
    <n v="216"/>
    <x v="5"/>
  </r>
  <r>
    <x v="0"/>
    <n v="7"/>
    <s v="R1K"/>
    <x v="2"/>
    <n v="3"/>
    <x v="121"/>
    <s v="ThirdQuartile"/>
    <n v="3"/>
    <x v="0"/>
    <s v="Y56"/>
    <x v="1"/>
    <n v="337"/>
    <x v="5"/>
  </r>
  <r>
    <x v="0"/>
    <n v="7"/>
    <s v="REM"/>
    <x v="2"/>
    <n v="3"/>
    <x v="122"/>
    <s v="ThirdQuartile"/>
    <n v="3"/>
    <x v="0"/>
    <s v="Y62"/>
    <x v="6"/>
    <n v="287"/>
    <x v="5"/>
  </r>
  <r>
    <x v="0"/>
    <n v="7"/>
    <s v="R0A"/>
    <x v="3"/>
    <n v="4"/>
    <x v="123"/>
    <s v="FourthQuartile"/>
    <n v="4"/>
    <x v="0"/>
    <s v="Y62"/>
    <x v="6"/>
    <n v="349"/>
    <x v="5"/>
  </r>
  <r>
    <x v="0"/>
    <n v="7"/>
    <s v="RJ1"/>
    <x v="3"/>
    <n v="4"/>
    <x v="124"/>
    <s v="FourthQuartile"/>
    <n v="4"/>
    <x v="0"/>
    <s v="Y56"/>
    <x v="1"/>
    <n v="196"/>
    <x v="5"/>
  </r>
  <r>
    <x v="0"/>
    <n v="7"/>
    <s v="RTH"/>
    <x v="3"/>
    <n v="4"/>
    <x v="125"/>
    <s v="FourthQuartile"/>
    <n v="4"/>
    <x v="0"/>
    <s v="Y59"/>
    <x v="0"/>
    <n v="321"/>
    <x v="5"/>
  </r>
  <r>
    <x v="0"/>
    <n v="7"/>
    <s v="RRK"/>
    <x v="3"/>
    <n v="4"/>
    <x v="126"/>
    <s v="FourthQuartile"/>
    <n v="4"/>
    <x v="0"/>
    <s v="Y60"/>
    <x v="3"/>
    <n v="304"/>
    <x v="5"/>
  </r>
  <r>
    <x v="0"/>
    <n v="7"/>
    <s v="RA7"/>
    <x v="3"/>
    <n v="4"/>
    <x v="127"/>
    <s v="FourthQuartile"/>
    <n v="4"/>
    <x v="0"/>
    <s v="Y58"/>
    <x v="5"/>
    <n v="387"/>
    <x v="5"/>
  </r>
  <r>
    <x v="0"/>
    <n v="7"/>
    <s v="RCB"/>
    <x v="3"/>
    <n v="4"/>
    <x v="128"/>
    <s v="FourthQuartile"/>
    <n v="4"/>
    <x v="0"/>
    <s v="Y63"/>
    <x v="2"/>
    <n v="419"/>
    <x v="5"/>
  </r>
  <r>
    <x v="0"/>
    <n v="7"/>
    <s v="RJE"/>
    <x v="3"/>
    <n v="4"/>
    <x v="129"/>
    <s v="FourthQuartile"/>
    <n v="4"/>
    <x v="0"/>
    <s v="Y60"/>
    <x v="3"/>
    <n v="205"/>
    <x v="5"/>
  </r>
  <r>
    <x v="0"/>
    <n v="7"/>
    <s v="RYJ"/>
    <x v="3"/>
    <n v="4"/>
    <x v="130"/>
    <s v="FourthQuartile"/>
    <n v="4"/>
    <x v="0"/>
    <s v="Y56"/>
    <x v="1"/>
    <n v="290"/>
    <x v="5"/>
  </r>
  <r>
    <x v="0"/>
    <n v="7"/>
    <s v="RQM"/>
    <x v="3"/>
    <n v="4"/>
    <x v="131"/>
    <s v="FourthQuartile"/>
    <n v="4"/>
    <x v="0"/>
    <s v="Y56"/>
    <x v="1"/>
    <n v="289"/>
    <x v="5"/>
  </r>
  <r>
    <x v="0"/>
    <n v="7"/>
    <s v="R0D"/>
    <x v="3"/>
    <n v="4"/>
    <x v="132"/>
    <s v="FourthQuartile"/>
    <n v="4"/>
    <x v="0"/>
    <s v="Y58"/>
    <x v="5"/>
    <n v="153"/>
    <x v="5"/>
  </r>
  <r>
    <x v="0"/>
    <n v="7"/>
    <s v="RX1"/>
    <x v="3"/>
    <n v="4"/>
    <x v="133"/>
    <s v="FourthQuartile"/>
    <n v="4"/>
    <x v="0"/>
    <s v="Y60"/>
    <x v="3"/>
    <n v="164"/>
    <x v="5"/>
  </r>
  <r>
    <x v="0"/>
    <n v="7"/>
    <s v="RM1"/>
    <x v="3"/>
    <n v="4"/>
    <x v="134"/>
    <s v="FourthQuartile"/>
    <n v="4"/>
    <x v="0"/>
    <s v="Y61"/>
    <x v="4"/>
    <n v="234"/>
    <x v="5"/>
  </r>
  <r>
    <x v="0"/>
    <n v="7"/>
    <s v="RYD"/>
    <x v="2"/>
    <n v="3"/>
    <x v="135"/>
    <s v="SecondQuartile"/>
    <n v="2"/>
    <x v="1"/>
    <s v="Y59"/>
    <x v="0"/>
    <n v="278"/>
    <x v="6"/>
  </r>
  <r>
    <x v="0"/>
    <n v="7"/>
    <s v="RYA"/>
    <x v="2"/>
    <n v="3"/>
    <x v="136"/>
    <s v="ThirdQuartile"/>
    <n v="3"/>
    <x v="0"/>
    <s v="Y60"/>
    <x v="3"/>
    <n v="217"/>
    <x v="6"/>
  </r>
  <r>
    <x v="0"/>
    <n v="7"/>
    <s v="RYE"/>
    <x v="2"/>
    <n v="3"/>
    <x v="137"/>
    <s v="ThirdQuartile"/>
    <n v="3"/>
    <x v="0"/>
    <s v="Y59"/>
    <x v="0"/>
    <n v="195"/>
    <x v="6"/>
  </r>
  <r>
    <x v="0"/>
    <n v="7"/>
    <s v="RX6"/>
    <x v="3"/>
    <n v="4"/>
    <x v="138"/>
    <s v="FourthQuartile"/>
    <n v="4"/>
    <x v="0"/>
    <s v="Y63"/>
    <x v="2"/>
    <n v="340"/>
    <x v="6"/>
  </r>
  <r>
    <x v="0"/>
    <n v="7"/>
    <s v="RX8"/>
    <x v="3"/>
    <n v="4"/>
    <x v="139"/>
    <s v="FourthQuartile"/>
    <n v="4"/>
    <x v="0"/>
    <s v="Y63"/>
    <x v="2"/>
    <n v="174"/>
    <x v="6"/>
  </r>
  <r>
    <x v="0"/>
    <n v="7"/>
    <s v="RYC"/>
    <x v="3"/>
    <n v="4"/>
    <x v="140"/>
    <s v="FourthQuartile"/>
    <n v="4"/>
    <x v="0"/>
    <s v="Y61"/>
    <x v="4"/>
    <n v="247"/>
    <x v="6"/>
  </r>
  <r>
    <x v="0"/>
    <n v="7"/>
    <s v="RRU"/>
    <x v="3"/>
    <n v="4"/>
    <x v="141"/>
    <s v="FourthQuartile"/>
    <n v="4"/>
    <x v="0"/>
    <s v="Y56"/>
    <x v="1"/>
    <n v="308"/>
    <x v="6"/>
  </r>
  <r>
    <x v="0"/>
    <n v="7"/>
    <s v="RX7"/>
    <x v="3"/>
    <n v="4"/>
    <x v="142"/>
    <s v="FourthQuartile"/>
    <n v="4"/>
    <x v="0"/>
    <s v="Y62"/>
    <x v="6"/>
    <n v="242"/>
    <x v="6"/>
  </r>
  <r>
    <x v="0"/>
    <n v="7"/>
    <s v="RYF"/>
    <x v="3"/>
    <n v="4"/>
    <x v="143"/>
    <s v="FourthQuartile"/>
    <n v="4"/>
    <x v="0"/>
    <s v="Y58"/>
    <x v="5"/>
    <n v="202"/>
    <x v="6"/>
  </r>
  <r>
    <x v="0"/>
    <n v="7"/>
    <s v="RX9"/>
    <x v="3"/>
    <n v="4"/>
    <x v="144"/>
    <s v="FourthQuartile"/>
    <n v="4"/>
    <x v="0"/>
    <s v="Y60"/>
    <x v="3"/>
    <n v="335"/>
    <x v="6"/>
  </r>
  <r>
    <x v="0"/>
    <n v="7"/>
    <s v="TAD"/>
    <x v="0"/>
    <n v="1"/>
    <x v="145"/>
    <s v="SecondQuartile"/>
    <n v="2"/>
    <x v="2"/>
    <s v="Y63"/>
    <x v="2"/>
    <n v="453"/>
    <x v="7"/>
  </r>
  <r>
    <x v="0"/>
    <n v="7"/>
    <s v="TAH"/>
    <x v="1"/>
    <n v="2"/>
    <x v="146"/>
    <s v="SecondQuartile"/>
    <n v="2"/>
    <x v="0"/>
    <s v="Y63"/>
    <x v="2"/>
    <n v="457"/>
    <x v="7"/>
  </r>
  <r>
    <x v="0"/>
    <n v="7"/>
    <s v="TAF"/>
    <x v="2"/>
    <n v="3"/>
    <x v="147"/>
    <s v="FourthQuartile"/>
    <n v="4"/>
    <x v="2"/>
    <s v="Y56"/>
    <x v="1"/>
    <n v="455"/>
    <x v="7"/>
  </r>
  <r>
    <x v="0"/>
    <n v="7"/>
    <s v="0AR"/>
    <x v="0"/>
    <n v="1"/>
    <x v="148"/>
    <s v="FourthQuartile"/>
    <n v="4"/>
    <x v="2"/>
    <s v="QZZ"/>
    <x v="7"/>
    <n v="869"/>
    <x v="8"/>
  </r>
  <r>
    <x v="0"/>
    <n v="7"/>
    <s v="0DF"/>
    <x v="0"/>
    <n v="1"/>
    <x v="149"/>
    <s v="TopQuartile"/>
    <n v="1"/>
    <x v="0"/>
    <s v="QZZ"/>
    <x v="7"/>
    <n v="891"/>
    <x v="8"/>
  </r>
  <r>
    <x v="0"/>
    <n v="7"/>
    <s v="0CX"/>
    <x v="0"/>
    <n v="1"/>
    <x v="150"/>
    <s v="TopQuartile"/>
    <n v="1"/>
    <x v="0"/>
    <s v="QZZ"/>
    <x v="7"/>
    <n v="877"/>
    <x v="8"/>
  </r>
  <r>
    <x v="0"/>
    <n v="7"/>
    <s v="0DE"/>
    <x v="1"/>
    <n v="2"/>
    <x v="151"/>
    <s v="SecondQuartile"/>
    <n v="2"/>
    <x v="0"/>
    <s v="QZZ"/>
    <x v="7"/>
    <n v="880"/>
    <x v="8"/>
  </r>
  <r>
    <x v="0"/>
    <n v="7"/>
    <s v="R1C"/>
    <x v="0"/>
    <n v="1"/>
    <x v="152"/>
    <s v="TopQuartile"/>
    <n v="1"/>
    <x v="0"/>
    <s v="Y59"/>
    <x v="0"/>
    <n v="449"/>
    <x v="9"/>
  </r>
  <r>
    <x v="0"/>
    <n v="7"/>
    <s v="NQ7"/>
    <x v="0"/>
    <n v="1"/>
    <x v="153"/>
    <s v="TopQuartile"/>
    <n v="1"/>
    <x v="0"/>
    <s v="Y59"/>
    <x v="0"/>
    <n v="813"/>
    <x v="9"/>
  </r>
  <r>
    <x v="0"/>
    <n v="7"/>
    <s v="RYY"/>
    <x v="0"/>
    <n v="1"/>
    <x v="154"/>
    <s v="TopQuartile"/>
    <n v="1"/>
    <x v="0"/>
    <s v="Y59"/>
    <x v="0"/>
    <n v="846"/>
    <x v="9"/>
  </r>
  <r>
    <x v="0"/>
    <n v="7"/>
    <s v="AXG"/>
    <x v="0"/>
    <n v="1"/>
    <x v="155"/>
    <s v="TopQuartile"/>
    <n v="1"/>
    <x v="0"/>
    <s v="Y58"/>
    <x v="5"/>
    <n v="85"/>
    <x v="9"/>
  </r>
  <r>
    <x v="0"/>
    <n v="7"/>
    <s v="RY5"/>
    <x v="0"/>
    <n v="1"/>
    <x v="156"/>
    <s v="SecondQuartile"/>
    <n v="2"/>
    <x v="2"/>
    <s v="Y60"/>
    <x v="3"/>
    <n v="818"/>
    <x v="9"/>
  </r>
  <r>
    <x v="0"/>
    <n v="7"/>
    <s v="8J318"/>
    <x v="0"/>
    <n v="1"/>
    <x v="157"/>
    <s v="TopQuartile"/>
    <n v="1"/>
    <x v="0"/>
    <s v="Y63"/>
    <x v="2"/>
    <n v="98"/>
    <x v="9"/>
  </r>
  <r>
    <x v="0"/>
    <n v="7"/>
    <s v="RDR"/>
    <x v="0"/>
    <n v="1"/>
    <x v="158"/>
    <s v="TopQuartile"/>
    <n v="1"/>
    <x v="0"/>
    <s v="Y59"/>
    <x v="0"/>
    <n v="150"/>
    <x v="9"/>
  </r>
  <r>
    <x v="0"/>
    <n v="7"/>
    <s v="RY7"/>
    <x v="0"/>
    <n v="1"/>
    <x v="159"/>
    <s v="TopQuartile"/>
    <n v="1"/>
    <x v="0"/>
    <s v="Y62"/>
    <x v="6"/>
    <n v="844"/>
    <x v="9"/>
  </r>
  <r>
    <x v="0"/>
    <n v="7"/>
    <s v="R1D"/>
    <x v="0"/>
    <n v="1"/>
    <x v="160"/>
    <s v="TopQuartile"/>
    <n v="1"/>
    <x v="0"/>
    <s v="Y60"/>
    <x v="3"/>
    <n v="825"/>
    <x v="9"/>
  </r>
  <r>
    <x v="0"/>
    <n v="7"/>
    <s v="NQA"/>
    <x v="1"/>
    <n v="2"/>
    <x v="161"/>
    <s v="SecondQuartile"/>
    <n v="2"/>
    <x v="0"/>
    <s v="Y61"/>
    <x v="4"/>
    <n v="828"/>
    <x v="9"/>
  </r>
  <r>
    <x v="0"/>
    <n v="7"/>
    <s v="NL1"/>
    <x v="1"/>
    <n v="2"/>
    <x v="162"/>
    <s v="SecondQuartile"/>
    <n v="2"/>
    <x v="0"/>
    <s v="Y63"/>
    <x v="2"/>
    <n v="847"/>
    <x v="9"/>
  </r>
  <r>
    <x v="0"/>
    <n v="7"/>
    <s v="NAX"/>
    <x v="1"/>
    <n v="2"/>
    <x v="163"/>
    <s v="SecondQuartile"/>
    <n v="2"/>
    <x v="0"/>
    <s v="Y61"/>
    <x v="4"/>
    <n v="849"/>
    <x v="9"/>
  </r>
  <r>
    <x v="0"/>
    <n v="7"/>
    <s v="NL3"/>
    <x v="1"/>
    <n v="2"/>
    <x v="164"/>
    <s v="SecondQuartile"/>
    <n v="2"/>
    <x v="0"/>
    <s v="Y63"/>
    <x v="2"/>
    <n v="814"/>
    <x v="9"/>
  </r>
  <r>
    <x v="0"/>
    <n v="7"/>
    <s v="NNV"/>
    <x v="1"/>
    <n v="2"/>
    <x v="165"/>
    <s v="SecondQuartile"/>
    <n v="2"/>
    <x v="0"/>
    <s v="Y56"/>
    <x v="1"/>
    <n v="811"/>
    <x v="9"/>
  </r>
  <r>
    <x v="0"/>
    <n v="7"/>
    <s v="NQL"/>
    <x v="1"/>
    <n v="2"/>
    <x v="166"/>
    <s v="SecondQuartile"/>
    <n v="2"/>
    <x v="0"/>
    <s v="Y63"/>
    <x v="2"/>
    <n v="816"/>
    <x v="9"/>
  </r>
  <r>
    <x v="0"/>
    <n v="7"/>
    <s v="RY4"/>
    <x v="1"/>
    <n v="2"/>
    <x v="167"/>
    <s v="SecondQuartile"/>
    <n v="2"/>
    <x v="0"/>
    <s v="Y61"/>
    <x v="4"/>
    <n v="812"/>
    <x v="9"/>
  </r>
  <r>
    <x v="0"/>
    <n v="7"/>
    <s v="RY9"/>
    <x v="1"/>
    <n v="2"/>
    <x v="168"/>
    <s v="SecondQuartile"/>
    <n v="2"/>
    <x v="0"/>
    <s v="Y56"/>
    <x v="1"/>
    <n v="779"/>
    <x v="9"/>
  </r>
  <r>
    <x v="0"/>
    <n v="7"/>
    <s v="RY3"/>
    <x v="1"/>
    <n v="2"/>
    <x v="169"/>
    <s v="ThirdQuartile"/>
    <n v="3"/>
    <x v="2"/>
    <s v="Y61"/>
    <x v="4"/>
    <n v="839"/>
    <x v="9"/>
  </r>
  <r>
    <x v="0"/>
    <n v="7"/>
    <s v="R1A"/>
    <x v="2"/>
    <n v="3"/>
    <x v="170"/>
    <s v="ThirdQuartile"/>
    <n v="3"/>
    <x v="0"/>
    <s v="Y60"/>
    <x v="3"/>
    <n v="798"/>
    <x v="9"/>
  </r>
  <r>
    <x v="0"/>
    <n v="7"/>
    <s v="RYV"/>
    <x v="2"/>
    <n v="3"/>
    <x v="171"/>
    <s v="ThirdQuartile"/>
    <n v="3"/>
    <x v="0"/>
    <s v="Y61"/>
    <x v="4"/>
    <n v="448"/>
    <x v="9"/>
  </r>
  <r>
    <x v="0"/>
    <n v="7"/>
    <s v="RY8"/>
    <x v="2"/>
    <n v="3"/>
    <x v="172"/>
    <s v="ThirdQuartile"/>
    <n v="3"/>
    <x v="0"/>
    <s v="Y60"/>
    <x v="3"/>
    <n v="842"/>
    <x v="9"/>
  </r>
  <r>
    <x v="0"/>
    <n v="7"/>
    <s v="NNF"/>
    <x v="2"/>
    <n v="3"/>
    <x v="173"/>
    <s v="ThirdQuartile"/>
    <n v="3"/>
    <x v="0"/>
    <s v="Y63"/>
    <x v="2"/>
    <n v="810"/>
    <x v="9"/>
  </r>
  <r>
    <x v="0"/>
    <n v="7"/>
    <s v="RY2"/>
    <x v="2"/>
    <n v="3"/>
    <x v="174"/>
    <s v="ThirdQuartile"/>
    <n v="3"/>
    <x v="0"/>
    <s v="Y62"/>
    <x v="6"/>
    <n v="835"/>
    <x v="9"/>
  </r>
  <r>
    <x v="0"/>
    <n v="7"/>
    <s v="NR3"/>
    <x v="2"/>
    <n v="3"/>
    <x v="175"/>
    <s v="SecondQuartile"/>
    <n v="2"/>
    <x v="1"/>
    <s v="Y60"/>
    <x v="3"/>
    <n v="826"/>
    <x v="9"/>
  </r>
  <r>
    <x v="0"/>
    <n v="7"/>
    <s v="RYW"/>
    <x v="2"/>
    <n v="3"/>
    <x v="176"/>
    <s v="ThirdQuartile"/>
    <n v="3"/>
    <x v="0"/>
    <s v="Y60"/>
    <x v="3"/>
    <n v="820"/>
    <x v="9"/>
  </r>
  <r>
    <x v="0"/>
    <n v="7"/>
    <s v="NL8"/>
    <x v="2"/>
    <n v="3"/>
    <x v="177"/>
    <s v="ThirdQuartile"/>
    <n v="3"/>
    <x v="0"/>
    <s v="Y63"/>
    <x v="2"/>
    <n v="845"/>
    <x v="9"/>
  </r>
  <r>
    <x v="0"/>
    <n v="7"/>
    <s v="NQV"/>
    <x v="3"/>
    <n v="4"/>
    <x v="178"/>
    <s v="FourthQuartile"/>
    <n v="4"/>
    <x v="0"/>
    <s v="Y56"/>
    <x v="1"/>
    <n v="848"/>
    <x v="9"/>
  </r>
  <r>
    <x v="0"/>
    <n v="7"/>
    <s v="RYX"/>
    <x v="3"/>
    <n v="4"/>
    <x v="179"/>
    <s v="FourthQuartile"/>
    <n v="4"/>
    <x v="0"/>
    <s v="Y56"/>
    <x v="1"/>
    <n v="824"/>
    <x v="9"/>
  </r>
  <r>
    <x v="0"/>
    <n v="7"/>
    <s v="RY6"/>
    <x v="3"/>
    <n v="4"/>
    <x v="180"/>
    <s v="FourthQuartile"/>
    <n v="4"/>
    <x v="0"/>
    <s v="Y63"/>
    <x v="2"/>
    <n v="833"/>
    <x v="9"/>
  </r>
  <r>
    <x v="0"/>
    <n v="7"/>
    <s v="NLX"/>
    <x v="3"/>
    <n v="4"/>
    <x v="181"/>
    <s v="FourthQuartile"/>
    <n v="4"/>
    <x v="0"/>
    <s v="Y58"/>
    <x v="5"/>
    <n v="83"/>
    <x v="9"/>
  </r>
  <r>
    <x v="0"/>
    <n v="7"/>
    <s v="NTV"/>
    <x v="3"/>
    <n v="4"/>
    <x v="182"/>
    <s v="FourthQuartile"/>
    <n v="4"/>
    <x v="0"/>
    <s v="Y59"/>
    <x v="0"/>
    <n v="74"/>
    <x v="9"/>
  </r>
  <r>
    <x v="0"/>
    <n v="7"/>
    <s v="NR5"/>
    <x v="3"/>
    <n v="4"/>
    <x v="183"/>
    <s v="FourthQuartile"/>
    <n v="4"/>
    <x v="0"/>
    <s v="Y58"/>
    <x v="5"/>
    <n v="832"/>
    <x v="9"/>
  </r>
  <r>
    <x v="0"/>
    <n v="7"/>
    <s v="RYK"/>
    <x v="3"/>
    <n v="4"/>
    <x v="184"/>
    <s v="FourthQuartile"/>
    <n v="4"/>
    <x v="0"/>
    <s v="Y60"/>
    <x v="3"/>
    <n v="445"/>
    <x v="9"/>
  </r>
  <r>
    <x v="0"/>
    <n v="7"/>
    <s v="NDJ"/>
    <x v="3"/>
    <n v="4"/>
    <x v="185"/>
    <s v="FourthQuartile"/>
    <n v="4"/>
    <x v="0"/>
    <s v="Y59"/>
    <x v="0"/>
    <n v="78"/>
    <x v="9"/>
  </r>
  <r>
    <x v="0"/>
    <n v="7"/>
    <s v="NRR"/>
    <x v="3"/>
    <n v="4"/>
    <x v="186"/>
    <s v="FourthQuartile"/>
    <n v="4"/>
    <x v="0"/>
    <s v="Y61"/>
    <x v="4"/>
    <n v="829"/>
    <x v="9"/>
  </r>
  <r>
    <x v="0"/>
    <n v="7"/>
    <s v="QNX"/>
    <x v="0"/>
    <n v="1"/>
    <x v="187"/>
    <s v="TopQuartile"/>
    <n v="1"/>
    <x v="0"/>
    <s v="Y59"/>
    <x v="0"/>
    <n v="146"/>
    <x v="10"/>
  </r>
  <r>
    <x v="0"/>
    <n v="7"/>
    <s v="QR1"/>
    <x v="0"/>
    <n v="1"/>
    <x v="188"/>
    <s v="TopQuartile"/>
    <n v="1"/>
    <x v="0"/>
    <s v="Y58"/>
    <x v="5"/>
    <n v="843"/>
    <x v="10"/>
  </r>
  <r>
    <x v="0"/>
    <n v="7"/>
    <s v="QUY"/>
    <x v="0"/>
    <n v="1"/>
    <x v="189"/>
    <s v="SecondQuartile"/>
    <n v="2"/>
    <x v="2"/>
    <s v="Y58"/>
    <x v="5"/>
    <n v="461"/>
    <x v="10"/>
  </r>
  <r>
    <x v="0"/>
    <n v="7"/>
    <s v="QGH"/>
    <x v="0"/>
    <n v="1"/>
    <x v="190"/>
    <s v="TopQuartile"/>
    <n v="1"/>
    <x v="0"/>
    <s v="Y60"/>
    <x v="3"/>
    <n v="106"/>
    <x v="10"/>
  </r>
  <r>
    <x v="0"/>
    <n v="7"/>
    <s v="QYG"/>
    <x v="0"/>
    <n v="1"/>
    <x v="191"/>
    <s v="TopQuartile"/>
    <n v="1"/>
    <x v="0"/>
    <s v="Y62"/>
    <x v="6"/>
    <n v="493"/>
    <x v="10"/>
  </r>
  <r>
    <x v="0"/>
    <n v="7"/>
    <s v="QU9"/>
    <x v="0"/>
    <n v="1"/>
    <x v="192"/>
    <s v="TopQuartile"/>
    <n v="1"/>
    <x v="0"/>
    <s v="Y59"/>
    <x v="0"/>
    <n v="482"/>
    <x v="10"/>
  </r>
  <r>
    <x v="0"/>
    <n v="7"/>
    <s v="QOX"/>
    <x v="0"/>
    <n v="1"/>
    <x v="193"/>
    <s v="TopQuartile"/>
    <n v="1"/>
    <x v="0"/>
    <s v="Y58"/>
    <x v="5"/>
    <n v="983"/>
    <x v="10"/>
  </r>
  <r>
    <x v="0"/>
    <n v="7"/>
    <s v="QHG"/>
    <x v="0"/>
    <n v="1"/>
    <x v="194"/>
    <s v="TopQuartile"/>
    <n v="1"/>
    <x v="0"/>
    <s v="Y61"/>
    <x v="4"/>
    <n v="465"/>
    <x v="10"/>
  </r>
  <r>
    <x v="0"/>
    <n v="7"/>
    <s v="QPM"/>
    <x v="0"/>
    <n v="1"/>
    <x v="195"/>
    <s v="TopQuartile"/>
    <n v="1"/>
    <x v="0"/>
    <s v="Y60"/>
    <x v="3"/>
    <n v="86"/>
    <x v="10"/>
  </r>
  <r>
    <x v="0"/>
    <n v="7"/>
    <s v="QNC"/>
    <x v="0"/>
    <n v="1"/>
    <x v="196"/>
    <s v="TopQuartile"/>
    <n v="1"/>
    <x v="0"/>
    <s v="Y60"/>
    <x v="3"/>
    <n v="66"/>
    <x v="10"/>
  </r>
  <r>
    <x v="0"/>
    <n v="7"/>
    <s v="QSL"/>
    <x v="0"/>
    <n v="1"/>
    <x v="197"/>
    <s v="TopQuartile"/>
    <n v="1"/>
    <x v="0"/>
    <s v="Y58"/>
    <x v="5"/>
    <n v="462"/>
    <x v="10"/>
  </r>
  <r>
    <x v="0"/>
    <n v="7"/>
    <s v="QJK"/>
    <x v="0"/>
    <n v="1"/>
    <x v="198"/>
    <s v="TopQuartile"/>
    <n v="1"/>
    <x v="0"/>
    <s v="Y58"/>
    <x v="5"/>
    <n v="144"/>
    <x v="10"/>
  </r>
  <r>
    <x v="0"/>
    <n v="7"/>
    <s v="QJM"/>
    <x v="0"/>
    <n v="1"/>
    <x v="199"/>
    <s v="TopQuartile"/>
    <n v="1"/>
    <x v="0"/>
    <s v="Y60"/>
    <x v="3"/>
    <n v="116"/>
    <x v="10"/>
  </r>
  <r>
    <x v="0"/>
    <n v="7"/>
    <s v="QNQ"/>
    <x v="0"/>
    <n v="1"/>
    <x v="200"/>
    <s v="TopQuartile"/>
    <n v="1"/>
    <x v="0"/>
    <s v="Y59"/>
    <x v="0"/>
    <n v="495"/>
    <x v="10"/>
  </r>
  <r>
    <x v="0"/>
    <n v="7"/>
    <s v="QF7"/>
    <x v="1"/>
    <n v="2"/>
    <x v="201"/>
    <s v="TopQuartile"/>
    <n v="1"/>
    <x v="1"/>
    <s v="Y63"/>
    <x v="2"/>
    <n v="133"/>
    <x v="10"/>
  </r>
  <r>
    <x v="0"/>
    <n v="7"/>
    <s v="QRL"/>
    <x v="1"/>
    <n v="2"/>
    <x v="202"/>
    <s v="TopQuartile"/>
    <n v="1"/>
    <x v="1"/>
    <s v="Y59"/>
    <x v="0"/>
    <n v="104"/>
    <x v="10"/>
  </r>
  <r>
    <x v="0"/>
    <n v="7"/>
    <s v="QOC"/>
    <x v="1"/>
    <n v="2"/>
    <x v="203"/>
    <s v="TopQuartile"/>
    <n v="1"/>
    <x v="1"/>
    <s v="Y60"/>
    <x v="3"/>
    <n v="942"/>
    <x v="10"/>
  </r>
  <r>
    <x v="0"/>
    <n v="7"/>
    <s v="QK1"/>
    <x v="1"/>
    <n v="2"/>
    <x v="204"/>
    <s v="SecondQuartile"/>
    <n v="2"/>
    <x v="0"/>
    <s v="Y60"/>
    <x v="3"/>
    <n v="994"/>
    <x v="10"/>
  </r>
  <r>
    <x v="0"/>
    <n v="7"/>
    <s v="QKK"/>
    <x v="1"/>
    <n v="2"/>
    <x v="205"/>
    <s v="SecondQuartile"/>
    <n v="2"/>
    <x v="0"/>
    <s v="Y56"/>
    <x v="1"/>
    <n v="487"/>
    <x v="10"/>
  </r>
  <r>
    <x v="0"/>
    <n v="7"/>
    <s v="QWU"/>
    <x v="1"/>
    <n v="2"/>
    <x v="206"/>
    <s v="SecondQuartile"/>
    <n v="2"/>
    <x v="0"/>
    <s v="Y60"/>
    <x v="3"/>
    <n v="105"/>
    <x v="10"/>
  </r>
  <r>
    <x v="0"/>
    <n v="7"/>
    <s v="QHL"/>
    <x v="1"/>
    <n v="2"/>
    <x v="207"/>
    <s v="SecondQuartile"/>
    <n v="2"/>
    <x v="0"/>
    <s v="Y60"/>
    <x v="3"/>
    <n v="529"/>
    <x v="10"/>
  </r>
  <r>
    <x v="0"/>
    <n v="7"/>
    <s v="QT1"/>
    <x v="1"/>
    <n v="2"/>
    <x v="208"/>
    <s v="SecondQuartile"/>
    <n v="2"/>
    <x v="0"/>
    <s v="Y60"/>
    <x v="3"/>
    <n v="111"/>
    <x v="10"/>
  </r>
  <r>
    <x v="0"/>
    <n v="7"/>
    <s v="QMM"/>
    <x v="1"/>
    <n v="2"/>
    <x v="209"/>
    <s v="SecondQuartile"/>
    <n v="2"/>
    <x v="0"/>
    <s v="Y61"/>
    <x v="4"/>
    <n v="137"/>
    <x v="10"/>
  </r>
  <r>
    <x v="0"/>
    <n v="7"/>
    <s v="QT6"/>
    <x v="1"/>
    <n v="2"/>
    <x v="210"/>
    <s v="SecondQuartile"/>
    <n v="2"/>
    <x v="0"/>
    <s v="Y58"/>
    <x v="5"/>
    <n v="471"/>
    <x v="10"/>
  </r>
  <r>
    <x v="0"/>
    <n v="7"/>
    <s v="QJ2"/>
    <x v="1"/>
    <n v="2"/>
    <x v="211"/>
    <s v="SecondQuartile"/>
    <n v="2"/>
    <x v="0"/>
    <s v="Y60"/>
    <x v="3"/>
    <n v="996"/>
    <x v="10"/>
  </r>
  <r>
    <x v="0"/>
    <n v="7"/>
    <s v="QRV"/>
    <x v="2"/>
    <n v="3"/>
    <x v="212"/>
    <s v="ThirdQuartile"/>
    <n v="3"/>
    <x v="0"/>
    <s v="Y56"/>
    <x v="1"/>
    <n v="807"/>
    <x v="10"/>
  </r>
  <r>
    <x v="0"/>
    <n v="7"/>
    <s v="QMJ"/>
    <x v="2"/>
    <n v="3"/>
    <x v="213"/>
    <s v="ThirdQuartile"/>
    <n v="3"/>
    <x v="0"/>
    <s v="Y56"/>
    <x v="1"/>
    <n v="985"/>
    <x v="10"/>
  </r>
  <r>
    <x v="0"/>
    <n v="7"/>
    <s v="QKS"/>
    <x v="2"/>
    <n v="3"/>
    <x v="214"/>
    <s v="ThirdQuartile"/>
    <n v="3"/>
    <x v="0"/>
    <s v="Y59"/>
    <x v="0"/>
    <n v="95"/>
    <x v="10"/>
  </r>
  <r>
    <x v="0"/>
    <n v="7"/>
    <s v="QWE"/>
    <x v="2"/>
    <n v="3"/>
    <x v="215"/>
    <s v="ThirdQuartile"/>
    <n v="3"/>
    <x v="0"/>
    <s v="Y56"/>
    <x v="1"/>
    <n v="491"/>
    <x v="10"/>
  </r>
  <r>
    <x v="0"/>
    <n v="7"/>
    <s v="QE1"/>
    <x v="2"/>
    <n v="3"/>
    <x v="216"/>
    <s v="ThirdQuartile"/>
    <n v="3"/>
    <x v="0"/>
    <s v="Y62"/>
    <x v="6"/>
    <n v="125"/>
    <x v="10"/>
  </r>
  <r>
    <x v="0"/>
    <n v="7"/>
    <s v="QHM"/>
    <x v="3"/>
    <n v="4"/>
    <x v="217"/>
    <s v="FourthQuartile"/>
    <n v="4"/>
    <x v="0"/>
    <s v="Y63"/>
    <x v="2"/>
    <n v="134"/>
    <x v="10"/>
  </r>
  <r>
    <x v="0"/>
    <n v="7"/>
    <s v="QOP"/>
    <x v="3"/>
    <n v="4"/>
    <x v="218"/>
    <s v="FourthQuartile"/>
    <n v="4"/>
    <x v="0"/>
    <s v="Y62"/>
    <x v="6"/>
    <n v="896"/>
    <x v="10"/>
  </r>
  <r>
    <x v="0"/>
    <n v="7"/>
    <s v="QXU"/>
    <x v="3"/>
    <n v="4"/>
    <x v="219"/>
    <s v="FourthQuartile"/>
    <n v="4"/>
    <x v="0"/>
    <s v="Y59"/>
    <x v="0"/>
    <n v="256"/>
    <x v="10"/>
  </r>
  <r>
    <x v="0"/>
    <n v="7"/>
    <s v="QMF"/>
    <x v="3"/>
    <n v="4"/>
    <x v="220"/>
    <s v="FourthQuartile"/>
    <n v="4"/>
    <x v="0"/>
    <s v="Y56"/>
    <x v="1"/>
    <n v="161"/>
    <x v="10"/>
  </r>
  <r>
    <x v="0"/>
    <n v="7"/>
    <s v="QH8"/>
    <x v="3"/>
    <n v="4"/>
    <x v="221"/>
    <s v="FourthQuartile"/>
    <n v="4"/>
    <x v="0"/>
    <s v="Y61"/>
    <x v="4"/>
    <n v="708"/>
    <x v="10"/>
  </r>
  <r>
    <x v="0"/>
    <n v="7"/>
    <s v="QUA"/>
    <x v="3"/>
    <n v="4"/>
    <x v="222"/>
    <s v="FourthQuartile"/>
    <n v="4"/>
    <x v="0"/>
    <s v="Y60"/>
    <x v="3"/>
    <n v="118"/>
    <x v="10"/>
  </r>
  <r>
    <x v="0"/>
    <n v="7"/>
    <s v="QM7"/>
    <x v="3"/>
    <n v="4"/>
    <x v="223"/>
    <s v="FourthQuartile"/>
    <n v="4"/>
    <x v="0"/>
    <s v="Y61"/>
    <x v="4"/>
    <n v="468"/>
    <x v="10"/>
  </r>
  <r>
    <x v="0"/>
    <n v="7"/>
    <s v="QWO"/>
    <x v="3"/>
    <n v="4"/>
    <x v="224"/>
    <s v="FourthQuartile"/>
    <n v="4"/>
    <x v="0"/>
    <s v="Y63"/>
    <x v="2"/>
    <n v="475"/>
    <x v="10"/>
  </r>
  <r>
    <x v="0"/>
    <n v="7"/>
    <s v="QVV"/>
    <x v="3"/>
    <n v="4"/>
    <x v="225"/>
    <s v="FourthQuartile"/>
    <n v="4"/>
    <x v="0"/>
    <s v="Y58"/>
    <x v="5"/>
    <n v="467"/>
    <x v="10"/>
  </r>
  <r>
    <x v="0"/>
    <n v="7"/>
    <s v="QJG"/>
    <x v="3"/>
    <n v="4"/>
    <x v="226"/>
    <s v="FourthQuartile"/>
    <n v="4"/>
    <x v="0"/>
    <s v="Y61"/>
    <x v="4"/>
    <n v="710"/>
    <x v="10"/>
  </r>
  <r>
    <x v="0"/>
    <n v="7"/>
    <s v="QOQ"/>
    <x v="3"/>
    <n v="4"/>
    <x v="227"/>
    <s v="FourthQuartile"/>
    <n v="4"/>
    <x v="0"/>
    <s v="Y63"/>
    <x v="2"/>
    <n v="857"/>
    <x v="10"/>
  </r>
  <r>
    <x v="0"/>
    <n v="7"/>
    <s v="QUE"/>
    <x v="3"/>
    <n v="4"/>
    <x v="228"/>
    <s v="FourthQuartile"/>
    <n v="4"/>
    <x v="0"/>
    <s v="Y61"/>
    <x v="4"/>
    <n v="644"/>
    <x v="10"/>
  </r>
  <r>
    <x v="0"/>
    <n v="7"/>
    <s v="RJ8"/>
    <x v="0"/>
    <n v="1"/>
    <x v="229"/>
    <s v="TopQuartile"/>
    <n v="1"/>
    <x v="0"/>
    <s v="Y58"/>
    <x v="5"/>
    <n v="201"/>
    <x v="11"/>
  </r>
  <r>
    <x v="0"/>
    <n v="7"/>
    <s v="RP7"/>
    <x v="0"/>
    <n v="1"/>
    <x v="230"/>
    <s v="TopQuartile"/>
    <n v="1"/>
    <x v="0"/>
    <s v="Y60"/>
    <x v="3"/>
    <n v="274"/>
    <x v="11"/>
  </r>
  <r>
    <x v="0"/>
    <n v="7"/>
    <s v="RX2"/>
    <x v="0"/>
    <n v="1"/>
    <x v="231"/>
    <s v="TopQuartile"/>
    <n v="1"/>
    <x v="0"/>
    <s v="Y59"/>
    <x v="0"/>
    <n v="354"/>
    <x v="11"/>
  </r>
  <r>
    <x v="0"/>
    <n v="7"/>
    <s v="RGD"/>
    <x v="0"/>
    <n v="1"/>
    <x v="232"/>
    <s v="TopQuartile"/>
    <n v="1"/>
    <x v="0"/>
    <s v="Y63"/>
    <x v="2"/>
    <n v="173"/>
    <x v="11"/>
  </r>
  <r>
    <x v="0"/>
    <n v="7"/>
    <s v="RX4"/>
    <x v="0"/>
    <n v="1"/>
    <x v="233"/>
    <s v="TopQuartile"/>
    <n v="1"/>
    <x v="0"/>
    <s v="Y63"/>
    <x v="2"/>
    <n v="263"/>
    <x v="11"/>
  </r>
  <r>
    <x v="0"/>
    <n v="7"/>
    <s v="RXE"/>
    <x v="0"/>
    <n v="1"/>
    <x v="234"/>
    <s v="TopQuartile"/>
    <n v="1"/>
    <x v="0"/>
    <s v="Y63"/>
    <x v="2"/>
    <n v="376"/>
    <x v="11"/>
  </r>
  <r>
    <x v="0"/>
    <n v="7"/>
    <s v="RXA"/>
    <x v="0"/>
    <n v="1"/>
    <x v="235"/>
    <s v="TopQuartile"/>
    <n v="1"/>
    <x v="0"/>
    <s v="Y62"/>
    <x v="6"/>
    <n v="373"/>
    <x v="11"/>
  </r>
  <r>
    <x v="0"/>
    <n v="7"/>
    <s v="RT2"/>
    <x v="0"/>
    <n v="1"/>
    <x v="236"/>
    <s v="TopQuartile"/>
    <n v="1"/>
    <x v="0"/>
    <s v="Y62"/>
    <x v="6"/>
    <n v="311"/>
    <x v="11"/>
  </r>
  <r>
    <x v="0"/>
    <n v="7"/>
    <s v="RWV"/>
    <x v="0"/>
    <n v="1"/>
    <x v="237"/>
    <s v="TopQuartile"/>
    <n v="1"/>
    <x v="0"/>
    <s v="Y58"/>
    <x v="5"/>
    <n v="369"/>
    <x v="11"/>
  </r>
  <r>
    <x v="0"/>
    <n v="7"/>
    <s v="RVN"/>
    <x v="0"/>
    <n v="1"/>
    <x v="238"/>
    <s v="TopQuartile"/>
    <n v="1"/>
    <x v="0"/>
    <s v="Y58"/>
    <x v="5"/>
    <n v="342"/>
    <x v="11"/>
  </r>
  <r>
    <x v="0"/>
    <n v="7"/>
    <s v="RXG"/>
    <x v="0"/>
    <n v="1"/>
    <x v="239"/>
    <s v="TopQuartile"/>
    <n v="1"/>
    <x v="0"/>
    <s v="Y63"/>
    <x v="2"/>
    <n v="378"/>
    <x v="11"/>
  </r>
  <r>
    <x v="0"/>
    <n v="7"/>
    <s v="RTQ"/>
    <x v="0"/>
    <n v="1"/>
    <x v="240"/>
    <s v="TopQuartile"/>
    <n v="1"/>
    <x v="0"/>
    <s v="Y58"/>
    <x v="5"/>
    <n v="327"/>
    <x v="11"/>
  </r>
  <r>
    <x v="0"/>
    <n v="7"/>
    <s v="RX3"/>
    <x v="0"/>
    <n v="1"/>
    <x v="241"/>
    <s v="SecondQuartile"/>
    <n v="2"/>
    <x v="2"/>
    <s v="Y63"/>
    <x v="2"/>
    <n v="346"/>
    <x v="11"/>
  </r>
  <r>
    <x v="0"/>
    <n v="7"/>
    <s v="RV9"/>
    <x v="0"/>
    <n v="1"/>
    <x v="242"/>
    <s v="TopQuartile"/>
    <n v="1"/>
    <x v="0"/>
    <s v="Y63"/>
    <x v="2"/>
    <n v="338"/>
    <x v="11"/>
  </r>
  <r>
    <x v="0"/>
    <n v="7"/>
    <s v="RW4"/>
    <x v="1"/>
    <n v="2"/>
    <x v="243"/>
    <s v="TopQuartile"/>
    <n v="1"/>
    <x v="1"/>
    <s v="Y62"/>
    <x v="6"/>
    <n v="350"/>
    <x v="11"/>
  </r>
  <r>
    <x v="0"/>
    <n v="7"/>
    <s v="RQY"/>
    <x v="1"/>
    <n v="2"/>
    <x v="244"/>
    <s v="SecondQuartile"/>
    <n v="2"/>
    <x v="0"/>
    <s v="Y56"/>
    <x v="1"/>
    <n v="294"/>
    <x v="11"/>
  </r>
  <r>
    <x v="0"/>
    <n v="7"/>
    <s v="RV3"/>
    <x v="1"/>
    <n v="2"/>
    <x v="245"/>
    <s v="TopQuartile"/>
    <n v="1"/>
    <x v="1"/>
    <s v="Y56"/>
    <x v="1"/>
    <n v="333"/>
    <x v="11"/>
  </r>
  <r>
    <x v="0"/>
    <n v="7"/>
    <s v="RWR"/>
    <x v="1"/>
    <n v="2"/>
    <x v="246"/>
    <s v="SecondQuartile"/>
    <n v="2"/>
    <x v="0"/>
    <s v="Y61"/>
    <x v="4"/>
    <n v="367"/>
    <x v="11"/>
  </r>
  <r>
    <x v="0"/>
    <n v="7"/>
    <s v="RDY"/>
    <x v="1"/>
    <n v="2"/>
    <x v="247"/>
    <s v="SecondQuartile"/>
    <n v="2"/>
    <x v="0"/>
    <s v="Y58"/>
    <x v="5"/>
    <n v="152"/>
    <x v="11"/>
  </r>
  <r>
    <x v="0"/>
    <n v="7"/>
    <s v="RHA"/>
    <x v="1"/>
    <n v="2"/>
    <x v="248"/>
    <s v="ThirdQuartile"/>
    <n v="3"/>
    <x v="2"/>
    <s v="Y60"/>
    <x v="3"/>
    <n v="186"/>
    <x v="11"/>
  </r>
  <r>
    <x v="0"/>
    <n v="7"/>
    <s v="R1L"/>
    <x v="1"/>
    <n v="2"/>
    <x v="249"/>
    <s v="SecondQuartile"/>
    <n v="2"/>
    <x v="0"/>
    <s v="Y61"/>
    <x v="4"/>
    <n v="364"/>
    <x v="11"/>
  </r>
  <r>
    <x v="0"/>
    <n v="7"/>
    <s v="RRP"/>
    <x v="1"/>
    <n v="2"/>
    <x v="250"/>
    <s v="SecondQuartile"/>
    <n v="2"/>
    <x v="0"/>
    <s v="Y56"/>
    <x v="1"/>
    <n v="306"/>
    <x v="11"/>
  </r>
  <r>
    <x v="0"/>
    <n v="7"/>
    <s v="RXV"/>
    <x v="1"/>
    <n v="2"/>
    <x v="251"/>
    <s v="SecondQuartile"/>
    <n v="2"/>
    <x v="0"/>
    <s v="Y62"/>
    <x v="6"/>
    <n v="437"/>
    <x v="11"/>
  </r>
  <r>
    <x v="0"/>
    <n v="7"/>
    <s v="RKL"/>
    <x v="1"/>
    <n v="2"/>
    <x v="252"/>
    <s v="SecondQuartile"/>
    <n v="2"/>
    <x v="0"/>
    <s v="Y56"/>
    <x v="1"/>
    <n v="222"/>
    <x v="11"/>
  </r>
  <r>
    <x v="0"/>
    <n v="7"/>
    <s v="RRE"/>
    <x v="1"/>
    <n v="2"/>
    <x v="253"/>
    <s v="SecondQuartile"/>
    <n v="2"/>
    <x v="0"/>
    <s v="Y60"/>
    <x v="3"/>
    <n v="301"/>
    <x v="11"/>
  </r>
  <r>
    <x v="0"/>
    <n v="7"/>
    <s v="RLY"/>
    <x v="2"/>
    <n v="3"/>
    <x v="254"/>
    <s v="ThirdQuartile"/>
    <n v="3"/>
    <x v="0"/>
    <s v="Y60"/>
    <x v="3"/>
    <n v="232"/>
    <x v="11"/>
  </r>
  <r>
    <x v="0"/>
    <n v="7"/>
    <s v="RW1"/>
    <x v="2"/>
    <n v="3"/>
    <x v="255"/>
    <s v="ThirdQuartile"/>
    <n v="3"/>
    <x v="0"/>
    <s v="Y59"/>
    <x v="0"/>
    <n v="348"/>
    <x v="11"/>
  </r>
  <r>
    <x v="0"/>
    <n v="7"/>
    <s v="RP1"/>
    <x v="2"/>
    <n v="3"/>
    <x v="256"/>
    <s v="ThirdQuartile"/>
    <n v="3"/>
    <x v="0"/>
    <s v="Y60"/>
    <x v="3"/>
    <n v="270"/>
    <x v="11"/>
  </r>
  <r>
    <x v="0"/>
    <n v="7"/>
    <s v="RWX"/>
    <x v="2"/>
    <n v="3"/>
    <x v="257"/>
    <s v="ThirdQuartile"/>
    <n v="3"/>
    <x v="0"/>
    <s v="Y59"/>
    <x v="0"/>
    <n v="371"/>
    <x v="11"/>
  </r>
  <r>
    <x v="0"/>
    <n v="7"/>
    <s v="RXM"/>
    <x v="2"/>
    <n v="3"/>
    <x v="258"/>
    <s v="ThirdQuartile"/>
    <n v="3"/>
    <x v="0"/>
    <s v="Y60"/>
    <x v="3"/>
    <n v="383"/>
    <x v="11"/>
  </r>
  <r>
    <x v="0"/>
    <n v="7"/>
    <s v="RMY"/>
    <x v="2"/>
    <n v="3"/>
    <x v="259"/>
    <s v="SecondQuartile"/>
    <n v="2"/>
    <x v="1"/>
    <s v="Y61"/>
    <x v="4"/>
    <n v="246"/>
    <x v="11"/>
  </r>
  <r>
    <x v="0"/>
    <n v="7"/>
    <s v="RWK"/>
    <x v="2"/>
    <n v="3"/>
    <x v="260"/>
    <s v="ThirdQuartile"/>
    <n v="3"/>
    <x v="0"/>
    <s v="Y56"/>
    <x v="1"/>
    <n v="363"/>
    <x v="11"/>
  </r>
  <r>
    <x v="0"/>
    <n v="7"/>
    <s v="RPG"/>
    <x v="2"/>
    <n v="3"/>
    <x v="261"/>
    <s v="ThirdQuartile"/>
    <n v="3"/>
    <x v="0"/>
    <s v="Y56"/>
    <x v="1"/>
    <n v="277"/>
    <x v="11"/>
  </r>
  <r>
    <x v="0"/>
    <n v="7"/>
    <s v="RT5"/>
    <x v="3"/>
    <n v="4"/>
    <x v="262"/>
    <s v="ThirdQuartile"/>
    <n v="3"/>
    <x v="1"/>
    <s v="Y60"/>
    <x v="3"/>
    <n v="313"/>
    <x v="11"/>
  </r>
  <r>
    <x v="0"/>
    <n v="7"/>
    <s v="RXY"/>
    <x v="3"/>
    <n v="4"/>
    <x v="263"/>
    <s v="FourthQuartile"/>
    <n v="4"/>
    <x v="0"/>
    <s v="Y59"/>
    <x v="0"/>
    <n v="380"/>
    <x v="11"/>
  </r>
  <r>
    <x v="0"/>
    <n v="7"/>
    <s v="RT1"/>
    <x v="3"/>
    <n v="4"/>
    <x v="264"/>
    <s v="FourthQuartile"/>
    <n v="4"/>
    <x v="0"/>
    <s v="Y61"/>
    <x v="4"/>
    <n v="310"/>
    <x v="11"/>
  </r>
  <r>
    <x v="0"/>
    <n v="7"/>
    <s v="RNU"/>
    <x v="3"/>
    <n v="4"/>
    <x v="265"/>
    <s v="FourthQuartile"/>
    <n v="4"/>
    <x v="0"/>
    <s v="Y59"/>
    <x v="0"/>
    <n v="267"/>
    <x v="11"/>
  </r>
  <r>
    <x v="0"/>
    <n v="7"/>
    <s v="RXX"/>
    <x v="3"/>
    <n v="4"/>
    <x v="266"/>
    <s v="FourthQuartile"/>
    <n v="4"/>
    <x v="0"/>
    <s v="Y59"/>
    <x v="0"/>
    <n v="325"/>
    <x v="11"/>
  </r>
  <r>
    <x v="0"/>
    <n v="7"/>
    <s v="RV5"/>
    <x v="3"/>
    <n v="4"/>
    <x v="267"/>
    <s v="FourthQuartile"/>
    <n v="4"/>
    <x v="0"/>
    <s v="Y56"/>
    <x v="1"/>
    <n v="334"/>
    <x v="11"/>
  </r>
  <r>
    <x v="0"/>
    <n v="7"/>
    <s v="RNK"/>
    <x v="3"/>
    <n v="4"/>
    <x v="268"/>
    <s v="FourthQuartile"/>
    <n v="4"/>
    <x v="0"/>
    <s v="Y56"/>
    <x v="1"/>
    <n v="260"/>
    <x v="11"/>
  </r>
  <r>
    <x v="0"/>
    <n v="7"/>
    <s v="RAT"/>
    <x v="3"/>
    <n v="4"/>
    <x v="269"/>
    <s v="FourthQuartile"/>
    <n v="4"/>
    <x v="0"/>
    <s v="Y56"/>
    <x v="1"/>
    <n v="395"/>
    <x v="11"/>
  </r>
  <r>
    <x v="0"/>
    <n v="7"/>
    <s v="TAJ"/>
    <x v="3"/>
    <n v="4"/>
    <x v="270"/>
    <s v="FourthQuartile"/>
    <n v="4"/>
    <x v="0"/>
    <s v="Y60"/>
    <x v="3"/>
    <n v="285"/>
    <x v="11"/>
  </r>
  <r>
    <x v="0"/>
    <n v="7"/>
    <s v="RW5"/>
    <x v="3"/>
    <n v="4"/>
    <x v="271"/>
    <s v="FourthQuartile"/>
    <n v="4"/>
    <x v="0"/>
    <s v="Y62"/>
    <x v="6"/>
    <n v="351"/>
    <x v="11"/>
  </r>
  <r>
    <x v="0"/>
    <n v="7"/>
    <s v="RYG"/>
    <x v="3"/>
    <n v="4"/>
    <x v="272"/>
    <s v="FourthQuartile"/>
    <n v="4"/>
    <x v="0"/>
    <s v="Y60"/>
    <x v="3"/>
    <n v="444"/>
    <x v="11"/>
  </r>
  <r>
    <x v="0"/>
    <n v="7"/>
    <s v="RXT"/>
    <x v="3"/>
    <n v="4"/>
    <x v="273"/>
    <s v="FourthQuartile"/>
    <n v="4"/>
    <x v="0"/>
    <s v="Y60"/>
    <x v="3"/>
    <n v="436"/>
    <x v="11"/>
  </r>
  <r>
    <x v="0"/>
    <n v="7"/>
    <s v="X80"/>
    <x v="0"/>
    <n v="1"/>
    <x v="274"/>
    <s v="TopQuartile"/>
    <n v="1"/>
    <x v="0"/>
    <s v="QZZ"/>
    <x v="7"/>
    <n v="907"/>
    <x v="12"/>
  </r>
  <r>
    <x v="0"/>
    <n v="7"/>
    <s v="T1480"/>
    <x v="1"/>
    <n v="2"/>
    <x v="275"/>
    <s v="SecondQuartile"/>
    <n v="2"/>
    <x v="0"/>
    <s v="QZZ"/>
    <x v="7"/>
    <n v="980"/>
    <x v="12"/>
  </r>
  <r>
    <x v="0"/>
    <n v="7"/>
    <s v="T1460"/>
    <x v="1"/>
    <n v="2"/>
    <x v="276"/>
    <s v="SecondQuartile"/>
    <n v="2"/>
    <x v="0"/>
    <s v="QZZ"/>
    <x v="7"/>
    <n v="918"/>
    <x v="12"/>
  </r>
  <r>
    <x v="0"/>
    <n v="7"/>
    <s v="T1450"/>
    <x v="1"/>
    <n v="2"/>
    <x v="277"/>
    <s v="SecondQuartile"/>
    <n v="2"/>
    <x v="0"/>
    <s v="QZZ"/>
    <x v="7"/>
    <n v="914"/>
    <x v="12"/>
  </r>
  <r>
    <x v="0"/>
    <n v="7"/>
    <s v="DEQ"/>
    <x v="2"/>
    <n v="3"/>
    <x v="278"/>
    <s v="SecondQuartile"/>
    <n v="2"/>
    <x v="1"/>
    <s v="Y56"/>
    <x v="1"/>
    <n v="44"/>
    <x v="12"/>
  </r>
  <r>
    <x v="0"/>
    <n v="7"/>
    <s v="Z1E5K"/>
    <x v="2"/>
    <n v="3"/>
    <x v="279"/>
    <s v="ThirdQuartile"/>
    <n v="3"/>
    <x v="0"/>
    <s v="QZZ"/>
    <x v="7"/>
    <n v="65"/>
    <x v="12"/>
  </r>
  <r>
    <x v="0"/>
    <n v="7"/>
    <s v="T1540"/>
    <x v="2"/>
    <n v="3"/>
    <x v="280"/>
    <s v="ThirdQuartile"/>
    <n v="3"/>
    <x v="0"/>
    <s v="QZZ"/>
    <x v="7"/>
    <n v="76"/>
    <x v="12"/>
  </r>
  <r>
    <x v="0"/>
    <n v="7"/>
    <s v="X24"/>
    <x v="3"/>
    <n v="4"/>
    <x v="281"/>
    <s v="FourthQuartile"/>
    <n v="4"/>
    <x v="0"/>
    <s v="QZZ"/>
    <x v="7"/>
    <n v="990"/>
    <x v="12"/>
  </r>
  <r>
    <x v="0"/>
    <n v="7"/>
    <s v="T1150"/>
    <x v="3"/>
    <n v="4"/>
    <x v="282"/>
    <s v="FourthQuartile"/>
    <n v="4"/>
    <x v="0"/>
    <s v="QZZ"/>
    <x v="7"/>
    <n v="912"/>
    <x v="12"/>
  </r>
  <r>
    <x v="0"/>
    <n v="7"/>
    <s v="NB7"/>
    <x v="3"/>
    <n v="4"/>
    <x v="283"/>
    <s v="FourthQuartile"/>
    <n v="4"/>
    <x v="0"/>
    <s v="QZZ"/>
    <x v="7"/>
    <n v="441"/>
    <x v="12"/>
  </r>
  <r>
    <x v="0"/>
    <n v="7"/>
    <s v="8JX76"/>
    <x v="3"/>
    <n v="4"/>
    <x v="284"/>
    <s v="FourthQuartile"/>
    <n v="4"/>
    <x v="0"/>
    <s v="QZZ"/>
    <x v="7"/>
    <n v="71"/>
    <x v="12"/>
  </r>
  <r>
    <x v="1"/>
    <n v="6"/>
    <s v="RXC"/>
    <x v="0"/>
    <n v="1"/>
    <x v="0"/>
    <s v="TopQuartile"/>
    <n v="1"/>
    <x v="0"/>
    <s v="Y59"/>
    <x v="0"/>
    <n v="374"/>
    <x v="0"/>
  </r>
  <r>
    <x v="1"/>
    <n v="6"/>
    <s v="RJ2"/>
    <x v="0"/>
    <n v="1"/>
    <x v="1"/>
    <s v="TopQuartile"/>
    <n v="1"/>
    <x v="0"/>
    <s v="Y56"/>
    <x v="1"/>
    <n v="197"/>
    <x v="0"/>
  </r>
  <r>
    <x v="1"/>
    <n v="6"/>
    <s v="RWD"/>
    <x v="0"/>
    <n v="1"/>
    <x v="5"/>
    <s v="SecondQuartile"/>
    <n v="2"/>
    <x v="2"/>
    <s v="Y60"/>
    <x v="3"/>
    <n v="357"/>
    <x v="0"/>
  </r>
  <r>
    <x v="1"/>
    <n v="6"/>
    <s v="RWF"/>
    <x v="0"/>
    <n v="1"/>
    <x v="2"/>
    <s v="TopQuartile"/>
    <n v="1"/>
    <x v="0"/>
    <s v="Y59"/>
    <x v="0"/>
    <n v="359"/>
    <x v="0"/>
  </r>
  <r>
    <x v="1"/>
    <n v="6"/>
    <s v="RTF"/>
    <x v="0"/>
    <n v="1"/>
    <x v="3"/>
    <s v="TopQuartile"/>
    <n v="1"/>
    <x v="0"/>
    <s v="Y63"/>
    <x v="2"/>
    <n v="319"/>
    <x v="0"/>
  </r>
  <r>
    <x v="1"/>
    <n v="6"/>
    <s v="RHU"/>
    <x v="0"/>
    <n v="1"/>
    <x v="4"/>
    <s v="SecondQuartile"/>
    <n v="2"/>
    <x v="2"/>
    <s v="Y59"/>
    <x v="0"/>
    <n v="192"/>
    <x v="0"/>
  </r>
  <r>
    <x v="1"/>
    <n v="6"/>
    <s v="RDE"/>
    <x v="1"/>
    <n v="2"/>
    <x v="6"/>
    <s v="SecondQuartile"/>
    <n v="2"/>
    <x v="0"/>
    <s v="Y61"/>
    <x v="4"/>
    <n v="432"/>
    <x v="0"/>
  </r>
  <r>
    <x v="1"/>
    <n v="6"/>
    <s v="RL4"/>
    <x v="1"/>
    <n v="2"/>
    <x v="7"/>
    <s v="SecondQuartile"/>
    <n v="2"/>
    <x v="0"/>
    <s v="Y60"/>
    <x v="3"/>
    <n v="225"/>
    <x v="0"/>
  </r>
  <r>
    <x v="1"/>
    <n v="6"/>
    <s v="RDU"/>
    <x v="1"/>
    <n v="2"/>
    <x v="12"/>
    <s v="SecondQuartile"/>
    <n v="2"/>
    <x v="0"/>
    <s v="Y59"/>
    <x v="0"/>
    <n v="151"/>
    <x v="0"/>
  </r>
  <r>
    <x v="1"/>
    <n v="6"/>
    <s v="RAJ"/>
    <x v="2"/>
    <n v="3"/>
    <x v="8"/>
    <s v="ThirdQuartile"/>
    <n v="3"/>
    <x v="0"/>
    <s v="Y61"/>
    <x v="4"/>
    <n v="390"/>
    <x v="0"/>
  </r>
  <r>
    <x v="1"/>
    <n v="6"/>
    <s v="RVJ"/>
    <x v="2"/>
    <n v="3"/>
    <x v="13"/>
    <s v="ThirdQuartile"/>
    <n v="3"/>
    <x v="0"/>
    <s v="Y58"/>
    <x v="5"/>
    <n v="339"/>
    <x v="0"/>
  </r>
  <r>
    <x v="1"/>
    <n v="6"/>
    <s v="RWH"/>
    <x v="2"/>
    <n v="3"/>
    <x v="9"/>
    <s v="ThirdQuartile"/>
    <n v="3"/>
    <x v="0"/>
    <s v="Y61"/>
    <x v="4"/>
    <n v="361"/>
    <x v="0"/>
  </r>
  <r>
    <x v="1"/>
    <n v="6"/>
    <s v="RWY"/>
    <x v="2"/>
    <n v="3"/>
    <x v="10"/>
    <s v="ThirdQuartile"/>
    <n v="3"/>
    <x v="0"/>
    <s v="Y63"/>
    <x v="2"/>
    <n v="372"/>
    <x v="0"/>
  </r>
  <r>
    <x v="1"/>
    <n v="6"/>
    <s v="RGN"/>
    <x v="2"/>
    <n v="3"/>
    <x v="11"/>
    <s v="FourthQuartile"/>
    <n v="4"/>
    <x v="2"/>
    <s v="Y61"/>
    <x v="4"/>
    <n v="176"/>
    <x v="0"/>
  </r>
  <r>
    <x v="1"/>
    <n v="6"/>
    <s v="R0B"/>
    <x v="2"/>
    <n v="3"/>
    <x v="15"/>
    <s v="FourthQuartile"/>
    <n v="4"/>
    <x v="2"/>
    <s v="Y63"/>
    <x v="2"/>
    <n v="155"/>
    <x v="0"/>
  </r>
  <r>
    <x v="1"/>
    <n v="6"/>
    <s v="RWP"/>
    <x v="2"/>
    <n v="3"/>
    <x v="14"/>
    <s v="FourthQuartile"/>
    <n v="4"/>
    <x v="2"/>
    <s v="Y60"/>
    <x v="3"/>
    <n v="365"/>
    <x v="0"/>
  </r>
  <r>
    <x v="1"/>
    <n v="6"/>
    <s v="RXR"/>
    <x v="3"/>
    <n v="4"/>
    <x v="17"/>
    <s v="FourthQuartile"/>
    <n v="4"/>
    <x v="0"/>
    <s v="Y62"/>
    <x v="6"/>
    <n v="435"/>
    <x v="0"/>
  </r>
  <r>
    <x v="1"/>
    <n v="6"/>
    <s v="RH8"/>
    <x v="3"/>
    <n v="4"/>
    <x v="18"/>
    <s v="FourthQuartile"/>
    <n v="4"/>
    <x v="0"/>
    <s v="Y58"/>
    <x v="5"/>
    <n v="185"/>
    <x v="0"/>
  </r>
  <r>
    <x v="1"/>
    <n v="6"/>
    <s v="RN5"/>
    <x v="3"/>
    <n v="4"/>
    <x v="19"/>
    <s v="FourthQuartile"/>
    <n v="4"/>
    <x v="0"/>
    <s v="Y59"/>
    <x v="0"/>
    <n v="251"/>
    <x v="0"/>
  </r>
  <r>
    <x v="1"/>
    <n v="6"/>
    <s v="RTE"/>
    <x v="3"/>
    <n v="4"/>
    <x v="16"/>
    <s v="FourthQuartile"/>
    <n v="4"/>
    <x v="0"/>
    <s v="Y58"/>
    <x v="5"/>
    <n v="318"/>
    <x v="0"/>
  </r>
  <r>
    <x v="1"/>
    <n v="6"/>
    <s v="RHW"/>
    <x v="3"/>
    <n v="4"/>
    <x v="20"/>
    <s v="FourthQuartile"/>
    <n v="4"/>
    <x v="0"/>
    <s v="Y59"/>
    <x v="0"/>
    <n v="193"/>
    <x v="0"/>
  </r>
  <r>
    <x v="1"/>
    <n v="6"/>
    <s v="RXK"/>
    <x v="3"/>
    <n v="4"/>
    <x v="21"/>
    <s v="FourthQuartile"/>
    <n v="4"/>
    <x v="0"/>
    <s v="Y60"/>
    <x v="3"/>
    <n v="381"/>
    <x v="0"/>
  </r>
  <r>
    <x v="1"/>
    <n v="6"/>
    <s v="REF"/>
    <x v="3"/>
    <n v="4"/>
    <x v="22"/>
    <s v="FourthQuartile"/>
    <n v="4"/>
    <x v="0"/>
    <s v="Y58"/>
    <x v="5"/>
    <n v="156"/>
    <x v="0"/>
  </r>
  <r>
    <x v="1"/>
    <n v="6"/>
    <s v="RK5"/>
    <x v="0"/>
    <n v="1"/>
    <x v="26"/>
    <s v="SecondQuartile"/>
    <n v="2"/>
    <x v="2"/>
    <s v="Y60"/>
    <x v="3"/>
    <n v="214"/>
    <x v="1"/>
  </r>
  <r>
    <x v="1"/>
    <n v="6"/>
    <s v="RR7"/>
    <x v="0"/>
    <n v="1"/>
    <x v="25"/>
    <s v="SecondQuartile"/>
    <n v="2"/>
    <x v="2"/>
    <s v="Y63"/>
    <x v="2"/>
    <n v="297"/>
    <x v="1"/>
  </r>
  <r>
    <x v="1"/>
    <n v="6"/>
    <s v="RJ6"/>
    <x v="0"/>
    <n v="1"/>
    <x v="24"/>
    <s v="TopQuartile"/>
    <n v="1"/>
    <x v="0"/>
    <s v="Y56"/>
    <x v="1"/>
    <n v="199"/>
    <x v="1"/>
  </r>
  <r>
    <x v="1"/>
    <n v="6"/>
    <s v="RXW"/>
    <x v="0"/>
    <n v="1"/>
    <x v="23"/>
    <s v="TopQuartile"/>
    <n v="1"/>
    <x v="0"/>
    <s v="Y60"/>
    <x v="3"/>
    <n v="223"/>
    <x v="1"/>
  </r>
  <r>
    <x v="1"/>
    <n v="6"/>
    <s v="RJL"/>
    <x v="0"/>
    <n v="1"/>
    <x v="27"/>
    <s v="TopQuartile"/>
    <n v="1"/>
    <x v="0"/>
    <s v="Y63"/>
    <x v="2"/>
    <n v="208"/>
    <x v="1"/>
  </r>
  <r>
    <x v="1"/>
    <n v="6"/>
    <s v="RD1"/>
    <x v="1"/>
    <n v="2"/>
    <x v="28"/>
    <s v="SecondQuartile"/>
    <n v="2"/>
    <x v="0"/>
    <s v="Y58"/>
    <x v="5"/>
    <n v="427"/>
    <x v="1"/>
  </r>
  <r>
    <x v="1"/>
    <n v="6"/>
    <s v="RAX"/>
    <x v="1"/>
    <n v="2"/>
    <x v="29"/>
    <s v="TopQuartile"/>
    <n v="1"/>
    <x v="1"/>
    <s v="Y56"/>
    <x v="1"/>
    <n v="396"/>
    <x v="1"/>
  </r>
  <r>
    <x v="1"/>
    <n v="6"/>
    <s v="RNS"/>
    <x v="1"/>
    <n v="2"/>
    <x v="31"/>
    <s v="SecondQuartile"/>
    <n v="2"/>
    <x v="0"/>
    <s v="Y60"/>
    <x v="3"/>
    <n v="265"/>
    <x v="1"/>
  </r>
  <r>
    <x v="1"/>
    <n v="6"/>
    <s v="RTP"/>
    <x v="1"/>
    <n v="2"/>
    <x v="32"/>
    <s v="SecondQuartile"/>
    <n v="2"/>
    <x v="0"/>
    <s v="Y59"/>
    <x v="0"/>
    <n v="326"/>
    <x v="1"/>
  </r>
  <r>
    <x v="1"/>
    <n v="6"/>
    <s v="RVW"/>
    <x v="1"/>
    <n v="2"/>
    <x v="30"/>
    <s v="SecondQuartile"/>
    <n v="2"/>
    <x v="0"/>
    <s v="Y63"/>
    <x v="2"/>
    <n v="345"/>
    <x v="1"/>
  </r>
  <r>
    <x v="1"/>
    <n v="6"/>
    <s v="RA2"/>
    <x v="1"/>
    <n v="2"/>
    <x v="33"/>
    <s v="ThirdQuartile"/>
    <n v="3"/>
    <x v="2"/>
    <s v="Y59"/>
    <x v="0"/>
    <n v="384"/>
    <x v="1"/>
  </r>
  <r>
    <x v="1"/>
    <n v="6"/>
    <s v="RMC"/>
    <x v="1"/>
    <n v="2"/>
    <x v="35"/>
    <s v="SecondQuartile"/>
    <n v="2"/>
    <x v="0"/>
    <s v="Y62"/>
    <x v="6"/>
    <n v="241"/>
    <x v="1"/>
  </r>
  <r>
    <x v="1"/>
    <n v="6"/>
    <s v="RPA"/>
    <x v="1"/>
    <n v="2"/>
    <x v="34"/>
    <s v="SecondQuartile"/>
    <n v="2"/>
    <x v="0"/>
    <s v="Y59"/>
    <x v="0"/>
    <n v="275"/>
    <x v="1"/>
  </r>
  <r>
    <x v="1"/>
    <n v="6"/>
    <s v="RWJ"/>
    <x v="2"/>
    <n v="3"/>
    <x v="36"/>
    <s v="ThirdQuartile"/>
    <n v="3"/>
    <x v="0"/>
    <s v="Y62"/>
    <x v="6"/>
    <n v="362"/>
    <x v="1"/>
  </r>
  <r>
    <x v="1"/>
    <n v="6"/>
    <s v="RN3"/>
    <x v="2"/>
    <n v="3"/>
    <x v="39"/>
    <s v="ThirdQuartile"/>
    <n v="3"/>
    <x v="0"/>
    <s v="Y58"/>
    <x v="5"/>
    <n v="249"/>
    <x v="1"/>
  </r>
  <r>
    <x v="1"/>
    <n v="6"/>
    <s v="RC9"/>
    <x v="2"/>
    <n v="3"/>
    <x v="38"/>
    <s v="ThirdQuartile"/>
    <n v="3"/>
    <x v="0"/>
    <s v="Y61"/>
    <x v="4"/>
    <n v="418"/>
    <x v="1"/>
  </r>
  <r>
    <x v="1"/>
    <n v="6"/>
    <s v="RNN"/>
    <x v="2"/>
    <n v="3"/>
    <x v="37"/>
    <s v="ThirdQuartile"/>
    <n v="3"/>
    <x v="0"/>
    <s v="Y63"/>
    <x v="2"/>
    <n v="262"/>
    <x v="1"/>
  </r>
  <r>
    <x v="1"/>
    <n v="6"/>
    <s v="RRF"/>
    <x v="2"/>
    <n v="3"/>
    <x v="40"/>
    <s v="FourthQuartile"/>
    <n v="4"/>
    <x v="2"/>
    <s v="Y62"/>
    <x v="6"/>
    <n v="302"/>
    <x v="1"/>
  </r>
  <r>
    <x v="1"/>
    <n v="6"/>
    <s v="RTK"/>
    <x v="2"/>
    <n v="3"/>
    <x v="41"/>
    <s v="FourthQuartile"/>
    <n v="4"/>
    <x v="2"/>
    <s v="Y59"/>
    <x v="0"/>
    <n v="323"/>
    <x v="1"/>
  </r>
  <r>
    <x v="1"/>
    <n v="6"/>
    <s v="RNA"/>
    <x v="3"/>
    <n v="4"/>
    <x v="42"/>
    <s v="FourthQuartile"/>
    <n v="4"/>
    <x v="0"/>
    <s v="Y60"/>
    <x v="3"/>
    <n v="253"/>
    <x v="1"/>
  </r>
  <r>
    <x v="1"/>
    <n v="6"/>
    <s v="RXP"/>
    <x v="0"/>
    <n v="1"/>
    <x v="45"/>
    <s v="TopQuartile"/>
    <n v="1"/>
    <x v="0"/>
    <s v="Y63"/>
    <x v="2"/>
    <n v="439"/>
    <x v="2"/>
  </r>
  <r>
    <x v="1"/>
    <n v="6"/>
    <s v="RXQ"/>
    <x v="0"/>
    <n v="1"/>
    <x v="43"/>
    <s v="TopQuartile"/>
    <n v="1"/>
    <x v="0"/>
    <s v="Y59"/>
    <x v="0"/>
    <n v="434"/>
    <x v="2"/>
  </r>
  <r>
    <x v="1"/>
    <n v="6"/>
    <s v="RA9"/>
    <x v="1"/>
    <n v="2"/>
    <x v="44"/>
    <s v="TopQuartile"/>
    <n v="1"/>
    <x v="1"/>
    <s v="Y58"/>
    <x v="5"/>
    <n v="388"/>
    <x v="2"/>
  </r>
  <r>
    <x v="1"/>
    <n v="6"/>
    <s v="RLQ"/>
    <x v="1"/>
    <n v="2"/>
    <x v="46"/>
    <s v="SecondQuartile"/>
    <n v="2"/>
    <x v="0"/>
    <s v="Y60"/>
    <x v="3"/>
    <n v="229"/>
    <x v="2"/>
  </r>
  <r>
    <x v="1"/>
    <n v="6"/>
    <s v="R1F"/>
    <x v="1"/>
    <n v="2"/>
    <x v="48"/>
    <s v="SecondQuartile"/>
    <n v="2"/>
    <x v="0"/>
    <s v="Y59"/>
    <x v="0"/>
    <n v="470"/>
    <x v="2"/>
  </r>
  <r>
    <x v="1"/>
    <n v="6"/>
    <s v="RH5"/>
    <x v="1"/>
    <n v="2"/>
    <x v="47"/>
    <s v="ThirdQuartile"/>
    <n v="3"/>
    <x v="2"/>
    <s v="Y58"/>
    <x v="5"/>
    <n v="184"/>
    <x v="2"/>
  </r>
  <r>
    <x v="1"/>
    <n v="6"/>
    <s v="RKE"/>
    <x v="3"/>
    <n v="4"/>
    <x v="49"/>
    <s v="FourthQuartile"/>
    <n v="4"/>
    <x v="0"/>
    <s v="Y56"/>
    <x v="1"/>
    <n v="220"/>
    <x v="2"/>
  </r>
  <r>
    <x v="1"/>
    <n v="6"/>
    <s v="RCF"/>
    <x v="0"/>
    <n v="1"/>
    <x v="51"/>
    <s v="TopQuartile"/>
    <n v="1"/>
    <x v="0"/>
    <s v="Y63"/>
    <x v="2"/>
    <n v="423"/>
    <x v="3"/>
  </r>
  <r>
    <x v="1"/>
    <n v="6"/>
    <s v="RFF"/>
    <x v="0"/>
    <n v="1"/>
    <x v="50"/>
    <s v="TopQuartile"/>
    <n v="1"/>
    <x v="0"/>
    <s v="Y63"/>
    <x v="2"/>
    <n v="163"/>
    <x v="3"/>
  </r>
  <r>
    <x v="1"/>
    <n v="6"/>
    <s v="RJN"/>
    <x v="0"/>
    <n v="1"/>
    <x v="52"/>
    <s v="TopQuartile"/>
    <n v="1"/>
    <x v="0"/>
    <s v="Y62"/>
    <x v="6"/>
    <n v="209"/>
    <x v="3"/>
  </r>
  <r>
    <x v="1"/>
    <n v="6"/>
    <s v="RFS"/>
    <x v="0"/>
    <n v="1"/>
    <x v="53"/>
    <s v="TopQuartile"/>
    <n v="1"/>
    <x v="0"/>
    <s v="Y60"/>
    <x v="3"/>
    <n v="166"/>
    <x v="3"/>
  </r>
  <r>
    <x v="1"/>
    <n v="6"/>
    <s v="RFR"/>
    <x v="0"/>
    <n v="1"/>
    <x v="55"/>
    <s v="TopQuartile"/>
    <n v="1"/>
    <x v="0"/>
    <s v="Y63"/>
    <x v="2"/>
    <n v="165"/>
    <x v="3"/>
  </r>
  <r>
    <x v="1"/>
    <n v="6"/>
    <s v="RCX"/>
    <x v="0"/>
    <n v="1"/>
    <x v="54"/>
    <s v="TopQuartile"/>
    <n v="1"/>
    <x v="0"/>
    <s v="Y61"/>
    <x v="4"/>
    <n v="426"/>
    <x v="3"/>
  </r>
  <r>
    <x v="1"/>
    <n v="6"/>
    <s v="RN7"/>
    <x v="0"/>
    <n v="1"/>
    <x v="56"/>
    <s v="TopQuartile"/>
    <n v="1"/>
    <x v="0"/>
    <s v="Y59"/>
    <x v="0"/>
    <n v="252"/>
    <x v="3"/>
  </r>
  <r>
    <x v="1"/>
    <n v="6"/>
    <s v="RJR"/>
    <x v="1"/>
    <n v="2"/>
    <x v="58"/>
    <s v="SecondQuartile"/>
    <n v="2"/>
    <x v="0"/>
    <s v="Y62"/>
    <x v="6"/>
    <n v="210"/>
    <x v="3"/>
  </r>
  <r>
    <x v="1"/>
    <n v="6"/>
    <s v="RCD"/>
    <x v="1"/>
    <n v="2"/>
    <x v="57"/>
    <s v="SecondQuartile"/>
    <n v="2"/>
    <x v="0"/>
    <s v="Y63"/>
    <x v="2"/>
    <n v="421"/>
    <x v="3"/>
  </r>
  <r>
    <x v="1"/>
    <n v="6"/>
    <s v="RNQ"/>
    <x v="1"/>
    <n v="2"/>
    <x v="59"/>
    <s v="TopQuartile"/>
    <n v="1"/>
    <x v="1"/>
    <s v="Y60"/>
    <x v="3"/>
    <n v="264"/>
    <x v="3"/>
  </r>
  <r>
    <x v="1"/>
    <n v="6"/>
    <s v="RBT"/>
    <x v="2"/>
    <n v="3"/>
    <x v="60"/>
    <s v="ThirdQuartile"/>
    <n v="3"/>
    <x v="0"/>
    <s v="Y62"/>
    <x v="6"/>
    <n v="412"/>
    <x v="3"/>
  </r>
  <r>
    <x v="1"/>
    <n v="6"/>
    <s v="RAS"/>
    <x v="2"/>
    <n v="3"/>
    <x v="64"/>
    <s v="FourthQuartile"/>
    <n v="4"/>
    <x v="2"/>
    <s v="Y56"/>
    <x v="1"/>
    <n v="394"/>
    <x v="3"/>
  </r>
  <r>
    <x v="1"/>
    <n v="6"/>
    <s v="RNZ"/>
    <x v="2"/>
    <n v="3"/>
    <x v="61"/>
    <s v="ThirdQuartile"/>
    <n v="3"/>
    <x v="0"/>
    <s v="Y58"/>
    <x v="5"/>
    <n v="269"/>
    <x v="3"/>
  </r>
  <r>
    <x v="1"/>
    <n v="6"/>
    <s v="RBK"/>
    <x v="2"/>
    <n v="3"/>
    <x v="62"/>
    <s v="FourthQuartile"/>
    <n v="4"/>
    <x v="2"/>
    <s v="Y60"/>
    <x v="3"/>
    <n v="407"/>
    <x v="3"/>
  </r>
  <r>
    <x v="1"/>
    <n v="6"/>
    <s v="RMP"/>
    <x v="2"/>
    <n v="3"/>
    <x v="63"/>
    <s v="FourthQuartile"/>
    <n v="4"/>
    <x v="2"/>
    <s v="Y62"/>
    <x v="6"/>
    <n v="245"/>
    <x v="3"/>
  </r>
  <r>
    <x v="1"/>
    <n v="6"/>
    <s v="RLT"/>
    <x v="2"/>
    <n v="3"/>
    <x v="65"/>
    <s v="FourthQuartile"/>
    <n v="4"/>
    <x v="2"/>
    <s v="Y60"/>
    <x v="3"/>
    <n v="230"/>
    <x v="3"/>
  </r>
  <r>
    <x v="1"/>
    <n v="6"/>
    <s v="RQW"/>
    <x v="3"/>
    <n v="4"/>
    <x v="66"/>
    <s v="FourthQuartile"/>
    <n v="4"/>
    <x v="0"/>
    <s v="Y61"/>
    <x v="4"/>
    <n v="292"/>
    <x v="3"/>
  </r>
  <r>
    <x v="1"/>
    <n v="6"/>
    <s v="RBD"/>
    <x v="3"/>
    <n v="4"/>
    <x v="67"/>
    <s v="FourthQuartile"/>
    <n v="4"/>
    <x v="0"/>
    <s v="Y58"/>
    <x v="5"/>
    <n v="405"/>
    <x v="3"/>
  </r>
  <r>
    <x v="1"/>
    <n v="6"/>
    <s v="RGR"/>
    <x v="3"/>
    <n v="4"/>
    <x v="68"/>
    <s v="FourthQuartile"/>
    <n v="4"/>
    <x v="0"/>
    <s v="Y61"/>
    <x v="4"/>
    <n v="179"/>
    <x v="3"/>
  </r>
  <r>
    <x v="1"/>
    <n v="6"/>
    <s v="RGM"/>
    <x v="0"/>
    <n v="1"/>
    <x v="69"/>
    <s v="TopQuartile"/>
    <n v="1"/>
    <x v="0"/>
    <s v="Y61"/>
    <x v="4"/>
    <n v="175"/>
    <x v="4"/>
  </r>
  <r>
    <x v="1"/>
    <n v="6"/>
    <s v="RPC"/>
    <x v="0"/>
    <n v="1"/>
    <x v="70"/>
    <s v="TopQuartile"/>
    <n v="1"/>
    <x v="0"/>
    <s v="Y59"/>
    <x v="0"/>
    <n v="276"/>
    <x v="4"/>
  </r>
  <r>
    <x v="1"/>
    <n v="6"/>
    <s v="RP4"/>
    <x v="0"/>
    <n v="1"/>
    <x v="72"/>
    <s v="TopQuartile"/>
    <n v="1"/>
    <x v="0"/>
    <s v="Y56"/>
    <x v="1"/>
    <n v="271"/>
    <x v="4"/>
  </r>
  <r>
    <x v="1"/>
    <n v="6"/>
    <s v="RBS"/>
    <x v="0"/>
    <n v="1"/>
    <x v="73"/>
    <s v="TopQuartile"/>
    <n v="1"/>
    <x v="0"/>
    <s v="Y62"/>
    <x v="6"/>
    <n v="411"/>
    <x v="4"/>
  </r>
  <r>
    <x v="1"/>
    <n v="6"/>
    <s v="REN"/>
    <x v="1"/>
    <n v="2"/>
    <x v="74"/>
    <s v="SecondQuartile"/>
    <n v="2"/>
    <x v="0"/>
    <s v="Y62"/>
    <x v="6"/>
    <n v="158"/>
    <x v="4"/>
  </r>
  <r>
    <x v="1"/>
    <n v="6"/>
    <s v="RRJ"/>
    <x v="1"/>
    <n v="2"/>
    <x v="71"/>
    <s v="SecondQuartile"/>
    <n v="2"/>
    <x v="0"/>
    <s v="Y60"/>
    <x v="3"/>
    <n v="303"/>
    <x v="4"/>
  </r>
  <r>
    <x v="1"/>
    <n v="6"/>
    <s v="RET"/>
    <x v="1"/>
    <n v="2"/>
    <x v="75"/>
    <s v="TopQuartile"/>
    <n v="1"/>
    <x v="1"/>
    <s v="Y62"/>
    <x v="6"/>
    <n v="160"/>
    <x v="4"/>
  </r>
  <r>
    <x v="1"/>
    <n v="6"/>
    <s v="RBV"/>
    <x v="1"/>
    <n v="2"/>
    <x v="76"/>
    <s v="SecondQuartile"/>
    <n v="2"/>
    <x v="0"/>
    <s v="Y62"/>
    <x v="6"/>
    <n v="413"/>
    <x v="4"/>
  </r>
  <r>
    <x v="1"/>
    <n v="6"/>
    <s v="RPY"/>
    <x v="2"/>
    <n v="3"/>
    <x v="77"/>
    <s v="ThirdQuartile"/>
    <n v="3"/>
    <x v="0"/>
    <s v="Y56"/>
    <x v="1"/>
    <n v="282"/>
    <x v="4"/>
  </r>
  <r>
    <x v="1"/>
    <n v="6"/>
    <s v="RP6"/>
    <x v="2"/>
    <n v="3"/>
    <x v="78"/>
    <s v="ThirdQuartile"/>
    <n v="3"/>
    <x v="0"/>
    <s v="Y56"/>
    <x v="1"/>
    <n v="273"/>
    <x v="4"/>
  </r>
  <r>
    <x v="1"/>
    <n v="6"/>
    <s v="REP"/>
    <x v="2"/>
    <n v="3"/>
    <x v="79"/>
    <s v="ThirdQuartile"/>
    <n v="3"/>
    <x v="0"/>
    <s v="Y62"/>
    <x v="6"/>
    <n v="159"/>
    <x v="4"/>
  </r>
  <r>
    <x v="1"/>
    <n v="6"/>
    <s v="RL1"/>
    <x v="2"/>
    <n v="3"/>
    <x v="80"/>
    <s v="ThirdQuartile"/>
    <n v="3"/>
    <x v="0"/>
    <s v="Y60"/>
    <x v="3"/>
    <n v="224"/>
    <x v="4"/>
  </r>
  <r>
    <x v="1"/>
    <n v="6"/>
    <s v="RQ3"/>
    <x v="2"/>
    <n v="3"/>
    <x v="81"/>
    <s v="FourthQuartile"/>
    <n v="4"/>
    <x v="2"/>
    <s v="Y60"/>
    <x v="3"/>
    <n v="284"/>
    <x v="4"/>
  </r>
  <r>
    <x v="1"/>
    <n v="6"/>
    <s v="RCU"/>
    <x v="2"/>
    <n v="3"/>
    <x v="82"/>
    <s v="FourthQuartile"/>
    <n v="4"/>
    <x v="2"/>
    <s v="Y63"/>
    <x v="2"/>
    <n v="425"/>
    <x v="4"/>
  </r>
  <r>
    <x v="1"/>
    <n v="6"/>
    <s v="RAN"/>
    <x v="3"/>
    <n v="4"/>
    <x v="83"/>
    <s v="FourthQuartile"/>
    <n v="4"/>
    <x v="0"/>
    <s v="Y56"/>
    <x v="1"/>
    <n v="392"/>
    <x v="4"/>
  </r>
  <r>
    <x v="1"/>
    <n v="6"/>
    <s v="RBQ"/>
    <x v="3"/>
    <n v="4"/>
    <x v="84"/>
    <s v="FourthQuartile"/>
    <n v="4"/>
    <x v="0"/>
    <s v="Y62"/>
    <x v="6"/>
    <n v="410"/>
    <x v="4"/>
  </r>
  <r>
    <x v="1"/>
    <n v="6"/>
    <s v="RAE"/>
    <x v="0"/>
    <n v="1"/>
    <x v="85"/>
    <s v="TopQuartile"/>
    <n v="1"/>
    <x v="0"/>
    <s v="Y63"/>
    <x v="2"/>
    <n v="389"/>
    <x v="5"/>
  </r>
  <r>
    <x v="1"/>
    <n v="6"/>
    <s v="RTG"/>
    <x v="0"/>
    <n v="1"/>
    <x v="86"/>
    <s v="TopQuartile"/>
    <n v="1"/>
    <x v="0"/>
    <s v="Y60"/>
    <x v="3"/>
    <n v="320"/>
    <x v="5"/>
  </r>
  <r>
    <x v="1"/>
    <n v="6"/>
    <s v="RGT"/>
    <x v="0"/>
    <n v="1"/>
    <x v="87"/>
    <s v="TopQuartile"/>
    <n v="1"/>
    <x v="0"/>
    <s v="Y61"/>
    <x v="4"/>
    <n v="180"/>
    <x v="5"/>
  </r>
  <r>
    <x v="1"/>
    <n v="6"/>
    <s v="RHM"/>
    <x v="0"/>
    <n v="1"/>
    <x v="91"/>
    <s v="TopQuartile"/>
    <n v="1"/>
    <x v="0"/>
    <s v="Y59"/>
    <x v="0"/>
    <n v="188"/>
    <x v="5"/>
  </r>
  <r>
    <x v="1"/>
    <n v="6"/>
    <s v="RTD"/>
    <x v="0"/>
    <n v="1"/>
    <x v="90"/>
    <s v="SecondQuartile"/>
    <n v="2"/>
    <x v="2"/>
    <s v="Y63"/>
    <x v="2"/>
    <n v="317"/>
    <x v="5"/>
  </r>
  <r>
    <x v="1"/>
    <n v="6"/>
    <s v="RXN"/>
    <x v="0"/>
    <n v="1"/>
    <x v="89"/>
    <s v="TopQuartile"/>
    <n v="1"/>
    <x v="0"/>
    <s v="Y62"/>
    <x v="6"/>
    <n v="438"/>
    <x v="5"/>
  </r>
  <r>
    <x v="1"/>
    <n v="6"/>
    <s v="RBL"/>
    <x v="1"/>
    <n v="2"/>
    <x v="88"/>
    <s v="TopQuartile"/>
    <n v="1"/>
    <x v="1"/>
    <s v="Y62"/>
    <x v="6"/>
    <n v="408"/>
    <x v="5"/>
  </r>
  <r>
    <x v="1"/>
    <n v="6"/>
    <s v="RM3"/>
    <x v="1"/>
    <n v="2"/>
    <x v="92"/>
    <s v="SecondQuartile"/>
    <n v="2"/>
    <x v="0"/>
    <s v="Y62"/>
    <x v="6"/>
    <n v="236"/>
    <x v="5"/>
  </r>
  <r>
    <x v="1"/>
    <n v="6"/>
    <s v="RF4"/>
    <x v="1"/>
    <n v="2"/>
    <x v="93"/>
    <s v="SecondQuartile"/>
    <n v="2"/>
    <x v="0"/>
    <s v="Y56"/>
    <x v="1"/>
    <n v="162"/>
    <x v="5"/>
  </r>
  <r>
    <x v="1"/>
    <n v="6"/>
    <s v="RJC"/>
    <x v="1"/>
    <n v="2"/>
    <x v="94"/>
    <s v="SecondQuartile"/>
    <n v="2"/>
    <x v="0"/>
    <s v="Y60"/>
    <x v="3"/>
    <n v="203"/>
    <x v="5"/>
  </r>
  <r>
    <x v="1"/>
    <n v="6"/>
    <s v="RHQ"/>
    <x v="1"/>
    <n v="2"/>
    <x v="96"/>
    <s v="SecondQuartile"/>
    <n v="2"/>
    <x v="0"/>
    <s v="Y63"/>
    <x v="2"/>
    <n v="190"/>
    <x v="5"/>
  </r>
  <r>
    <x v="1"/>
    <n v="6"/>
    <s v="RBN"/>
    <x v="1"/>
    <n v="2"/>
    <x v="95"/>
    <s v="SecondQuartile"/>
    <n v="2"/>
    <x v="0"/>
    <s v="Y62"/>
    <x v="6"/>
    <n v="96"/>
    <x v="5"/>
  </r>
  <r>
    <x v="1"/>
    <n v="6"/>
    <s v="RBN"/>
    <x v="1"/>
    <n v="2"/>
    <x v="95"/>
    <s v="SecondQuartile"/>
    <n v="2"/>
    <x v="0"/>
    <s v="Y62"/>
    <x v="6"/>
    <n v="409"/>
    <x v="5"/>
  </r>
  <r>
    <x v="1"/>
    <n v="6"/>
    <s v="RTX"/>
    <x v="1"/>
    <n v="2"/>
    <x v="97"/>
    <s v="SecondQuartile"/>
    <n v="2"/>
    <x v="0"/>
    <s v="Y62"/>
    <x v="6"/>
    <n v="331"/>
    <x v="5"/>
  </r>
  <r>
    <x v="1"/>
    <n v="6"/>
    <s v="RAL"/>
    <x v="1"/>
    <n v="2"/>
    <x v="100"/>
    <s v="SecondQuartile"/>
    <n v="2"/>
    <x v="0"/>
    <s v="Y56"/>
    <x v="1"/>
    <n v="391"/>
    <x v="5"/>
  </r>
  <r>
    <x v="1"/>
    <n v="6"/>
    <s v="RYR"/>
    <x v="1"/>
    <n v="2"/>
    <x v="98"/>
    <s v="SecondQuartile"/>
    <n v="2"/>
    <x v="0"/>
    <s v="Y59"/>
    <x v="0"/>
    <n v="279"/>
    <x v="5"/>
  </r>
  <r>
    <x v="1"/>
    <n v="6"/>
    <s v="RP5"/>
    <x v="1"/>
    <n v="2"/>
    <x v="101"/>
    <s v="FourthQuartile"/>
    <n v="4"/>
    <x v="2"/>
    <s v="Y63"/>
    <x v="2"/>
    <n v="272"/>
    <x v="5"/>
  </r>
  <r>
    <x v="1"/>
    <n v="6"/>
    <s v="RVV"/>
    <x v="1"/>
    <n v="2"/>
    <x v="102"/>
    <s v="SecondQuartile"/>
    <n v="2"/>
    <x v="0"/>
    <s v="Y59"/>
    <x v="0"/>
    <n v="344"/>
    <x v="5"/>
  </r>
  <r>
    <x v="1"/>
    <n v="6"/>
    <s v="RWA"/>
    <x v="1"/>
    <n v="2"/>
    <x v="103"/>
    <s v="SecondQuartile"/>
    <n v="2"/>
    <x v="0"/>
    <s v="Y63"/>
    <x v="2"/>
    <n v="356"/>
    <x v="5"/>
  </r>
  <r>
    <x v="1"/>
    <n v="6"/>
    <s v="RQX"/>
    <x v="2"/>
    <n v="3"/>
    <x v="99"/>
    <s v="SecondQuartile"/>
    <n v="2"/>
    <x v="1"/>
    <s v="Y56"/>
    <x v="1"/>
    <n v="293"/>
    <x v="5"/>
  </r>
  <r>
    <x v="1"/>
    <n v="6"/>
    <s v="RWE"/>
    <x v="2"/>
    <n v="3"/>
    <x v="106"/>
    <s v="ThirdQuartile"/>
    <n v="3"/>
    <x v="0"/>
    <s v="Y60"/>
    <x v="3"/>
    <n v="358"/>
    <x v="5"/>
  </r>
  <r>
    <x v="1"/>
    <n v="6"/>
    <s v="RKB"/>
    <x v="2"/>
    <n v="3"/>
    <x v="105"/>
    <s v="ThirdQuartile"/>
    <n v="3"/>
    <x v="0"/>
    <s v="Y60"/>
    <x v="3"/>
    <n v="218"/>
    <x v="5"/>
  </r>
  <r>
    <x v="1"/>
    <n v="6"/>
    <s v="RJ7"/>
    <x v="2"/>
    <n v="3"/>
    <x v="109"/>
    <s v="ThirdQuartile"/>
    <n v="3"/>
    <x v="0"/>
    <s v="Y56"/>
    <x v="1"/>
    <n v="200"/>
    <x v="5"/>
  </r>
  <r>
    <x v="1"/>
    <n v="6"/>
    <s v="RVR"/>
    <x v="2"/>
    <n v="3"/>
    <x v="108"/>
    <s v="ThirdQuartile"/>
    <n v="3"/>
    <x v="0"/>
    <s v="Y56"/>
    <x v="1"/>
    <n v="343"/>
    <x v="5"/>
  </r>
  <r>
    <x v="1"/>
    <n v="6"/>
    <s v="R1H"/>
    <x v="2"/>
    <n v="3"/>
    <x v="110"/>
    <s v="ThirdQuartile"/>
    <n v="3"/>
    <x v="0"/>
    <s v="Y56"/>
    <x v="1"/>
    <n v="259"/>
    <x v="5"/>
  </r>
  <r>
    <x v="1"/>
    <n v="6"/>
    <s v="RTR"/>
    <x v="2"/>
    <n v="3"/>
    <x v="113"/>
    <s v="ThirdQuartile"/>
    <n v="3"/>
    <x v="0"/>
    <s v="Y63"/>
    <x v="2"/>
    <n v="328"/>
    <x v="5"/>
  </r>
  <r>
    <x v="1"/>
    <n v="6"/>
    <s v="RAP"/>
    <x v="2"/>
    <n v="3"/>
    <x v="111"/>
    <s v="ThirdQuartile"/>
    <n v="3"/>
    <x v="0"/>
    <s v="Y56"/>
    <x v="1"/>
    <n v="393"/>
    <x v="5"/>
  </r>
  <r>
    <x v="1"/>
    <n v="6"/>
    <s v="RWW"/>
    <x v="2"/>
    <n v="3"/>
    <x v="114"/>
    <s v="ThirdQuartile"/>
    <n v="3"/>
    <x v="0"/>
    <s v="Y62"/>
    <x v="6"/>
    <n v="370"/>
    <x v="5"/>
  </r>
  <r>
    <x v="1"/>
    <n v="6"/>
    <s v="RXF"/>
    <x v="2"/>
    <n v="3"/>
    <x v="112"/>
    <s v="ThirdQuartile"/>
    <n v="3"/>
    <x v="0"/>
    <s v="Y63"/>
    <x v="2"/>
    <n v="377"/>
    <x v="5"/>
  </r>
  <r>
    <x v="1"/>
    <n v="6"/>
    <s v="RD8"/>
    <x v="2"/>
    <n v="3"/>
    <x v="107"/>
    <s v="ThirdQuartile"/>
    <n v="3"/>
    <x v="0"/>
    <s v="Y61"/>
    <x v="4"/>
    <n v="430"/>
    <x v="5"/>
  </r>
  <r>
    <x v="1"/>
    <n v="6"/>
    <s v="RGP"/>
    <x v="2"/>
    <n v="3"/>
    <x v="115"/>
    <s v="ThirdQuartile"/>
    <n v="3"/>
    <x v="0"/>
    <s v="Y61"/>
    <x v="4"/>
    <n v="177"/>
    <x v="5"/>
  </r>
  <r>
    <x v="1"/>
    <n v="6"/>
    <s v="RJZ"/>
    <x v="2"/>
    <n v="3"/>
    <x v="117"/>
    <s v="FourthQuartile"/>
    <n v="4"/>
    <x v="2"/>
    <s v="Y56"/>
    <x v="1"/>
    <n v="213"/>
    <x v="5"/>
  </r>
  <r>
    <x v="1"/>
    <n v="6"/>
    <s v="RWG"/>
    <x v="2"/>
    <n v="3"/>
    <x v="116"/>
    <s v="ThirdQuartile"/>
    <n v="3"/>
    <x v="0"/>
    <s v="Y61"/>
    <x v="4"/>
    <n v="360"/>
    <x v="5"/>
  </r>
  <r>
    <x v="1"/>
    <n v="6"/>
    <s v="RRV"/>
    <x v="2"/>
    <n v="3"/>
    <x v="104"/>
    <s v="FourthQuartile"/>
    <n v="4"/>
    <x v="2"/>
    <s v="Y56"/>
    <x v="1"/>
    <n v="309"/>
    <x v="5"/>
  </r>
  <r>
    <x v="1"/>
    <n v="6"/>
    <s v="RXL"/>
    <x v="2"/>
    <n v="3"/>
    <x v="119"/>
    <s v="FourthQuartile"/>
    <n v="4"/>
    <x v="2"/>
    <s v="Y62"/>
    <x v="6"/>
    <n v="382"/>
    <x v="5"/>
  </r>
  <r>
    <x v="1"/>
    <n v="6"/>
    <s v="RK9"/>
    <x v="2"/>
    <n v="3"/>
    <x v="120"/>
    <s v="FourthQuartile"/>
    <n v="4"/>
    <x v="2"/>
    <s v="Y58"/>
    <x v="5"/>
    <n v="216"/>
    <x v="5"/>
  </r>
  <r>
    <x v="1"/>
    <n v="6"/>
    <s v="RR8"/>
    <x v="2"/>
    <n v="3"/>
    <x v="118"/>
    <s v="FourthQuartile"/>
    <n v="4"/>
    <x v="2"/>
    <s v="Y63"/>
    <x v="2"/>
    <n v="298"/>
    <x v="5"/>
  </r>
  <r>
    <x v="1"/>
    <n v="6"/>
    <s v="R1K"/>
    <x v="2"/>
    <n v="3"/>
    <x v="121"/>
    <s v="FourthQuartile"/>
    <n v="4"/>
    <x v="2"/>
    <s v="Y56"/>
    <x v="1"/>
    <n v="337"/>
    <x v="5"/>
  </r>
  <r>
    <x v="1"/>
    <n v="6"/>
    <s v="REM"/>
    <x v="2"/>
    <n v="3"/>
    <x v="122"/>
    <s v="FourthQuartile"/>
    <n v="4"/>
    <x v="2"/>
    <s v="Y62"/>
    <x v="6"/>
    <n v="287"/>
    <x v="5"/>
  </r>
  <r>
    <x v="1"/>
    <n v="6"/>
    <s v="R0A"/>
    <x v="3"/>
    <n v="4"/>
    <x v="123"/>
    <s v="FourthQuartile"/>
    <n v="4"/>
    <x v="0"/>
    <s v="Y62"/>
    <x v="6"/>
    <n v="349"/>
    <x v="5"/>
  </r>
  <r>
    <x v="1"/>
    <n v="6"/>
    <s v="RA7"/>
    <x v="3"/>
    <n v="4"/>
    <x v="127"/>
    <s v="FourthQuartile"/>
    <n v="4"/>
    <x v="0"/>
    <s v="Y58"/>
    <x v="5"/>
    <n v="387"/>
    <x v="5"/>
  </r>
  <r>
    <x v="1"/>
    <n v="6"/>
    <s v="RJ1"/>
    <x v="3"/>
    <n v="4"/>
    <x v="124"/>
    <s v="FourthQuartile"/>
    <n v="4"/>
    <x v="0"/>
    <s v="Y56"/>
    <x v="1"/>
    <n v="196"/>
    <x v="5"/>
  </r>
  <r>
    <x v="1"/>
    <n v="6"/>
    <s v="RRK"/>
    <x v="3"/>
    <n v="4"/>
    <x v="126"/>
    <s v="FourthQuartile"/>
    <n v="4"/>
    <x v="0"/>
    <s v="Y60"/>
    <x v="3"/>
    <n v="304"/>
    <x v="5"/>
  </r>
  <r>
    <x v="1"/>
    <n v="6"/>
    <s v="RTH"/>
    <x v="3"/>
    <n v="4"/>
    <x v="125"/>
    <s v="FourthQuartile"/>
    <n v="4"/>
    <x v="0"/>
    <s v="Y59"/>
    <x v="0"/>
    <n v="321"/>
    <x v="5"/>
  </r>
  <r>
    <x v="1"/>
    <n v="6"/>
    <s v="RCB"/>
    <x v="3"/>
    <n v="4"/>
    <x v="128"/>
    <s v="FourthQuartile"/>
    <n v="4"/>
    <x v="0"/>
    <s v="Y63"/>
    <x v="2"/>
    <n v="419"/>
    <x v="5"/>
  </r>
  <r>
    <x v="1"/>
    <n v="6"/>
    <s v="RJE"/>
    <x v="3"/>
    <n v="4"/>
    <x v="129"/>
    <s v="FourthQuartile"/>
    <n v="4"/>
    <x v="0"/>
    <s v="Y60"/>
    <x v="3"/>
    <n v="205"/>
    <x v="5"/>
  </r>
  <r>
    <x v="1"/>
    <n v="6"/>
    <s v="RQM"/>
    <x v="3"/>
    <n v="4"/>
    <x v="131"/>
    <s v="FourthQuartile"/>
    <n v="4"/>
    <x v="0"/>
    <s v="Y56"/>
    <x v="1"/>
    <n v="289"/>
    <x v="5"/>
  </r>
  <r>
    <x v="1"/>
    <n v="6"/>
    <s v="RYJ"/>
    <x v="3"/>
    <n v="4"/>
    <x v="130"/>
    <s v="FourthQuartile"/>
    <n v="4"/>
    <x v="0"/>
    <s v="Y56"/>
    <x v="1"/>
    <n v="290"/>
    <x v="5"/>
  </r>
  <r>
    <x v="1"/>
    <n v="6"/>
    <s v="R0D"/>
    <x v="3"/>
    <n v="4"/>
    <x v="132"/>
    <s v="FourthQuartile"/>
    <n v="4"/>
    <x v="0"/>
    <s v="Y58"/>
    <x v="5"/>
    <n v="153"/>
    <x v="5"/>
  </r>
  <r>
    <x v="1"/>
    <n v="6"/>
    <s v="RM1"/>
    <x v="3"/>
    <n v="4"/>
    <x v="134"/>
    <s v="FourthQuartile"/>
    <n v="4"/>
    <x v="0"/>
    <s v="Y61"/>
    <x v="4"/>
    <n v="234"/>
    <x v="5"/>
  </r>
  <r>
    <x v="1"/>
    <n v="6"/>
    <s v="RX1"/>
    <x v="3"/>
    <n v="4"/>
    <x v="133"/>
    <s v="FourthQuartile"/>
    <n v="4"/>
    <x v="0"/>
    <s v="Y60"/>
    <x v="3"/>
    <n v="164"/>
    <x v="5"/>
  </r>
  <r>
    <x v="1"/>
    <n v="6"/>
    <s v="RYD"/>
    <x v="1"/>
    <n v="2"/>
    <x v="135"/>
    <s v="SecondQuartile"/>
    <n v="2"/>
    <x v="0"/>
    <s v="Y59"/>
    <x v="0"/>
    <n v="278"/>
    <x v="6"/>
  </r>
  <r>
    <x v="1"/>
    <n v="6"/>
    <s v="RYA"/>
    <x v="2"/>
    <n v="3"/>
    <x v="136"/>
    <s v="SecondQuartile"/>
    <n v="2"/>
    <x v="1"/>
    <s v="Y60"/>
    <x v="3"/>
    <n v="217"/>
    <x v="6"/>
  </r>
  <r>
    <x v="1"/>
    <n v="6"/>
    <s v="RYE"/>
    <x v="2"/>
    <n v="3"/>
    <x v="137"/>
    <s v="FourthQuartile"/>
    <n v="4"/>
    <x v="2"/>
    <s v="Y59"/>
    <x v="0"/>
    <n v="195"/>
    <x v="6"/>
  </r>
  <r>
    <x v="1"/>
    <n v="6"/>
    <s v="RX6"/>
    <x v="3"/>
    <n v="4"/>
    <x v="138"/>
    <s v="FourthQuartile"/>
    <n v="4"/>
    <x v="0"/>
    <s v="Y63"/>
    <x v="2"/>
    <n v="340"/>
    <x v="6"/>
  </r>
  <r>
    <x v="1"/>
    <n v="6"/>
    <s v="RYF"/>
    <x v="3"/>
    <n v="4"/>
    <x v="143"/>
    <s v="FourthQuartile"/>
    <n v="4"/>
    <x v="0"/>
    <s v="Y58"/>
    <x v="5"/>
    <n v="202"/>
    <x v="6"/>
  </r>
  <r>
    <x v="1"/>
    <n v="6"/>
    <s v="RX8"/>
    <x v="3"/>
    <n v="4"/>
    <x v="139"/>
    <s v="FourthQuartile"/>
    <n v="4"/>
    <x v="0"/>
    <s v="Y63"/>
    <x v="2"/>
    <n v="174"/>
    <x v="6"/>
  </r>
  <r>
    <x v="1"/>
    <n v="6"/>
    <s v="RYC"/>
    <x v="3"/>
    <n v="4"/>
    <x v="140"/>
    <s v="FourthQuartile"/>
    <n v="4"/>
    <x v="0"/>
    <s v="Y61"/>
    <x v="4"/>
    <n v="247"/>
    <x v="6"/>
  </r>
  <r>
    <x v="1"/>
    <n v="6"/>
    <s v="RX7"/>
    <x v="3"/>
    <n v="4"/>
    <x v="142"/>
    <s v="FourthQuartile"/>
    <n v="4"/>
    <x v="0"/>
    <s v="Y62"/>
    <x v="6"/>
    <n v="242"/>
    <x v="6"/>
  </r>
  <r>
    <x v="1"/>
    <n v="6"/>
    <s v="RRU"/>
    <x v="3"/>
    <n v="4"/>
    <x v="141"/>
    <s v="FourthQuartile"/>
    <n v="4"/>
    <x v="0"/>
    <s v="Y56"/>
    <x v="1"/>
    <n v="308"/>
    <x v="6"/>
  </r>
  <r>
    <x v="1"/>
    <n v="6"/>
    <s v="RX9"/>
    <x v="3"/>
    <n v="4"/>
    <x v="144"/>
    <s v="FourthQuartile"/>
    <n v="4"/>
    <x v="0"/>
    <s v="Y60"/>
    <x v="3"/>
    <n v="335"/>
    <x v="6"/>
  </r>
  <r>
    <x v="1"/>
    <n v="6"/>
    <s v="TAD"/>
    <x v="1"/>
    <n v="2"/>
    <x v="145"/>
    <s v="TopQuartile"/>
    <n v="1"/>
    <x v="1"/>
    <s v="Y63"/>
    <x v="2"/>
    <n v="453"/>
    <x v="7"/>
  </r>
  <r>
    <x v="1"/>
    <n v="6"/>
    <s v="TAH"/>
    <x v="1"/>
    <n v="2"/>
    <x v="146"/>
    <s v="SecondQuartile"/>
    <n v="2"/>
    <x v="0"/>
    <s v="Y63"/>
    <x v="2"/>
    <n v="457"/>
    <x v="7"/>
  </r>
  <r>
    <x v="1"/>
    <n v="6"/>
    <s v="TAF"/>
    <x v="3"/>
    <n v="4"/>
    <x v="147"/>
    <s v="FourthQuartile"/>
    <n v="4"/>
    <x v="0"/>
    <s v="Y56"/>
    <x v="1"/>
    <n v="455"/>
    <x v="7"/>
  </r>
  <r>
    <x v="1"/>
    <n v="6"/>
    <s v="0DF"/>
    <x v="0"/>
    <n v="1"/>
    <x v="149"/>
    <s v="TopQuartile"/>
    <n v="1"/>
    <x v="0"/>
    <s v="QZZ"/>
    <x v="7"/>
    <n v="891"/>
    <x v="8"/>
  </r>
  <r>
    <x v="1"/>
    <n v="6"/>
    <s v="0CX"/>
    <x v="0"/>
    <n v="1"/>
    <x v="150"/>
    <s v="TopQuartile"/>
    <n v="1"/>
    <x v="0"/>
    <s v="QZZ"/>
    <x v="7"/>
    <n v="877"/>
    <x v="8"/>
  </r>
  <r>
    <x v="1"/>
    <n v="6"/>
    <s v="0DE"/>
    <x v="1"/>
    <n v="2"/>
    <x v="151"/>
    <s v="SecondQuartile"/>
    <n v="2"/>
    <x v="0"/>
    <s v="QZZ"/>
    <x v="7"/>
    <n v="880"/>
    <x v="8"/>
  </r>
  <r>
    <x v="1"/>
    <n v="6"/>
    <s v="0AR"/>
    <x v="3"/>
    <n v="4"/>
    <x v="148"/>
    <s v="FourthQuartile"/>
    <n v="4"/>
    <x v="0"/>
    <s v="QZZ"/>
    <x v="7"/>
    <n v="869"/>
    <x v="8"/>
  </r>
  <r>
    <x v="1"/>
    <n v="6"/>
    <s v="R1C"/>
    <x v="0"/>
    <n v="1"/>
    <x v="152"/>
    <s v="TopQuartile"/>
    <n v="1"/>
    <x v="0"/>
    <s v="Y59"/>
    <x v="0"/>
    <n v="449"/>
    <x v="9"/>
  </r>
  <r>
    <x v="1"/>
    <n v="6"/>
    <s v="NQ7"/>
    <x v="0"/>
    <n v="1"/>
    <x v="153"/>
    <s v="TopQuartile"/>
    <n v="1"/>
    <x v="0"/>
    <s v="Y59"/>
    <x v="0"/>
    <n v="813"/>
    <x v="9"/>
  </r>
  <r>
    <x v="1"/>
    <n v="6"/>
    <s v="RYY"/>
    <x v="0"/>
    <n v="1"/>
    <x v="154"/>
    <s v="TopQuartile"/>
    <n v="1"/>
    <x v="0"/>
    <s v="Y59"/>
    <x v="0"/>
    <n v="846"/>
    <x v="9"/>
  </r>
  <r>
    <x v="1"/>
    <n v="6"/>
    <s v="R1D"/>
    <x v="0"/>
    <n v="1"/>
    <x v="160"/>
    <s v="SecondQuartile"/>
    <n v="2"/>
    <x v="2"/>
    <s v="Y60"/>
    <x v="3"/>
    <n v="825"/>
    <x v="9"/>
  </r>
  <r>
    <x v="1"/>
    <n v="6"/>
    <s v="AXG"/>
    <x v="0"/>
    <n v="1"/>
    <x v="155"/>
    <s v="SecondQuartile"/>
    <n v="2"/>
    <x v="2"/>
    <s v="Y58"/>
    <x v="5"/>
    <n v="85"/>
    <x v="9"/>
  </r>
  <r>
    <x v="1"/>
    <n v="6"/>
    <s v="8J318"/>
    <x v="0"/>
    <n v="1"/>
    <x v="157"/>
    <s v="TopQuartile"/>
    <n v="1"/>
    <x v="0"/>
    <s v="Y63"/>
    <x v="2"/>
    <n v="98"/>
    <x v="9"/>
  </r>
  <r>
    <x v="1"/>
    <n v="6"/>
    <s v="RDR"/>
    <x v="0"/>
    <n v="1"/>
    <x v="158"/>
    <s v="SecondQuartile"/>
    <n v="2"/>
    <x v="2"/>
    <s v="Y59"/>
    <x v="0"/>
    <n v="150"/>
    <x v="9"/>
  </r>
  <r>
    <x v="1"/>
    <n v="6"/>
    <s v="RY7"/>
    <x v="0"/>
    <n v="1"/>
    <x v="159"/>
    <s v="TopQuartile"/>
    <n v="1"/>
    <x v="0"/>
    <s v="Y62"/>
    <x v="6"/>
    <n v="844"/>
    <x v="9"/>
  </r>
  <r>
    <x v="1"/>
    <n v="6"/>
    <s v="NL1"/>
    <x v="1"/>
    <n v="2"/>
    <x v="162"/>
    <s v="SecondQuartile"/>
    <n v="2"/>
    <x v="0"/>
    <s v="Y63"/>
    <x v="2"/>
    <n v="847"/>
    <x v="9"/>
  </r>
  <r>
    <x v="1"/>
    <n v="6"/>
    <s v="RY5"/>
    <x v="1"/>
    <n v="2"/>
    <x v="156"/>
    <s v="SecondQuartile"/>
    <n v="2"/>
    <x v="0"/>
    <s v="Y60"/>
    <x v="3"/>
    <n v="818"/>
    <x v="9"/>
  </r>
  <r>
    <x v="1"/>
    <n v="6"/>
    <s v="NAX"/>
    <x v="1"/>
    <n v="2"/>
    <x v="163"/>
    <s v="SecondQuartile"/>
    <n v="2"/>
    <x v="0"/>
    <s v="Y61"/>
    <x v="4"/>
    <n v="849"/>
    <x v="9"/>
  </r>
  <r>
    <x v="1"/>
    <n v="6"/>
    <s v="NNV"/>
    <x v="1"/>
    <n v="2"/>
    <x v="165"/>
    <s v="SecondQuartile"/>
    <n v="2"/>
    <x v="0"/>
    <s v="Y56"/>
    <x v="1"/>
    <n v="811"/>
    <x v="9"/>
  </r>
  <r>
    <x v="1"/>
    <n v="6"/>
    <s v="NL3"/>
    <x v="1"/>
    <n v="2"/>
    <x v="164"/>
    <s v="SecondQuartile"/>
    <n v="2"/>
    <x v="0"/>
    <s v="Y63"/>
    <x v="2"/>
    <n v="814"/>
    <x v="9"/>
  </r>
  <r>
    <x v="1"/>
    <n v="6"/>
    <s v="NQL"/>
    <x v="1"/>
    <n v="2"/>
    <x v="166"/>
    <s v="SecondQuartile"/>
    <n v="2"/>
    <x v="0"/>
    <s v="Y63"/>
    <x v="2"/>
    <n v="816"/>
    <x v="9"/>
  </r>
  <r>
    <x v="1"/>
    <n v="6"/>
    <s v="RY4"/>
    <x v="1"/>
    <n v="2"/>
    <x v="167"/>
    <s v="ThirdQuartile"/>
    <n v="3"/>
    <x v="2"/>
    <s v="Y61"/>
    <x v="4"/>
    <n v="812"/>
    <x v="9"/>
  </r>
  <r>
    <x v="1"/>
    <n v="6"/>
    <s v="NQA"/>
    <x v="1"/>
    <n v="2"/>
    <x v="161"/>
    <s v="SecondQuartile"/>
    <n v="2"/>
    <x v="0"/>
    <s v="Y61"/>
    <x v="4"/>
    <n v="828"/>
    <x v="9"/>
  </r>
  <r>
    <x v="1"/>
    <n v="6"/>
    <s v="NR3"/>
    <x v="1"/>
    <n v="2"/>
    <x v="175"/>
    <s v="ThirdQuartile"/>
    <n v="3"/>
    <x v="2"/>
    <s v="Y60"/>
    <x v="3"/>
    <n v="826"/>
    <x v="9"/>
  </r>
  <r>
    <x v="1"/>
    <n v="6"/>
    <s v="RY9"/>
    <x v="1"/>
    <n v="2"/>
    <x v="168"/>
    <s v="SecondQuartile"/>
    <n v="2"/>
    <x v="0"/>
    <s v="Y56"/>
    <x v="1"/>
    <n v="779"/>
    <x v="9"/>
  </r>
  <r>
    <x v="1"/>
    <n v="6"/>
    <s v="R1A"/>
    <x v="2"/>
    <n v="3"/>
    <x v="170"/>
    <s v="SecondQuartile"/>
    <n v="2"/>
    <x v="1"/>
    <s v="Y60"/>
    <x v="3"/>
    <n v="798"/>
    <x v="9"/>
  </r>
  <r>
    <x v="1"/>
    <n v="6"/>
    <s v="RY3"/>
    <x v="2"/>
    <n v="3"/>
    <x v="169"/>
    <s v="ThirdQuartile"/>
    <n v="3"/>
    <x v="0"/>
    <s v="Y61"/>
    <x v="4"/>
    <n v="839"/>
    <x v="9"/>
  </r>
  <r>
    <x v="1"/>
    <n v="6"/>
    <s v="RYV"/>
    <x v="2"/>
    <n v="3"/>
    <x v="171"/>
    <s v="ThirdQuartile"/>
    <n v="3"/>
    <x v="0"/>
    <s v="Y61"/>
    <x v="4"/>
    <n v="448"/>
    <x v="9"/>
  </r>
  <r>
    <x v="1"/>
    <n v="6"/>
    <s v="NNF"/>
    <x v="2"/>
    <n v="3"/>
    <x v="173"/>
    <s v="ThirdQuartile"/>
    <n v="3"/>
    <x v="0"/>
    <s v="Y63"/>
    <x v="2"/>
    <n v="810"/>
    <x v="9"/>
  </r>
  <r>
    <x v="1"/>
    <n v="6"/>
    <s v="RY8"/>
    <x v="2"/>
    <n v="3"/>
    <x v="172"/>
    <s v="ThirdQuartile"/>
    <n v="3"/>
    <x v="0"/>
    <s v="Y60"/>
    <x v="3"/>
    <n v="842"/>
    <x v="9"/>
  </r>
  <r>
    <x v="1"/>
    <n v="6"/>
    <s v="RY2"/>
    <x v="2"/>
    <n v="3"/>
    <x v="174"/>
    <s v="FourthQuartile"/>
    <n v="4"/>
    <x v="2"/>
    <s v="Y62"/>
    <x v="6"/>
    <n v="835"/>
    <x v="9"/>
  </r>
  <r>
    <x v="1"/>
    <n v="6"/>
    <s v="NL8"/>
    <x v="2"/>
    <n v="3"/>
    <x v="177"/>
    <s v="FourthQuartile"/>
    <n v="4"/>
    <x v="2"/>
    <s v="Y63"/>
    <x v="2"/>
    <n v="845"/>
    <x v="9"/>
  </r>
  <r>
    <x v="1"/>
    <n v="6"/>
    <s v="RYW"/>
    <x v="2"/>
    <n v="3"/>
    <x v="176"/>
    <s v="FourthQuartile"/>
    <n v="4"/>
    <x v="2"/>
    <s v="Y60"/>
    <x v="3"/>
    <n v="820"/>
    <x v="9"/>
  </r>
  <r>
    <x v="1"/>
    <n v="6"/>
    <s v="NQV"/>
    <x v="3"/>
    <n v="4"/>
    <x v="178"/>
    <s v="FourthQuartile"/>
    <n v="4"/>
    <x v="0"/>
    <s v="Y56"/>
    <x v="1"/>
    <n v="848"/>
    <x v="9"/>
  </r>
  <r>
    <x v="1"/>
    <n v="6"/>
    <s v="RY6"/>
    <x v="3"/>
    <n v="4"/>
    <x v="180"/>
    <s v="FourthQuartile"/>
    <n v="4"/>
    <x v="0"/>
    <s v="Y63"/>
    <x v="2"/>
    <n v="833"/>
    <x v="9"/>
  </r>
  <r>
    <x v="1"/>
    <n v="6"/>
    <s v="RYX"/>
    <x v="3"/>
    <n v="4"/>
    <x v="179"/>
    <s v="FourthQuartile"/>
    <n v="4"/>
    <x v="0"/>
    <s v="Y56"/>
    <x v="1"/>
    <n v="824"/>
    <x v="9"/>
  </r>
  <r>
    <x v="1"/>
    <n v="6"/>
    <s v="NLX"/>
    <x v="3"/>
    <n v="4"/>
    <x v="181"/>
    <s v="FourthQuartile"/>
    <n v="4"/>
    <x v="0"/>
    <s v="Y58"/>
    <x v="5"/>
    <n v="83"/>
    <x v="9"/>
  </r>
  <r>
    <x v="1"/>
    <n v="6"/>
    <s v="NR5"/>
    <x v="3"/>
    <n v="4"/>
    <x v="183"/>
    <s v="FourthQuartile"/>
    <n v="4"/>
    <x v="0"/>
    <s v="Y58"/>
    <x v="5"/>
    <n v="832"/>
    <x v="9"/>
  </r>
  <r>
    <x v="1"/>
    <n v="6"/>
    <s v="RYK"/>
    <x v="3"/>
    <n v="4"/>
    <x v="184"/>
    <s v="FourthQuartile"/>
    <n v="4"/>
    <x v="0"/>
    <s v="Y60"/>
    <x v="3"/>
    <n v="445"/>
    <x v="9"/>
  </r>
  <r>
    <x v="1"/>
    <n v="6"/>
    <s v="NTV"/>
    <x v="3"/>
    <n v="4"/>
    <x v="182"/>
    <s v="FourthQuartile"/>
    <n v="4"/>
    <x v="0"/>
    <s v="Y59"/>
    <x v="0"/>
    <n v="74"/>
    <x v="9"/>
  </r>
  <r>
    <x v="1"/>
    <n v="6"/>
    <s v="NDJ"/>
    <x v="3"/>
    <n v="4"/>
    <x v="185"/>
    <s v="FourthQuartile"/>
    <n v="4"/>
    <x v="0"/>
    <s v="Y59"/>
    <x v="0"/>
    <n v="78"/>
    <x v="9"/>
  </r>
  <r>
    <x v="1"/>
    <n v="6"/>
    <s v="NRR"/>
    <x v="3"/>
    <n v="4"/>
    <x v="186"/>
    <s v="FourthQuartile"/>
    <n v="4"/>
    <x v="0"/>
    <s v="Y61"/>
    <x v="4"/>
    <n v="829"/>
    <x v="9"/>
  </r>
  <r>
    <x v="1"/>
    <n v="6"/>
    <s v="QGH"/>
    <x v="0"/>
    <n v="1"/>
    <x v="190"/>
    <s v="TopQuartile"/>
    <n v="1"/>
    <x v="0"/>
    <s v="Y60"/>
    <x v="3"/>
    <n v="106"/>
    <x v="10"/>
  </r>
  <r>
    <x v="1"/>
    <n v="6"/>
    <s v="QR1"/>
    <x v="0"/>
    <n v="1"/>
    <x v="188"/>
    <s v="TopQuartile"/>
    <n v="1"/>
    <x v="0"/>
    <s v="Y58"/>
    <x v="5"/>
    <n v="843"/>
    <x v="10"/>
  </r>
  <r>
    <x v="1"/>
    <n v="6"/>
    <s v="QYG"/>
    <x v="0"/>
    <n v="1"/>
    <x v="191"/>
    <s v="TopQuartile"/>
    <n v="1"/>
    <x v="0"/>
    <s v="Y62"/>
    <x v="6"/>
    <n v="493"/>
    <x v="10"/>
  </r>
  <r>
    <x v="1"/>
    <n v="6"/>
    <s v="QU9"/>
    <x v="0"/>
    <n v="1"/>
    <x v="192"/>
    <s v="TopQuartile"/>
    <n v="1"/>
    <x v="0"/>
    <s v="Y59"/>
    <x v="0"/>
    <n v="482"/>
    <x v="10"/>
  </r>
  <r>
    <x v="1"/>
    <n v="6"/>
    <s v="QHG"/>
    <x v="0"/>
    <n v="1"/>
    <x v="194"/>
    <s v="TopQuartile"/>
    <n v="1"/>
    <x v="0"/>
    <s v="Y61"/>
    <x v="4"/>
    <n v="465"/>
    <x v="10"/>
  </r>
  <r>
    <x v="1"/>
    <n v="6"/>
    <s v="QOX"/>
    <x v="0"/>
    <n v="1"/>
    <x v="193"/>
    <s v="TopQuartile"/>
    <n v="1"/>
    <x v="0"/>
    <s v="Y58"/>
    <x v="5"/>
    <n v="983"/>
    <x v="10"/>
  </r>
  <r>
    <x v="1"/>
    <n v="6"/>
    <s v="QSL"/>
    <x v="0"/>
    <n v="1"/>
    <x v="197"/>
    <s v="TopQuartile"/>
    <n v="1"/>
    <x v="0"/>
    <s v="Y58"/>
    <x v="5"/>
    <n v="462"/>
    <x v="10"/>
  </r>
  <r>
    <x v="1"/>
    <n v="6"/>
    <s v="QPM"/>
    <x v="0"/>
    <n v="1"/>
    <x v="195"/>
    <s v="TopQuartile"/>
    <n v="1"/>
    <x v="0"/>
    <s v="Y60"/>
    <x v="3"/>
    <n v="86"/>
    <x v="10"/>
  </r>
  <r>
    <x v="1"/>
    <n v="6"/>
    <s v="QNC"/>
    <x v="0"/>
    <n v="1"/>
    <x v="196"/>
    <s v="TopQuartile"/>
    <n v="1"/>
    <x v="0"/>
    <s v="Y60"/>
    <x v="3"/>
    <n v="66"/>
    <x v="10"/>
  </r>
  <r>
    <x v="1"/>
    <n v="6"/>
    <s v="QJM"/>
    <x v="0"/>
    <n v="1"/>
    <x v="199"/>
    <s v="TopQuartile"/>
    <n v="1"/>
    <x v="0"/>
    <s v="Y60"/>
    <x v="3"/>
    <n v="116"/>
    <x v="10"/>
  </r>
  <r>
    <x v="1"/>
    <n v="6"/>
    <s v="QRL"/>
    <x v="0"/>
    <n v="1"/>
    <x v="202"/>
    <s v="TopQuartile"/>
    <n v="1"/>
    <x v="0"/>
    <s v="Y59"/>
    <x v="0"/>
    <n v="104"/>
    <x v="10"/>
  </r>
  <r>
    <x v="1"/>
    <n v="6"/>
    <s v="QNQ"/>
    <x v="0"/>
    <n v="1"/>
    <x v="200"/>
    <s v="SecondQuartile"/>
    <n v="2"/>
    <x v="2"/>
    <s v="Y59"/>
    <x v="0"/>
    <n v="495"/>
    <x v="10"/>
  </r>
  <r>
    <x v="1"/>
    <n v="6"/>
    <s v="QOC"/>
    <x v="0"/>
    <n v="1"/>
    <x v="203"/>
    <s v="ThirdQuartile"/>
    <n v="3"/>
    <x v="2"/>
    <s v="Y60"/>
    <x v="3"/>
    <n v="942"/>
    <x v="10"/>
  </r>
  <r>
    <x v="1"/>
    <n v="6"/>
    <s v="QNX"/>
    <x v="0"/>
    <n v="1"/>
    <x v="187"/>
    <s v="TopQuartile"/>
    <n v="1"/>
    <x v="0"/>
    <s v="Y59"/>
    <x v="0"/>
    <n v="146"/>
    <x v="10"/>
  </r>
  <r>
    <x v="1"/>
    <n v="6"/>
    <s v="QJK"/>
    <x v="0"/>
    <n v="1"/>
    <x v="198"/>
    <s v="TopQuartile"/>
    <n v="1"/>
    <x v="0"/>
    <s v="Y58"/>
    <x v="5"/>
    <n v="144"/>
    <x v="10"/>
  </r>
  <r>
    <x v="1"/>
    <n v="6"/>
    <s v="QF7"/>
    <x v="0"/>
    <n v="1"/>
    <x v="201"/>
    <s v="TopQuartile"/>
    <n v="1"/>
    <x v="0"/>
    <s v="Y63"/>
    <x v="2"/>
    <n v="133"/>
    <x v="10"/>
  </r>
  <r>
    <x v="1"/>
    <n v="6"/>
    <s v="QUY"/>
    <x v="1"/>
    <n v="2"/>
    <x v="189"/>
    <s v="TopQuartile"/>
    <n v="1"/>
    <x v="1"/>
    <s v="Y58"/>
    <x v="5"/>
    <n v="461"/>
    <x v="10"/>
  </r>
  <r>
    <x v="1"/>
    <n v="6"/>
    <s v="QK1"/>
    <x v="1"/>
    <n v="2"/>
    <x v="204"/>
    <s v="SecondQuartile"/>
    <n v="2"/>
    <x v="0"/>
    <s v="Y60"/>
    <x v="3"/>
    <n v="994"/>
    <x v="10"/>
  </r>
  <r>
    <x v="1"/>
    <n v="6"/>
    <s v="QKK"/>
    <x v="1"/>
    <n v="2"/>
    <x v="205"/>
    <s v="SecondQuartile"/>
    <n v="2"/>
    <x v="0"/>
    <s v="Y56"/>
    <x v="1"/>
    <n v="487"/>
    <x v="10"/>
  </r>
  <r>
    <x v="1"/>
    <n v="6"/>
    <s v="QWU"/>
    <x v="1"/>
    <n v="2"/>
    <x v="206"/>
    <s v="SecondQuartile"/>
    <n v="2"/>
    <x v="0"/>
    <s v="Y60"/>
    <x v="3"/>
    <n v="105"/>
    <x v="10"/>
  </r>
  <r>
    <x v="1"/>
    <n v="6"/>
    <s v="QHL"/>
    <x v="1"/>
    <n v="2"/>
    <x v="207"/>
    <s v="SecondQuartile"/>
    <n v="2"/>
    <x v="0"/>
    <s v="Y60"/>
    <x v="3"/>
    <n v="529"/>
    <x v="10"/>
  </r>
  <r>
    <x v="1"/>
    <n v="6"/>
    <s v="QT1"/>
    <x v="1"/>
    <n v="2"/>
    <x v="208"/>
    <s v="SecondQuartile"/>
    <n v="2"/>
    <x v="0"/>
    <s v="Y60"/>
    <x v="3"/>
    <n v="111"/>
    <x v="10"/>
  </r>
  <r>
    <x v="1"/>
    <n v="6"/>
    <s v="QMM"/>
    <x v="1"/>
    <n v="2"/>
    <x v="209"/>
    <s v="SecondQuartile"/>
    <n v="2"/>
    <x v="0"/>
    <s v="Y61"/>
    <x v="4"/>
    <n v="137"/>
    <x v="10"/>
  </r>
  <r>
    <x v="1"/>
    <n v="6"/>
    <s v="QT6"/>
    <x v="1"/>
    <n v="2"/>
    <x v="210"/>
    <s v="SecondQuartile"/>
    <n v="2"/>
    <x v="0"/>
    <s v="Y58"/>
    <x v="5"/>
    <n v="471"/>
    <x v="10"/>
  </r>
  <r>
    <x v="1"/>
    <n v="6"/>
    <s v="QJ2"/>
    <x v="1"/>
    <n v="2"/>
    <x v="211"/>
    <s v="SecondQuartile"/>
    <n v="2"/>
    <x v="0"/>
    <s v="Y60"/>
    <x v="3"/>
    <n v="996"/>
    <x v="10"/>
  </r>
  <r>
    <x v="1"/>
    <n v="6"/>
    <s v="QRV"/>
    <x v="2"/>
    <n v="3"/>
    <x v="212"/>
    <s v="ThirdQuartile"/>
    <n v="3"/>
    <x v="0"/>
    <s v="Y56"/>
    <x v="1"/>
    <n v="807"/>
    <x v="10"/>
  </r>
  <r>
    <x v="1"/>
    <n v="6"/>
    <s v="QMJ"/>
    <x v="2"/>
    <n v="3"/>
    <x v="213"/>
    <s v="ThirdQuartile"/>
    <n v="3"/>
    <x v="0"/>
    <s v="Y56"/>
    <x v="1"/>
    <n v="985"/>
    <x v="10"/>
  </r>
  <r>
    <x v="1"/>
    <n v="6"/>
    <s v="QKS"/>
    <x v="2"/>
    <n v="3"/>
    <x v="214"/>
    <s v="FourthQuartile"/>
    <n v="4"/>
    <x v="2"/>
    <s v="Y59"/>
    <x v="0"/>
    <n v="95"/>
    <x v="10"/>
  </r>
  <r>
    <x v="1"/>
    <n v="6"/>
    <s v="QWE"/>
    <x v="2"/>
    <n v="3"/>
    <x v="215"/>
    <s v="ThirdQuartile"/>
    <n v="3"/>
    <x v="0"/>
    <s v="Y56"/>
    <x v="1"/>
    <n v="491"/>
    <x v="10"/>
  </r>
  <r>
    <x v="1"/>
    <n v="6"/>
    <s v="QE1"/>
    <x v="2"/>
    <n v="3"/>
    <x v="216"/>
    <s v="FourthQuartile"/>
    <n v="4"/>
    <x v="2"/>
    <s v="Y62"/>
    <x v="6"/>
    <n v="125"/>
    <x v="10"/>
  </r>
  <r>
    <x v="1"/>
    <n v="6"/>
    <s v="QHM"/>
    <x v="3"/>
    <n v="4"/>
    <x v="217"/>
    <s v="FourthQuartile"/>
    <n v="4"/>
    <x v="0"/>
    <s v="Y63"/>
    <x v="2"/>
    <n v="134"/>
    <x v="10"/>
  </r>
  <r>
    <x v="1"/>
    <n v="6"/>
    <s v="QXU"/>
    <x v="3"/>
    <n v="4"/>
    <x v="219"/>
    <s v="FourthQuartile"/>
    <n v="4"/>
    <x v="0"/>
    <s v="Y59"/>
    <x v="0"/>
    <n v="256"/>
    <x v="10"/>
  </r>
  <r>
    <x v="1"/>
    <n v="6"/>
    <s v="QMF"/>
    <x v="3"/>
    <n v="4"/>
    <x v="220"/>
    <s v="FourthQuartile"/>
    <n v="4"/>
    <x v="0"/>
    <s v="Y56"/>
    <x v="1"/>
    <n v="161"/>
    <x v="10"/>
  </r>
  <r>
    <x v="1"/>
    <n v="6"/>
    <s v="QH8"/>
    <x v="3"/>
    <n v="4"/>
    <x v="221"/>
    <s v="FourthQuartile"/>
    <n v="4"/>
    <x v="0"/>
    <s v="Y61"/>
    <x v="4"/>
    <n v="708"/>
    <x v="10"/>
  </r>
  <r>
    <x v="1"/>
    <n v="6"/>
    <s v="QUA"/>
    <x v="3"/>
    <n v="4"/>
    <x v="222"/>
    <s v="FourthQuartile"/>
    <n v="4"/>
    <x v="0"/>
    <s v="Y60"/>
    <x v="3"/>
    <n v="118"/>
    <x v="10"/>
  </r>
  <r>
    <x v="1"/>
    <n v="6"/>
    <s v="QM7"/>
    <x v="3"/>
    <n v="4"/>
    <x v="223"/>
    <s v="FourthQuartile"/>
    <n v="4"/>
    <x v="0"/>
    <s v="Y61"/>
    <x v="4"/>
    <n v="468"/>
    <x v="10"/>
  </r>
  <r>
    <x v="1"/>
    <n v="6"/>
    <s v="QOP"/>
    <x v="3"/>
    <n v="4"/>
    <x v="218"/>
    <s v="FourthQuartile"/>
    <n v="4"/>
    <x v="0"/>
    <s v="Y62"/>
    <x v="6"/>
    <n v="896"/>
    <x v="10"/>
  </r>
  <r>
    <x v="1"/>
    <n v="6"/>
    <s v="QWO"/>
    <x v="3"/>
    <n v="4"/>
    <x v="224"/>
    <s v="FourthQuartile"/>
    <n v="4"/>
    <x v="0"/>
    <s v="Y63"/>
    <x v="2"/>
    <n v="475"/>
    <x v="10"/>
  </r>
  <r>
    <x v="1"/>
    <n v="6"/>
    <s v="QJG"/>
    <x v="3"/>
    <n v="4"/>
    <x v="226"/>
    <s v="FourthQuartile"/>
    <n v="4"/>
    <x v="0"/>
    <s v="Y61"/>
    <x v="4"/>
    <n v="710"/>
    <x v="10"/>
  </r>
  <r>
    <x v="1"/>
    <n v="6"/>
    <s v="QVV"/>
    <x v="3"/>
    <n v="4"/>
    <x v="225"/>
    <s v="FourthQuartile"/>
    <n v="4"/>
    <x v="0"/>
    <s v="Y58"/>
    <x v="5"/>
    <n v="467"/>
    <x v="10"/>
  </r>
  <r>
    <x v="1"/>
    <n v="6"/>
    <s v="QOQ"/>
    <x v="3"/>
    <n v="4"/>
    <x v="227"/>
    <s v="FourthQuartile"/>
    <n v="4"/>
    <x v="0"/>
    <s v="Y63"/>
    <x v="2"/>
    <n v="857"/>
    <x v="10"/>
  </r>
  <r>
    <x v="1"/>
    <n v="6"/>
    <s v="QUE"/>
    <x v="3"/>
    <n v="4"/>
    <x v="228"/>
    <s v="FourthQuartile"/>
    <n v="4"/>
    <x v="0"/>
    <s v="Y61"/>
    <x v="4"/>
    <n v="644"/>
    <x v="10"/>
  </r>
  <r>
    <x v="1"/>
    <n v="6"/>
    <s v="RJ8"/>
    <x v="0"/>
    <n v="1"/>
    <x v="229"/>
    <s v="TopQuartile"/>
    <n v="1"/>
    <x v="0"/>
    <s v="Y58"/>
    <x v="5"/>
    <n v="201"/>
    <x v="11"/>
  </r>
  <r>
    <x v="1"/>
    <n v="6"/>
    <s v="RP7"/>
    <x v="0"/>
    <n v="1"/>
    <x v="230"/>
    <s v="TopQuartile"/>
    <n v="1"/>
    <x v="0"/>
    <s v="Y60"/>
    <x v="3"/>
    <n v="274"/>
    <x v="11"/>
  </r>
  <r>
    <x v="1"/>
    <n v="6"/>
    <s v="RX2"/>
    <x v="0"/>
    <n v="1"/>
    <x v="231"/>
    <s v="TopQuartile"/>
    <n v="1"/>
    <x v="0"/>
    <s v="Y59"/>
    <x v="0"/>
    <n v="354"/>
    <x v="11"/>
  </r>
  <r>
    <x v="1"/>
    <n v="6"/>
    <s v="RX4"/>
    <x v="0"/>
    <n v="1"/>
    <x v="233"/>
    <s v="TopQuartile"/>
    <n v="1"/>
    <x v="0"/>
    <s v="Y63"/>
    <x v="2"/>
    <n v="263"/>
    <x v="11"/>
  </r>
  <r>
    <x v="1"/>
    <n v="6"/>
    <s v="RXE"/>
    <x v="0"/>
    <n v="1"/>
    <x v="234"/>
    <s v="TopQuartile"/>
    <n v="1"/>
    <x v="0"/>
    <s v="Y63"/>
    <x v="2"/>
    <n v="376"/>
    <x v="11"/>
  </r>
  <r>
    <x v="1"/>
    <n v="6"/>
    <s v="RXA"/>
    <x v="0"/>
    <n v="1"/>
    <x v="235"/>
    <s v="TopQuartile"/>
    <n v="1"/>
    <x v="0"/>
    <s v="Y62"/>
    <x v="6"/>
    <n v="373"/>
    <x v="11"/>
  </r>
  <r>
    <x v="1"/>
    <n v="6"/>
    <s v="RT2"/>
    <x v="0"/>
    <n v="1"/>
    <x v="236"/>
    <s v="TopQuartile"/>
    <n v="1"/>
    <x v="0"/>
    <s v="Y62"/>
    <x v="6"/>
    <n v="311"/>
    <x v="11"/>
  </r>
  <r>
    <x v="1"/>
    <n v="6"/>
    <s v="RWV"/>
    <x v="0"/>
    <n v="1"/>
    <x v="237"/>
    <s v="TopQuartile"/>
    <n v="1"/>
    <x v="0"/>
    <s v="Y58"/>
    <x v="5"/>
    <n v="369"/>
    <x v="11"/>
  </r>
  <r>
    <x v="1"/>
    <n v="6"/>
    <s v="RVN"/>
    <x v="0"/>
    <n v="1"/>
    <x v="238"/>
    <s v="TopQuartile"/>
    <n v="1"/>
    <x v="0"/>
    <s v="Y58"/>
    <x v="5"/>
    <n v="342"/>
    <x v="11"/>
  </r>
  <r>
    <x v="1"/>
    <n v="6"/>
    <s v="RTQ"/>
    <x v="0"/>
    <n v="1"/>
    <x v="240"/>
    <s v="TopQuartile"/>
    <n v="1"/>
    <x v="0"/>
    <s v="Y58"/>
    <x v="5"/>
    <n v="327"/>
    <x v="11"/>
  </r>
  <r>
    <x v="1"/>
    <n v="6"/>
    <s v="RXG"/>
    <x v="0"/>
    <n v="1"/>
    <x v="239"/>
    <s v="TopQuartile"/>
    <n v="1"/>
    <x v="0"/>
    <s v="Y63"/>
    <x v="2"/>
    <n v="378"/>
    <x v="11"/>
  </r>
  <r>
    <x v="1"/>
    <n v="6"/>
    <s v="RGD"/>
    <x v="0"/>
    <n v="1"/>
    <x v="232"/>
    <s v="TopQuartile"/>
    <n v="1"/>
    <x v="0"/>
    <s v="Y63"/>
    <x v="2"/>
    <n v="173"/>
    <x v="11"/>
  </r>
  <r>
    <x v="1"/>
    <n v="6"/>
    <s v="RV3"/>
    <x v="0"/>
    <n v="1"/>
    <x v="245"/>
    <s v="TopQuartile"/>
    <n v="1"/>
    <x v="0"/>
    <s v="Y56"/>
    <x v="1"/>
    <n v="333"/>
    <x v="11"/>
  </r>
  <r>
    <x v="1"/>
    <n v="6"/>
    <s v="RV9"/>
    <x v="0"/>
    <n v="1"/>
    <x v="242"/>
    <s v="TopQuartile"/>
    <n v="1"/>
    <x v="0"/>
    <s v="Y63"/>
    <x v="2"/>
    <n v="338"/>
    <x v="11"/>
  </r>
  <r>
    <x v="1"/>
    <n v="6"/>
    <s v="RW4"/>
    <x v="0"/>
    <n v="1"/>
    <x v="243"/>
    <s v="TopQuartile"/>
    <n v="1"/>
    <x v="0"/>
    <s v="Y62"/>
    <x v="6"/>
    <n v="350"/>
    <x v="11"/>
  </r>
  <r>
    <x v="1"/>
    <n v="6"/>
    <s v="RQY"/>
    <x v="1"/>
    <n v="2"/>
    <x v="244"/>
    <s v="TopQuartile"/>
    <n v="1"/>
    <x v="1"/>
    <s v="Y56"/>
    <x v="1"/>
    <n v="294"/>
    <x v="11"/>
  </r>
  <r>
    <x v="1"/>
    <n v="6"/>
    <s v="RMY"/>
    <x v="1"/>
    <n v="2"/>
    <x v="259"/>
    <s v="SecondQuartile"/>
    <n v="2"/>
    <x v="0"/>
    <s v="Y61"/>
    <x v="4"/>
    <n v="246"/>
    <x v="11"/>
  </r>
  <r>
    <x v="1"/>
    <n v="6"/>
    <s v="RX3"/>
    <x v="1"/>
    <n v="2"/>
    <x v="241"/>
    <s v="SecondQuartile"/>
    <n v="2"/>
    <x v="0"/>
    <s v="Y63"/>
    <x v="2"/>
    <n v="346"/>
    <x v="11"/>
  </r>
  <r>
    <x v="1"/>
    <n v="6"/>
    <s v="RDY"/>
    <x v="1"/>
    <n v="2"/>
    <x v="247"/>
    <s v="SecondQuartile"/>
    <n v="2"/>
    <x v="0"/>
    <s v="Y58"/>
    <x v="5"/>
    <n v="152"/>
    <x v="11"/>
  </r>
  <r>
    <x v="1"/>
    <n v="6"/>
    <s v="RWR"/>
    <x v="1"/>
    <n v="2"/>
    <x v="246"/>
    <s v="SecondQuartile"/>
    <n v="2"/>
    <x v="0"/>
    <s v="Y61"/>
    <x v="4"/>
    <n v="367"/>
    <x v="11"/>
  </r>
  <r>
    <x v="1"/>
    <n v="6"/>
    <s v="RRP"/>
    <x v="1"/>
    <n v="2"/>
    <x v="250"/>
    <s v="SecondQuartile"/>
    <n v="2"/>
    <x v="0"/>
    <s v="Y56"/>
    <x v="1"/>
    <n v="306"/>
    <x v="11"/>
  </r>
  <r>
    <x v="1"/>
    <n v="6"/>
    <s v="RXV"/>
    <x v="1"/>
    <n v="2"/>
    <x v="251"/>
    <s v="SecondQuartile"/>
    <n v="2"/>
    <x v="0"/>
    <s v="Y62"/>
    <x v="6"/>
    <n v="437"/>
    <x v="11"/>
  </r>
  <r>
    <x v="1"/>
    <n v="6"/>
    <s v="RKL"/>
    <x v="1"/>
    <n v="2"/>
    <x v="252"/>
    <s v="SecondQuartile"/>
    <n v="2"/>
    <x v="0"/>
    <s v="Y56"/>
    <x v="1"/>
    <n v="222"/>
    <x v="11"/>
  </r>
  <r>
    <x v="1"/>
    <n v="6"/>
    <s v="R1L"/>
    <x v="1"/>
    <n v="2"/>
    <x v="249"/>
    <s v="SecondQuartile"/>
    <n v="2"/>
    <x v="0"/>
    <s v="Y61"/>
    <x v="4"/>
    <n v="364"/>
    <x v="11"/>
  </r>
  <r>
    <x v="1"/>
    <n v="6"/>
    <s v="RRE"/>
    <x v="1"/>
    <n v="2"/>
    <x v="253"/>
    <s v="SecondQuartile"/>
    <n v="2"/>
    <x v="0"/>
    <s v="Y60"/>
    <x v="3"/>
    <n v="301"/>
    <x v="11"/>
  </r>
  <r>
    <x v="1"/>
    <n v="6"/>
    <s v="RLY"/>
    <x v="2"/>
    <n v="3"/>
    <x v="254"/>
    <s v="SecondQuartile"/>
    <n v="2"/>
    <x v="1"/>
    <s v="Y60"/>
    <x v="3"/>
    <n v="232"/>
    <x v="11"/>
  </r>
  <r>
    <x v="1"/>
    <n v="6"/>
    <s v="RW1"/>
    <x v="2"/>
    <n v="3"/>
    <x v="255"/>
    <s v="ThirdQuartile"/>
    <n v="3"/>
    <x v="0"/>
    <s v="Y59"/>
    <x v="0"/>
    <n v="348"/>
    <x v="11"/>
  </r>
  <r>
    <x v="1"/>
    <n v="6"/>
    <s v="RP1"/>
    <x v="2"/>
    <n v="3"/>
    <x v="256"/>
    <s v="ThirdQuartile"/>
    <n v="3"/>
    <x v="0"/>
    <s v="Y60"/>
    <x v="3"/>
    <n v="270"/>
    <x v="11"/>
  </r>
  <r>
    <x v="1"/>
    <n v="6"/>
    <s v="RWX"/>
    <x v="2"/>
    <n v="3"/>
    <x v="257"/>
    <s v="ThirdQuartile"/>
    <n v="3"/>
    <x v="0"/>
    <s v="Y59"/>
    <x v="0"/>
    <n v="371"/>
    <x v="11"/>
  </r>
  <r>
    <x v="1"/>
    <n v="6"/>
    <s v="RXM"/>
    <x v="2"/>
    <n v="3"/>
    <x v="258"/>
    <s v="ThirdQuartile"/>
    <n v="3"/>
    <x v="0"/>
    <s v="Y60"/>
    <x v="3"/>
    <n v="383"/>
    <x v="11"/>
  </r>
  <r>
    <x v="1"/>
    <n v="6"/>
    <s v="RWK"/>
    <x v="2"/>
    <n v="3"/>
    <x v="260"/>
    <s v="SecondQuartile"/>
    <n v="2"/>
    <x v="1"/>
    <s v="Y56"/>
    <x v="1"/>
    <n v="363"/>
    <x v="11"/>
  </r>
  <r>
    <x v="1"/>
    <n v="6"/>
    <s v="RHA"/>
    <x v="2"/>
    <n v="3"/>
    <x v="248"/>
    <s v="FourthQuartile"/>
    <n v="4"/>
    <x v="2"/>
    <s v="Y60"/>
    <x v="3"/>
    <n v="186"/>
    <x v="11"/>
  </r>
  <r>
    <x v="1"/>
    <n v="6"/>
    <s v="RPG"/>
    <x v="2"/>
    <n v="3"/>
    <x v="261"/>
    <s v="FourthQuartile"/>
    <n v="4"/>
    <x v="2"/>
    <s v="Y56"/>
    <x v="1"/>
    <n v="277"/>
    <x v="11"/>
  </r>
  <r>
    <x v="1"/>
    <n v="6"/>
    <s v="RT5"/>
    <x v="2"/>
    <n v="3"/>
    <x v="262"/>
    <s v="FourthQuartile"/>
    <n v="4"/>
    <x v="2"/>
    <s v="Y60"/>
    <x v="3"/>
    <n v="313"/>
    <x v="11"/>
  </r>
  <r>
    <x v="1"/>
    <n v="6"/>
    <s v="RXY"/>
    <x v="3"/>
    <n v="4"/>
    <x v="263"/>
    <s v="FourthQuartile"/>
    <n v="4"/>
    <x v="0"/>
    <s v="Y59"/>
    <x v="0"/>
    <n v="380"/>
    <x v="11"/>
  </r>
  <r>
    <x v="1"/>
    <n v="6"/>
    <s v="RT1"/>
    <x v="3"/>
    <n v="4"/>
    <x v="264"/>
    <s v="FourthQuartile"/>
    <n v="4"/>
    <x v="0"/>
    <s v="Y61"/>
    <x v="4"/>
    <n v="310"/>
    <x v="11"/>
  </r>
  <r>
    <x v="1"/>
    <n v="6"/>
    <s v="RXX"/>
    <x v="3"/>
    <n v="4"/>
    <x v="266"/>
    <s v="FourthQuartile"/>
    <n v="4"/>
    <x v="0"/>
    <s v="Y59"/>
    <x v="0"/>
    <n v="325"/>
    <x v="11"/>
  </r>
  <r>
    <x v="1"/>
    <n v="6"/>
    <s v="RV5"/>
    <x v="3"/>
    <n v="4"/>
    <x v="267"/>
    <s v="FourthQuartile"/>
    <n v="4"/>
    <x v="0"/>
    <s v="Y56"/>
    <x v="1"/>
    <n v="334"/>
    <x v="11"/>
  </r>
  <r>
    <x v="1"/>
    <n v="6"/>
    <s v="RNU"/>
    <x v="3"/>
    <n v="4"/>
    <x v="265"/>
    <s v="FourthQuartile"/>
    <n v="4"/>
    <x v="0"/>
    <s v="Y59"/>
    <x v="0"/>
    <n v="267"/>
    <x v="11"/>
  </r>
  <r>
    <x v="1"/>
    <n v="6"/>
    <s v="RNK"/>
    <x v="3"/>
    <n v="4"/>
    <x v="268"/>
    <s v="FourthQuartile"/>
    <n v="4"/>
    <x v="0"/>
    <s v="Y56"/>
    <x v="1"/>
    <n v="260"/>
    <x v="11"/>
  </r>
  <r>
    <x v="1"/>
    <n v="6"/>
    <s v="RAT"/>
    <x v="3"/>
    <n v="4"/>
    <x v="269"/>
    <s v="FourthQuartile"/>
    <n v="4"/>
    <x v="0"/>
    <s v="Y56"/>
    <x v="1"/>
    <n v="395"/>
    <x v="11"/>
  </r>
  <r>
    <x v="1"/>
    <n v="6"/>
    <s v="TAJ"/>
    <x v="3"/>
    <n v="4"/>
    <x v="270"/>
    <s v="FourthQuartile"/>
    <n v="4"/>
    <x v="0"/>
    <s v="Y60"/>
    <x v="3"/>
    <n v="285"/>
    <x v="11"/>
  </r>
  <r>
    <x v="1"/>
    <n v="6"/>
    <s v="RW5"/>
    <x v="3"/>
    <n v="4"/>
    <x v="271"/>
    <s v="FourthQuartile"/>
    <n v="4"/>
    <x v="0"/>
    <s v="Y62"/>
    <x v="6"/>
    <n v="351"/>
    <x v="11"/>
  </r>
  <r>
    <x v="1"/>
    <n v="6"/>
    <s v="RYG"/>
    <x v="3"/>
    <n v="4"/>
    <x v="272"/>
    <s v="FourthQuartile"/>
    <n v="4"/>
    <x v="0"/>
    <s v="Y60"/>
    <x v="3"/>
    <n v="444"/>
    <x v="11"/>
  </r>
  <r>
    <x v="1"/>
    <n v="6"/>
    <s v="RXT"/>
    <x v="3"/>
    <n v="4"/>
    <x v="273"/>
    <s v="FourthQuartile"/>
    <n v="4"/>
    <x v="0"/>
    <s v="Y60"/>
    <x v="3"/>
    <n v="436"/>
    <x v="11"/>
  </r>
  <r>
    <x v="1"/>
    <n v="6"/>
    <s v="X80"/>
    <x v="0"/>
    <n v="1"/>
    <x v="274"/>
    <s v="TopQuartile"/>
    <n v="1"/>
    <x v="0"/>
    <s v="QZZ"/>
    <x v="7"/>
    <n v="907"/>
    <x v="12"/>
  </r>
  <r>
    <x v="1"/>
    <n v="6"/>
    <s v="T1480"/>
    <x v="1"/>
    <n v="2"/>
    <x v="275"/>
    <s v="TopQuartile"/>
    <n v="1"/>
    <x v="1"/>
    <s v="QZZ"/>
    <x v="7"/>
    <n v="980"/>
    <x v="12"/>
  </r>
  <r>
    <x v="1"/>
    <n v="6"/>
    <s v="T1460"/>
    <x v="1"/>
    <n v="2"/>
    <x v="276"/>
    <s v="SecondQuartile"/>
    <n v="2"/>
    <x v="0"/>
    <s v="QZZ"/>
    <x v="7"/>
    <n v="918"/>
    <x v="12"/>
  </r>
  <r>
    <x v="1"/>
    <n v="6"/>
    <s v="T1450"/>
    <x v="1"/>
    <n v="2"/>
    <x v="277"/>
    <s v="SecondQuartile"/>
    <n v="2"/>
    <x v="0"/>
    <s v="QZZ"/>
    <x v="7"/>
    <n v="914"/>
    <x v="12"/>
  </r>
  <r>
    <x v="1"/>
    <n v="6"/>
    <s v="DEQ"/>
    <x v="1"/>
    <n v="2"/>
    <x v="278"/>
    <s v="SecondQuartile"/>
    <n v="2"/>
    <x v="0"/>
    <s v="Y56"/>
    <x v="1"/>
    <n v="44"/>
    <x v="12"/>
  </r>
  <r>
    <x v="1"/>
    <n v="6"/>
    <s v="Z1E5K"/>
    <x v="2"/>
    <n v="3"/>
    <x v="279"/>
    <s v="ThirdQuartile"/>
    <n v="3"/>
    <x v="0"/>
    <s v="QZZ"/>
    <x v="7"/>
    <n v="65"/>
    <x v="12"/>
  </r>
  <r>
    <x v="1"/>
    <n v="6"/>
    <s v="T1540"/>
    <x v="2"/>
    <n v="3"/>
    <x v="280"/>
    <s v="FourthQuartile"/>
    <n v="4"/>
    <x v="2"/>
    <s v="QZZ"/>
    <x v="7"/>
    <n v="76"/>
    <x v="12"/>
  </r>
  <r>
    <x v="1"/>
    <n v="6"/>
    <s v="X24"/>
    <x v="3"/>
    <n v="4"/>
    <x v="281"/>
    <s v="FourthQuartile"/>
    <n v="4"/>
    <x v="0"/>
    <s v="QZZ"/>
    <x v="7"/>
    <n v="990"/>
    <x v="12"/>
  </r>
  <r>
    <x v="1"/>
    <n v="6"/>
    <s v="T1150"/>
    <x v="3"/>
    <n v="4"/>
    <x v="282"/>
    <s v="FourthQuartile"/>
    <n v="4"/>
    <x v="0"/>
    <s v="QZZ"/>
    <x v="7"/>
    <n v="912"/>
    <x v="12"/>
  </r>
  <r>
    <x v="1"/>
    <n v="6"/>
    <s v="NB7"/>
    <x v="3"/>
    <n v="4"/>
    <x v="283"/>
    <s v="FourthQuartile"/>
    <n v="4"/>
    <x v="0"/>
    <s v="QZZ"/>
    <x v="7"/>
    <n v="441"/>
    <x v="12"/>
  </r>
  <r>
    <x v="1"/>
    <n v="6"/>
    <s v="8JX76"/>
    <x v="3"/>
    <n v="4"/>
    <x v="284"/>
    <s v="FourthQuartile"/>
    <n v="4"/>
    <x v="0"/>
    <s v="QZZ"/>
    <x v="7"/>
    <n v="71"/>
    <x v="12"/>
  </r>
  <r>
    <x v="2"/>
    <n v="5"/>
    <s v="RJ2"/>
    <x v="0"/>
    <n v="1"/>
    <x v="1"/>
    <s v="TopQuartile"/>
    <n v="1"/>
    <x v="0"/>
    <s v="Y56"/>
    <x v="1"/>
    <n v="197"/>
    <x v="0"/>
  </r>
  <r>
    <x v="2"/>
    <n v="5"/>
    <s v="RWF"/>
    <x v="0"/>
    <n v="1"/>
    <x v="2"/>
    <s v="TopQuartile"/>
    <n v="1"/>
    <x v="0"/>
    <s v="Y59"/>
    <x v="0"/>
    <n v="359"/>
    <x v="0"/>
  </r>
  <r>
    <x v="2"/>
    <n v="5"/>
    <s v="RTF"/>
    <x v="0"/>
    <n v="1"/>
    <x v="3"/>
    <s v="TopQuartile"/>
    <n v="1"/>
    <x v="0"/>
    <s v="Y63"/>
    <x v="2"/>
    <n v="319"/>
    <x v="0"/>
  </r>
  <r>
    <x v="2"/>
    <n v="5"/>
    <s v="RXC"/>
    <x v="0"/>
    <n v="1"/>
    <x v="0"/>
    <s v="TopQuartile"/>
    <n v="1"/>
    <x v="0"/>
    <s v="Y59"/>
    <x v="0"/>
    <n v="374"/>
    <x v="0"/>
  </r>
  <r>
    <x v="2"/>
    <n v="5"/>
    <s v="RDE"/>
    <x v="1"/>
    <n v="2"/>
    <x v="6"/>
    <s v="SecondQuartile"/>
    <n v="2"/>
    <x v="0"/>
    <s v="Y61"/>
    <x v="4"/>
    <n v="432"/>
    <x v="0"/>
  </r>
  <r>
    <x v="2"/>
    <n v="5"/>
    <s v="RWD"/>
    <x v="1"/>
    <n v="2"/>
    <x v="5"/>
    <s v="SecondQuartile"/>
    <n v="2"/>
    <x v="0"/>
    <s v="Y60"/>
    <x v="3"/>
    <n v="357"/>
    <x v="0"/>
  </r>
  <r>
    <x v="2"/>
    <n v="5"/>
    <s v="RL4"/>
    <x v="1"/>
    <n v="2"/>
    <x v="7"/>
    <s v="ThirdQuartile"/>
    <n v="3"/>
    <x v="2"/>
    <s v="Y60"/>
    <x v="3"/>
    <n v="225"/>
    <x v="0"/>
  </r>
  <r>
    <x v="2"/>
    <n v="5"/>
    <s v="RHU"/>
    <x v="1"/>
    <n v="2"/>
    <x v="4"/>
    <s v="SecondQuartile"/>
    <n v="2"/>
    <x v="0"/>
    <s v="Y59"/>
    <x v="0"/>
    <n v="192"/>
    <x v="0"/>
  </r>
  <r>
    <x v="2"/>
    <n v="5"/>
    <s v="RDU"/>
    <x v="1"/>
    <n v="2"/>
    <x v="12"/>
    <s v="ThirdQuartile"/>
    <n v="3"/>
    <x v="2"/>
    <s v="Y59"/>
    <x v="0"/>
    <n v="151"/>
    <x v="0"/>
  </r>
  <r>
    <x v="2"/>
    <n v="5"/>
    <s v="RAJ"/>
    <x v="2"/>
    <n v="3"/>
    <x v="8"/>
    <s v="ThirdQuartile"/>
    <n v="3"/>
    <x v="0"/>
    <s v="Y61"/>
    <x v="4"/>
    <n v="390"/>
    <x v="0"/>
  </r>
  <r>
    <x v="2"/>
    <n v="5"/>
    <s v="RVJ"/>
    <x v="2"/>
    <n v="3"/>
    <x v="13"/>
    <s v="ThirdQuartile"/>
    <n v="3"/>
    <x v="0"/>
    <s v="Y58"/>
    <x v="5"/>
    <n v="339"/>
    <x v="0"/>
  </r>
  <r>
    <x v="2"/>
    <n v="5"/>
    <s v="RWH"/>
    <x v="2"/>
    <n v="3"/>
    <x v="9"/>
    <s v="FourthQuartile"/>
    <n v="4"/>
    <x v="2"/>
    <s v="Y61"/>
    <x v="4"/>
    <n v="361"/>
    <x v="0"/>
  </r>
  <r>
    <x v="2"/>
    <n v="5"/>
    <s v="RWY"/>
    <x v="2"/>
    <n v="3"/>
    <x v="10"/>
    <s v="ThirdQuartile"/>
    <n v="3"/>
    <x v="0"/>
    <s v="Y63"/>
    <x v="2"/>
    <n v="372"/>
    <x v="0"/>
  </r>
  <r>
    <x v="2"/>
    <n v="5"/>
    <s v="RGN"/>
    <x v="3"/>
    <n v="4"/>
    <x v="11"/>
    <s v="ThirdQuartile"/>
    <n v="3"/>
    <x v="1"/>
    <s v="Y61"/>
    <x v="4"/>
    <n v="176"/>
    <x v="0"/>
  </r>
  <r>
    <x v="2"/>
    <n v="5"/>
    <s v="R0B"/>
    <x v="3"/>
    <n v="4"/>
    <x v="15"/>
    <s v="ThirdQuartile"/>
    <n v="3"/>
    <x v="1"/>
    <s v="Y63"/>
    <x v="2"/>
    <n v="155"/>
    <x v="0"/>
  </r>
  <r>
    <x v="2"/>
    <n v="5"/>
    <s v="RWP"/>
    <x v="3"/>
    <n v="4"/>
    <x v="14"/>
    <s v="ThirdQuartile"/>
    <n v="3"/>
    <x v="1"/>
    <s v="Y60"/>
    <x v="3"/>
    <n v="365"/>
    <x v="0"/>
  </r>
  <r>
    <x v="2"/>
    <n v="5"/>
    <s v="RXR"/>
    <x v="3"/>
    <n v="4"/>
    <x v="17"/>
    <s v="FourthQuartile"/>
    <n v="4"/>
    <x v="0"/>
    <s v="Y62"/>
    <x v="6"/>
    <n v="435"/>
    <x v="0"/>
  </r>
  <r>
    <x v="2"/>
    <n v="5"/>
    <s v="RH8"/>
    <x v="3"/>
    <n v="4"/>
    <x v="18"/>
    <s v="FourthQuartile"/>
    <n v="4"/>
    <x v="0"/>
    <s v="Y58"/>
    <x v="5"/>
    <n v="185"/>
    <x v="0"/>
  </r>
  <r>
    <x v="2"/>
    <n v="5"/>
    <s v="RN5"/>
    <x v="3"/>
    <n v="4"/>
    <x v="19"/>
    <s v="FourthQuartile"/>
    <n v="4"/>
    <x v="0"/>
    <s v="Y59"/>
    <x v="0"/>
    <n v="251"/>
    <x v="0"/>
  </r>
  <r>
    <x v="2"/>
    <n v="5"/>
    <s v="RHW"/>
    <x v="3"/>
    <n v="4"/>
    <x v="20"/>
    <s v="FourthQuartile"/>
    <n v="4"/>
    <x v="0"/>
    <s v="Y59"/>
    <x v="0"/>
    <n v="193"/>
    <x v="0"/>
  </r>
  <r>
    <x v="2"/>
    <n v="5"/>
    <s v="RTE"/>
    <x v="3"/>
    <n v="4"/>
    <x v="16"/>
    <s v="FourthQuartile"/>
    <n v="4"/>
    <x v="0"/>
    <s v="Y58"/>
    <x v="5"/>
    <n v="318"/>
    <x v="0"/>
  </r>
  <r>
    <x v="2"/>
    <n v="5"/>
    <s v="RXK"/>
    <x v="3"/>
    <n v="4"/>
    <x v="21"/>
    <s v="FourthQuartile"/>
    <n v="4"/>
    <x v="0"/>
    <s v="Y60"/>
    <x v="3"/>
    <n v="381"/>
    <x v="0"/>
  </r>
  <r>
    <x v="2"/>
    <n v="5"/>
    <s v="REF"/>
    <x v="3"/>
    <n v="4"/>
    <x v="22"/>
    <s v="FourthQuartile"/>
    <n v="4"/>
    <x v="0"/>
    <s v="Y58"/>
    <x v="5"/>
    <n v="156"/>
    <x v="0"/>
  </r>
  <r>
    <x v="2"/>
    <n v="5"/>
    <s v="RJ6"/>
    <x v="0"/>
    <n v="1"/>
    <x v="24"/>
    <s v="TopQuartile"/>
    <n v="1"/>
    <x v="0"/>
    <s v="Y56"/>
    <x v="1"/>
    <n v="199"/>
    <x v="1"/>
  </r>
  <r>
    <x v="2"/>
    <n v="5"/>
    <s v="RJL"/>
    <x v="0"/>
    <n v="1"/>
    <x v="27"/>
    <s v="TopQuartile"/>
    <n v="1"/>
    <x v="0"/>
    <s v="Y63"/>
    <x v="2"/>
    <n v="208"/>
    <x v="1"/>
  </r>
  <r>
    <x v="2"/>
    <n v="5"/>
    <s v="RXW"/>
    <x v="0"/>
    <n v="1"/>
    <x v="23"/>
    <s v="TopQuartile"/>
    <n v="1"/>
    <x v="0"/>
    <s v="Y60"/>
    <x v="3"/>
    <n v="223"/>
    <x v="1"/>
  </r>
  <r>
    <x v="2"/>
    <n v="5"/>
    <s v="RAX"/>
    <x v="0"/>
    <n v="1"/>
    <x v="29"/>
    <s v="TopQuartile"/>
    <n v="1"/>
    <x v="0"/>
    <s v="Y56"/>
    <x v="1"/>
    <n v="396"/>
    <x v="1"/>
  </r>
  <r>
    <x v="2"/>
    <n v="5"/>
    <s v="RTP"/>
    <x v="1"/>
    <n v="2"/>
    <x v="32"/>
    <s v="SecondQuartile"/>
    <n v="2"/>
    <x v="0"/>
    <s v="Y59"/>
    <x v="0"/>
    <n v="326"/>
    <x v="1"/>
  </r>
  <r>
    <x v="2"/>
    <n v="5"/>
    <s v="RR7"/>
    <x v="1"/>
    <n v="2"/>
    <x v="25"/>
    <s v="SecondQuartile"/>
    <n v="2"/>
    <x v="0"/>
    <s v="Y63"/>
    <x v="2"/>
    <n v="297"/>
    <x v="1"/>
  </r>
  <r>
    <x v="2"/>
    <n v="5"/>
    <s v="RD1"/>
    <x v="1"/>
    <n v="2"/>
    <x v="28"/>
    <s v="SecondQuartile"/>
    <n v="2"/>
    <x v="0"/>
    <s v="Y58"/>
    <x v="5"/>
    <n v="427"/>
    <x v="1"/>
  </r>
  <r>
    <x v="2"/>
    <n v="5"/>
    <s v="RNS"/>
    <x v="1"/>
    <n v="2"/>
    <x v="31"/>
    <s v="SecondQuartile"/>
    <n v="2"/>
    <x v="0"/>
    <s v="Y60"/>
    <x v="3"/>
    <n v="265"/>
    <x v="1"/>
  </r>
  <r>
    <x v="2"/>
    <n v="5"/>
    <s v="RK5"/>
    <x v="1"/>
    <n v="2"/>
    <x v="26"/>
    <s v="SecondQuartile"/>
    <n v="2"/>
    <x v="0"/>
    <s v="Y60"/>
    <x v="3"/>
    <n v="214"/>
    <x v="1"/>
  </r>
  <r>
    <x v="2"/>
    <n v="5"/>
    <s v="RMC"/>
    <x v="1"/>
    <n v="2"/>
    <x v="35"/>
    <s v="SecondQuartile"/>
    <n v="2"/>
    <x v="0"/>
    <s v="Y62"/>
    <x v="6"/>
    <n v="241"/>
    <x v="1"/>
  </r>
  <r>
    <x v="2"/>
    <n v="5"/>
    <s v="RVW"/>
    <x v="1"/>
    <n v="2"/>
    <x v="30"/>
    <s v="SecondQuartile"/>
    <n v="2"/>
    <x v="0"/>
    <s v="Y63"/>
    <x v="2"/>
    <n v="345"/>
    <x v="1"/>
  </r>
  <r>
    <x v="2"/>
    <n v="5"/>
    <s v="RPA"/>
    <x v="1"/>
    <n v="2"/>
    <x v="34"/>
    <s v="SecondQuartile"/>
    <n v="2"/>
    <x v="0"/>
    <s v="Y59"/>
    <x v="0"/>
    <n v="275"/>
    <x v="1"/>
  </r>
  <r>
    <x v="2"/>
    <n v="5"/>
    <s v="RA2"/>
    <x v="2"/>
    <n v="3"/>
    <x v="33"/>
    <s v="SecondQuartile"/>
    <n v="2"/>
    <x v="1"/>
    <s v="Y59"/>
    <x v="0"/>
    <n v="384"/>
    <x v="1"/>
  </r>
  <r>
    <x v="2"/>
    <n v="5"/>
    <s v="RWJ"/>
    <x v="2"/>
    <n v="3"/>
    <x v="36"/>
    <s v="ThirdQuartile"/>
    <n v="3"/>
    <x v="0"/>
    <s v="Y62"/>
    <x v="6"/>
    <n v="362"/>
    <x v="1"/>
  </r>
  <r>
    <x v="2"/>
    <n v="5"/>
    <s v="RC9"/>
    <x v="2"/>
    <n v="3"/>
    <x v="38"/>
    <s v="ThirdQuartile"/>
    <n v="3"/>
    <x v="0"/>
    <s v="Y61"/>
    <x v="4"/>
    <n v="418"/>
    <x v="1"/>
  </r>
  <r>
    <x v="2"/>
    <n v="5"/>
    <s v="RNN"/>
    <x v="2"/>
    <n v="3"/>
    <x v="37"/>
    <s v="ThirdQuartile"/>
    <n v="3"/>
    <x v="0"/>
    <s v="Y63"/>
    <x v="2"/>
    <n v="262"/>
    <x v="1"/>
  </r>
  <r>
    <x v="2"/>
    <n v="5"/>
    <s v="RN3"/>
    <x v="2"/>
    <n v="3"/>
    <x v="39"/>
    <s v="ThirdQuartile"/>
    <n v="3"/>
    <x v="0"/>
    <s v="Y58"/>
    <x v="5"/>
    <n v="249"/>
    <x v="1"/>
  </r>
  <r>
    <x v="2"/>
    <n v="5"/>
    <s v="RRF"/>
    <x v="3"/>
    <n v="4"/>
    <x v="40"/>
    <s v="ThirdQuartile"/>
    <n v="3"/>
    <x v="1"/>
    <s v="Y62"/>
    <x v="6"/>
    <n v="302"/>
    <x v="1"/>
  </r>
  <r>
    <x v="2"/>
    <n v="5"/>
    <s v="RTK"/>
    <x v="3"/>
    <n v="4"/>
    <x v="41"/>
    <s v="ThirdQuartile"/>
    <n v="3"/>
    <x v="1"/>
    <s v="Y59"/>
    <x v="0"/>
    <n v="323"/>
    <x v="1"/>
  </r>
  <r>
    <x v="2"/>
    <n v="5"/>
    <s v="RNA"/>
    <x v="3"/>
    <n v="4"/>
    <x v="42"/>
    <s v="FourthQuartile"/>
    <n v="4"/>
    <x v="0"/>
    <s v="Y60"/>
    <x v="3"/>
    <n v="253"/>
    <x v="1"/>
  </r>
  <r>
    <x v="2"/>
    <n v="5"/>
    <s v="RXP"/>
    <x v="0"/>
    <n v="1"/>
    <x v="45"/>
    <s v="TopQuartile"/>
    <n v="1"/>
    <x v="0"/>
    <s v="Y63"/>
    <x v="2"/>
    <n v="439"/>
    <x v="2"/>
  </r>
  <r>
    <x v="2"/>
    <n v="5"/>
    <s v="RXQ"/>
    <x v="0"/>
    <n v="1"/>
    <x v="43"/>
    <s v="TopQuartile"/>
    <n v="1"/>
    <x v="0"/>
    <s v="Y59"/>
    <x v="0"/>
    <n v="434"/>
    <x v="2"/>
  </r>
  <r>
    <x v="2"/>
    <n v="5"/>
    <s v="RA9"/>
    <x v="0"/>
    <n v="1"/>
    <x v="44"/>
    <s v="TopQuartile"/>
    <n v="1"/>
    <x v="0"/>
    <s v="Y58"/>
    <x v="5"/>
    <n v="388"/>
    <x v="2"/>
  </r>
  <r>
    <x v="2"/>
    <n v="5"/>
    <s v="RLQ"/>
    <x v="1"/>
    <n v="2"/>
    <x v="46"/>
    <s v="SecondQuartile"/>
    <n v="2"/>
    <x v="0"/>
    <s v="Y60"/>
    <x v="3"/>
    <n v="229"/>
    <x v="2"/>
  </r>
  <r>
    <x v="2"/>
    <n v="5"/>
    <s v="R1F"/>
    <x v="1"/>
    <n v="2"/>
    <x v="48"/>
    <s v="SecondQuartile"/>
    <n v="2"/>
    <x v="0"/>
    <s v="Y59"/>
    <x v="0"/>
    <n v="470"/>
    <x v="2"/>
  </r>
  <r>
    <x v="2"/>
    <n v="5"/>
    <s v="RH5"/>
    <x v="2"/>
    <n v="3"/>
    <x v="47"/>
    <s v="ThirdQuartile"/>
    <n v="3"/>
    <x v="0"/>
    <s v="Y58"/>
    <x v="5"/>
    <n v="184"/>
    <x v="2"/>
  </r>
  <r>
    <x v="2"/>
    <n v="5"/>
    <s v="RKE"/>
    <x v="3"/>
    <n v="4"/>
    <x v="49"/>
    <s v="FourthQuartile"/>
    <n v="4"/>
    <x v="0"/>
    <s v="Y56"/>
    <x v="1"/>
    <n v="220"/>
    <x v="2"/>
  </r>
  <r>
    <x v="2"/>
    <n v="5"/>
    <s v="RFF"/>
    <x v="0"/>
    <n v="1"/>
    <x v="50"/>
    <s v="TopQuartile"/>
    <n v="1"/>
    <x v="0"/>
    <s v="Y63"/>
    <x v="2"/>
    <n v="163"/>
    <x v="3"/>
  </r>
  <r>
    <x v="2"/>
    <n v="5"/>
    <s v="RJN"/>
    <x v="0"/>
    <n v="1"/>
    <x v="52"/>
    <s v="TopQuartile"/>
    <n v="1"/>
    <x v="0"/>
    <s v="Y62"/>
    <x v="6"/>
    <n v="209"/>
    <x v="3"/>
  </r>
  <r>
    <x v="2"/>
    <n v="5"/>
    <s v="RCF"/>
    <x v="0"/>
    <n v="1"/>
    <x v="51"/>
    <s v="TopQuartile"/>
    <n v="1"/>
    <x v="0"/>
    <s v="Y63"/>
    <x v="2"/>
    <n v="423"/>
    <x v="3"/>
  </r>
  <r>
    <x v="2"/>
    <n v="5"/>
    <s v="RFR"/>
    <x v="0"/>
    <n v="1"/>
    <x v="55"/>
    <s v="TopQuartile"/>
    <n v="1"/>
    <x v="0"/>
    <s v="Y63"/>
    <x v="2"/>
    <n v="165"/>
    <x v="3"/>
  </r>
  <r>
    <x v="2"/>
    <n v="5"/>
    <s v="RFS"/>
    <x v="0"/>
    <n v="1"/>
    <x v="53"/>
    <s v="TopQuartile"/>
    <n v="1"/>
    <x v="0"/>
    <s v="Y60"/>
    <x v="3"/>
    <n v="166"/>
    <x v="3"/>
  </r>
  <r>
    <x v="2"/>
    <n v="5"/>
    <s v="RN7"/>
    <x v="0"/>
    <n v="1"/>
    <x v="56"/>
    <s v="TopQuartile"/>
    <n v="1"/>
    <x v="0"/>
    <s v="Y59"/>
    <x v="0"/>
    <n v="252"/>
    <x v="3"/>
  </r>
  <r>
    <x v="2"/>
    <n v="5"/>
    <s v="RCX"/>
    <x v="0"/>
    <n v="1"/>
    <x v="54"/>
    <s v="TopQuartile"/>
    <n v="1"/>
    <x v="0"/>
    <s v="Y61"/>
    <x v="4"/>
    <n v="426"/>
    <x v="3"/>
  </r>
  <r>
    <x v="2"/>
    <n v="5"/>
    <s v="RNQ"/>
    <x v="0"/>
    <n v="1"/>
    <x v="59"/>
    <s v="SecondQuartile"/>
    <n v="2"/>
    <x v="2"/>
    <s v="Y60"/>
    <x v="3"/>
    <n v="264"/>
    <x v="3"/>
  </r>
  <r>
    <x v="2"/>
    <n v="5"/>
    <s v="RJR"/>
    <x v="1"/>
    <n v="2"/>
    <x v="58"/>
    <s v="TopQuartile"/>
    <n v="1"/>
    <x v="1"/>
    <s v="Y62"/>
    <x v="6"/>
    <n v="210"/>
    <x v="3"/>
  </r>
  <r>
    <x v="2"/>
    <n v="5"/>
    <s v="RCD"/>
    <x v="1"/>
    <n v="2"/>
    <x v="57"/>
    <s v="SecondQuartile"/>
    <n v="2"/>
    <x v="0"/>
    <s v="Y63"/>
    <x v="2"/>
    <n v="421"/>
    <x v="3"/>
  </r>
  <r>
    <x v="2"/>
    <n v="5"/>
    <s v="RBT"/>
    <x v="2"/>
    <n v="3"/>
    <x v="60"/>
    <s v="ThirdQuartile"/>
    <n v="3"/>
    <x v="0"/>
    <s v="Y62"/>
    <x v="6"/>
    <n v="412"/>
    <x v="3"/>
  </r>
  <r>
    <x v="2"/>
    <n v="5"/>
    <s v="RNZ"/>
    <x v="2"/>
    <n v="3"/>
    <x v="61"/>
    <s v="ThirdQuartile"/>
    <n v="3"/>
    <x v="0"/>
    <s v="Y58"/>
    <x v="5"/>
    <n v="269"/>
    <x v="3"/>
  </r>
  <r>
    <x v="2"/>
    <n v="5"/>
    <s v="RAS"/>
    <x v="3"/>
    <n v="4"/>
    <x v="64"/>
    <s v="ThirdQuartile"/>
    <n v="3"/>
    <x v="1"/>
    <s v="Y56"/>
    <x v="1"/>
    <n v="394"/>
    <x v="3"/>
  </r>
  <r>
    <x v="2"/>
    <n v="5"/>
    <s v="RBK"/>
    <x v="3"/>
    <n v="4"/>
    <x v="62"/>
    <s v="ThirdQuartile"/>
    <n v="3"/>
    <x v="1"/>
    <s v="Y60"/>
    <x v="3"/>
    <n v="407"/>
    <x v="3"/>
  </r>
  <r>
    <x v="2"/>
    <n v="5"/>
    <s v="RMP"/>
    <x v="3"/>
    <n v="4"/>
    <x v="63"/>
    <s v="ThirdQuartile"/>
    <n v="3"/>
    <x v="1"/>
    <s v="Y62"/>
    <x v="6"/>
    <n v="245"/>
    <x v="3"/>
  </r>
  <r>
    <x v="2"/>
    <n v="5"/>
    <s v="RLT"/>
    <x v="3"/>
    <n v="4"/>
    <x v="65"/>
    <s v="ThirdQuartile"/>
    <n v="3"/>
    <x v="1"/>
    <s v="Y60"/>
    <x v="3"/>
    <n v="230"/>
    <x v="3"/>
  </r>
  <r>
    <x v="2"/>
    <n v="5"/>
    <s v="RQW"/>
    <x v="3"/>
    <n v="4"/>
    <x v="66"/>
    <s v="ThirdQuartile"/>
    <n v="3"/>
    <x v="1"/>
    <s v="Y61"/>
    <x v="4"/>
    <n v="292"/>
    <x v="3"/>
  </r>
  <r>
    <x v="2"/>
    <n v="5"/>
    <s v="RBD"/>
    <x v="3"/>
    <n v="4"/>
    <x v="67"/>
    <s v="FourthQuartile"/>
    <n v="4"/>
    <x v="0"/>
    <s v="Y58"/>
    <x v="5"/>
    <n v="405"/>
    <x v="3"/>
  </r>
  <r>
    <x v="2"/>
    <n v="5"/>
    <s v="RGR"/>
    <x v="3"/>
    <n v="4"/>
    <x v="68"/>
    <s v="FourthQuartile"/>
    <n v="4"/>
    <x v="0"/>
    <s v="Y61"/>
    <x v="4"/>
    <n v="179"/>
    <x v="3"/>
  </r>
  <r>
    <x v="2"/>
    <n v="5"/>
    <s v="RGM"/>
    <x v="0"/>
    <n v="1"/>
    <x v="69"/>
    <s v="TopQuartile"/>
    <n v="1"/>
    <x v="0"/>
    <s v="Y61"/>
    <x v="4"/>
    <n v="175"/>
    <x v="4"/>
  </r>
  <r>
    <x v="2"/>
    <n v="5"/>
    <s v="RET"/>
    <x v="0"/>
    <n v="1"/>
    <x v="75"/>
    <s v="TopQuartile"/>
    <n v="1"/>
    <x v="0"/>
    <s v="Y62"/>
    <x v="6"/>
    <n v="160"/>
    <x v="4"/>
  </r>
  <r>
    <x v="2"/>
    <n v="5"/>
    <s v="RP4"/>
    <x v="0"/>
    <n v="1"/>
    <x v="72"/>
    <s v="TopQuartile"/>
    <n v="1"/>
    <x v="0"/>
    <s v="Y56"/>
    <x v="1"/>
    <n v="271"/>
    <x v="4"/>
  </r>
  <r>
    <x v="2"/>
    <n v="5"/>
    <s v="RPC"/>
    <x v="0"/>
    <n v="1"/>
    <x v="70"/>
    <s v="TopQuartile"/>
    <n v="1"/>
    <x v="0"/>
    <s v="Y59"/>
    <x v="0"/>
    <n v="276"/>
    <x v="4"/>
  </r>
  <r>
    <x v="2"/>
    <n v="5"/>
    <s v="RBS"/>
    <x v="0"/>
    <n v="1"/>
    <x v="73"/>
    <s v="TopQuartile"/>
    <n v="1"/>
    <x v="0"/>
    <s v="Y62"/>
    <x v="6"/>
    <n v="411"/>
    <x v="4"/>
  </r>
  <r>
    <x v="2"/>
    <n v="5"/>
    <s v="REN"/>
    <x v="1"/>
    <n v="2"/>
    <x v="74"/>
    <s v="SecondQuartile"/>
    <n v="2"/>
    <x v="0"/>
    <s v="Y62"/>
    <x v="6"/>
    <n v="158"/>
    <x v="4"/>
  </r>
  <r>
    <x v="2"/>
    <n v="5"/>
    <s v="RRJ"/>
    <x v="1"/>
    <n v="2"/>
    <x v="71"/>
    <s v="SecondQuartile"/>
    <n v="2"/>
    <x v="0"/>
    <s v="Y60"/>
    <x v="3"/>
    <n v="303"/>
    <x v="4"/>
  </r>
  <r>
    <x v="2"/>
    <n v="5"/>
    <s v="RBV"/>
    <x v="1"/>
    <n v="2"/>
    <x v="76"/>
    <s v="SecondQuartile"/>
    <n v="2"/>
    <x v="0"/>
    <s v="Y62"/>
    <x v="6"/>
    <n v="413"/>
    <x v="4"/>
  </r>
  <r>
    <x v="2"/>
    <n v="5"/>
    <s v="RP6"/>
    <x v="2"/>
    <n v="3"/>
    <x v="78"/>
    <s v="ThirdQuartile"/>
    <n v="3"/>
    <x v="0"/>
    <s v="Y56"/>
    <x v="1"/>
    <n v="273"/>
    <x v="4"/>
  </r>
  <r>
    <x v="2"/>
    <n v="5"/>
    <s v="REP"/>
    <x v="2"/>
    <n v="3"/>
    <x v="79"/>
    <s v="ThirdQuartile"/>
    <n v="3"/>
    <x v="0"/>
    <s v="Y62"/>
    <x v="6"/>
    <n v="159"/>
    <x v="4"/>
  </r>
  <r>
    <x v="2"/>
    <n v="5"/>
    <s v="RPY"/>
    <x v="2"/>
    <n v="3"/>
    <x v="77"/>
    <s v="ThirdQuartile"/>
    <n v="3"/>
    <x v="0"/>
    <s v="Y56"/>
    <x v="1"/>
    <n v="282"/>
    <x v="4"/>
  </r>
  <r>
    <x v="2"/>
    <n v="5"/>
    <s v="RL1"/>
    <x v="2"/>
    <n v="3"/>
    <x v="80"/>
    <s v="SecondQuartile"/>
    <n v="2"/>
    <x v="1"/>
    <s v="Y60"/>
    <x v="3"/>
    <n v="224"/>
    <x v="4"/>
  </r>
  <r>
    <x v="2"/>
    <n v="5"/>
    <s v="RCU"/>
    <x v="3"/>
    <n v="4"/>
    <x v="82"/>
    <s v="ThirdQuartile"/>
    <n v="3"/>
    <x v="1"/>
    <s v="Y63"/>
    <x v="2"/>
    <n v="425"/>
    <x v="4"/>
  </r>
  <r>
    <x v="2"/>
    <n v="5"/>
    <s v="RQ3"/>
    <x v="3"/>
    <n v="4"/>
    <x v="81"/>
    <s v="FourthQuartile"/>
    <n v="4"/>
    <x v="0"/>
    <s v="Y60"/>
    <x v="3"/>
    <n v="284"/>
    <x v="4"/>
  </r>
  <r>
    <x v="2"/>
    <n v="5"/>
    <s v="RAN"/>
    <x v="3"/>
    <n v="4"/>
    <x v="83"/>
    <s v="FourthQuartile"/>
    <n v="4"/>
    <x v="0"/>
    <s v="Y56"/>
    <x v="1"/>
    <n v="392"/>
    <x v="4"/>
  </r>
  <r>
    <x v="2"/>
    <n v="5"/>
    <s v="RBQ"/>
    <x v="3"/>
    <n v="4"/>
    <x v="84"/>
    <s v="FourthQuartile"/>
    <n v="4"/>
    <x v="0"/>
    <s v="Y62"/>
    <x v="6"/>
    <n v="410"/>
    <x v="4"/>
  </r>
  <r>
    <x v="2"/>
    <n v="5"/>
    <s v="RTG"/>
    <x v="0"/>
    <n v="1"/>
    <x v="86"/>
    <s v="TopQuartile"/>
    <n v="1"/>
    <x v="0"/>
    <s v="Y60"/>
    <x v="3"/>
    <n v="320"/>
    <x v="5"/>
  </r>
  <r>
    <x v="2"/>
    <n v="5"/>
    <s v="RAE"/>
    <x v="0"/>
    <n v="1"/>
    <x v="85"/>
    <s v="TopQuartile"/>
    <n v="1"/>
    <x v="0"/>
    <s v="Y63"/>
    <x v="2"/>
    <n v="389"/>
    <x v="5"/>
  </r>
  <r>
    <x v="2"/>
    <n v="5"/>
    <s v="RGT"/>
    <x v="0"/>
    <n v="1"/>
    <x v="87"/>
    <s v="TopQuartile"/>
    <n v="1"/>
    <x v="0"/>
    <s v="Y61"/>
    <x v="4"/>
    <n v="180"/>
    <x v="5"/>
  </r>
  <r>
    <x v="2"/>
    <n v="5"/>
    <s v="RBL"/>
    <x v="0"/>
    <n v="1"/>
    <x v="88"/>
    <s v="TopQuartile"/>
    <n v="1"/>
    <x v="0"/>
    <s v="Y62"/>
    <x v="6"/>
    <n v="408"/>
    <x v="5"/>
  </r>
  <r>
    <x v="2"/>
    <n v="5"/>
    <s v="RHM"/>
    <x v="0"/>
    <n v="1"/>
    <x v="91"/>
    <s v="TopQuartile"/>
    <n v="1"/>
    <x v="0"/>
    <s v="Y59"/>
    <x v="0"/>
    <n v="188"/>
    <x v="5"/>
  </r>
  <r>
    <x v="2"/>
    <n v="5"/>
    <s v="RXN"/>
    <x v="0"/>
    <n v="1"/>
    <x v="89"/>
    <s v="TopQuartile"/>
    <n v="1"/>
    <x v="0"/>
    <s v="Y62"/>
    <x v="6"/>
    <n v="438"/>
    <x v="5"/>
  </r>
  <r>
    <x v="2"/>
    <n v="5"/>
    <s v="RTD"/>
    <x v="1"/>
    <n v="2"/>
    <x v="90"/>
    <s v="SecondQuartile"/>
    <n v="2"/>
    <x v="0"/>
    <s v="Y63"/>
    <x v="2"/>
    <n v="317"/>
    <x v="5"/>
  </r>
  <r>
    <x v="2"/>
    <n v="5"/>
    <s v="RF4"/>
    <x v="1"/>
    <n v="2"/>
    <x v="93"/>
    <s v="SecondQuartile"/>
    <n v="2"/>
    <x v="0"/>
    <s v="Y56"/>
    <x v="1"/>
    <n v="162"/>
    <x v="5"/>
  </r>
  <r>
    <x v="2"/>
    <n v="5"/>
    <s v="RJC"/>
    <x v="1"/>
    <n v="2"/>
    <x v="94"/>
    <s v="SecondQuartile"/>
    <n v="2"/>
    <x v="0"/>
    <s v="Y60"/>
    <x v="3"/>
    <n v="203"/>
    <x v="5"/>
  </r>
  <r>
    <x v="2"/>
    <n v="5"/>
    <s v="RHQ"/>
    <x v="1"/>
    <n v="2"/>
    <x v="96"/>
    <s v="SecondQuartile"/>
    <n v="2"/>
    <x v="0"/>
    <s v="Y63"/>
    <x v="2"/>
    <n v="190"/>
    <x v="5"/>
  </r>
  <r>
    <x v="2"/>
    <n v="5"/>
    <s v="RM3"/>
    <x v="1"/>
    <n v="2"/>
    <x v="92"/>
    <s v="SecondQuartile"/>
    <n v="2"/>
    <x v="0"/>
    <s v="Y62"/>
    <x v="6"/>
    <n v="236"/>
    <x v="5"/>
  </r>
  <r>
    <x v="2"/>
    <n v="5"/>
    <s v="RTX"/>
    <x v="1"/>
    <n v="2"/>
    <x v="97"/>
    <s v="SecondQuartile"/>
    <n v="2"/>
    <x v="0"/>
    <s v="Y62"/>
    <x v="6"/>
    <n v="331"/>
    <x v="5"/>
  </r>
  <r>
    <x v="2"/>
    <n v="5"/>
    <s v="RAL"/>
    <x v="1"/>
    <n v="2"/>
    <x v="100"/>
    <s v="SecondQuartile"/>
    <n v="2"/>
    <x v="0"/>
    <s v="Y56"/>
    <x v="1"/>
    <n v="391"/>
    <x v="5"/>
  </r>
  <r>
    <x v="2"/>
    <n v="5"/>
    <s v="RBN"/>
    <x v="1"/>
    <n v="2"/>
    <x v="95"/>
    <s v="SecondQuartile"/>
    <n v="2"/>
    <x v="0"/>
    <s v="Y62"/>
    <x v="6"/>
    <n v="409"/>
    <x v="5"/>
  </r>
  <r>
    <x v="2"/>
    <n v="5"/>
    <s v="RBN"/>
    <x v="1"/>
    <n v="2"/>
    <x v="95"/>
    <s v="SecondQuartile"/>
    <n v="2"/>
    <x v="0"/>
    <s v="Y62"/>
    <x v="6"/>
    <n v="96"/>
    <x v="5"/>
  </r>
  <r>
    <x v="2"/>
    <n v="5"/>
    <s v="RYR"/>
    <x v="1"/>
    <n v="2"/>
    <x v="98"/>
    <s v="SecondQuartile"/>
    <n v="2"/>
    <x v="0"/>
    <s v="Y59"/>
    <x v="0"/>
    <n v="279"/>
    <x v="5"/>
  </r>
  <r>
    <x v="2"/>
    <n v="5"/>
    <s v="RWA"/>
    <x v="1"/>
    <n v="2"/>
    <x v="103"/>
    <s v="SecondQuartile"/>
    <n v="2"/>
    <x v="0"/>
    <s v="Y63"/>
    <x v="2"/>
    <n v="356"/>
    <x v="5"/>
  </r>
  <r>
    <x v="2"/>
    <n v="5"/>
    <s v="RVV"/>
    <x v="1"/>
    <n v="2"/>
    <x v="102"/>
    <s v="SecondQuartile"/>
    <n v="2"/>
    <x v="0"/>
    <s v="Y59"/>
    <x v="0"/>
    <n v="344"/>
    <x v="5"/>
  </r>
  <r>
    <x v="2"/>
    <n v="5"/>
    <s v="RQX"/>
    <x v="1"/>
    <n v="2"/>
    <x v="99"/>
    <s v="SecondQuartile"/>
    <n v="2"/>
    <x v="0"/>
    <s v="Y56"/>
    <x v="1"/>
    <n v="293"/>
    <x v="5"/>
  </r>
  <r>
    <x v="2"/>
    <n v="5"/>
    <s v="RWE"/>
    <x v="2"/>
    <n v="3"/>
    <x v="106"/>
    <s v="SecondQuartile"/>
    <n v="2"/>
    <x v="1"/>
    <s v="Y60"/>
    <x v="3"/>
    <n v="358"/>
    <x v="5"/>
  </r>
  <r>
    <x v="2"/>
    <n v="5"/>
    <s v="RKB"/>
    <x v="2"/>
    <n v="3"/>
    <x v="105"/>
    <s v="ThirdQuartile"/>
    <n v="3"/>
    <x v="0"/>
    <s v="Y60"/>
    <x v="3"/>
    <n v="218"/>
    <x v="5"/>
  </r>
  <r>
    <x v="2"/>
    <n v="5"/>
    <s v="RWG"/>
    <x v="2"/>
    <n v="3"/>
    <x v="116"/>
    <s v="ThirdQuartile"/>
    <n v="3"/>
    <x v="0"/>
    <s v="Y61"/>
    <x v="4"/>
    <n v="360"/>
    <x v="5"/>
  </r>
  <r>
    <x v="2"/>
    <n v="5"/>
    <s v="RVR"/>
    <x v="2"/>
    <n v="3"/>
    <x v="108"/>
    <s v="ThirdQuartile"/>
    <n v="3"/>
    <x v="0"/>
    <s v="Y56"/>
    <x v="1"/>
    <n v="343"/>
    <x v="5"/>
  </r>
  <r>
    <x v="2"/>
    <n v="5"/>
    <s v="R1H"/>
    <x v="2"/>
    <n v="3"/>
    <x v="110"/>
    <s v="ThirdQuartile"/>
    <n v="3"/>
    <x v="0"/>
    <s v="Y56"/>
    <x v="1"/>
    <n v="259"/>
    <x v="5"/>
  </r>
  <r>
    <x v="2"/>
    <n v="5"/>
    <s v="RJ7"/>
    <x v="2"/>
    <n v="3"/>
    <x v="109"/>
    <s v="ThirdQuartile"/>
    <n v="3"/>
    <x v="0"/>
    <s v="Y56"/>
    <x v="1"/>
    <n v="200"/>
    <x v="5"/>
  </r>
  <r>
    <x v="2"/>
    <n v="5"/>
    <s v="RAP"/>
    <x v="2"/>
    <n v="3"/>
    <x v="111"/>
    <s v="ThirdQuartile"/>
    <n v="3"/>
    <x v="0"/>
    <s v="Y56"/>
    <x v="1"/>
    <n v="393"/>
    <x v="5"/>
  </r>
  <r>
    <x v="2"/>
    <n v="5"/>
    <s v="RWW"/>
    <x v="2"/>
    <n v="3"/>
    <x v="114"/>
    <s v="ThirdQuartile"/>
    <n v="3"/>
    <x v="0"/>
    <s v="Y62"/>
    <x v="6"/>
    <n v="370"/>
    <x v="5"/>
  </r>
  <r>
    <x v="2"/>
    <n v="5"/>
    <s v="RXF"/>
    <x v="2"/>
    <n v="3"/>
    <x v="112"/>
    <s v="ThirdQuartile"/>
    <n v="3"/>
    <x v="0"/>
    <s v="Y63"/>
    <x v="2"/>
    <n v="377"/>
    <x v="5"/>
  </r>
  <r>
    <x v="2"/>
    <n v="5"/>
    <s v="RTR"/>
    <x v="2"/>
    <n v="3"/>
    <x v="113"/>
    <s v="ThirdQuartile"/>
    <n v="3"/>
    <x v="0"/>
    <s v="Y63"/>
    <x v="2"/>
    <n v="328"/>
    <x v="5"/>
  </r>
  <r>
    <x v="2"/>
    <n v="5"/>
    <s v="RD8"/>
    <x v="2"/>
    <n v="3"/>
    <x v="107"/>
    <s v="ThirdQuartile"/>
    <n v="3"/>
    <x v="0"/>
    <s v="Y61"/>
    <x v="4"/>
    <n v="430"/>
    <x v="5"/>
  </r>
  <r>
    <x v="2"/>
    <n v="5"/>
    <s v="RGP"/>
    <x v="2"/>
    <n v="3"/>
    <x v="115"/>
    <s v="ThirdQuartile"/>
    <n v="3"/>
    <x v="0"/>
    <s v="Y61"/>
    <x v="4"/>
    <n v="177"/>
    <x v="5"/>
  </r>
  <r>
    <x v="2"/>
    <n v="5"/>
    <s v="RJZ"/>
    <x v="3"/>
    <n v="4"/>
    <x v="117"/>
    <s v="ThirdQuartile"/>
    <n v="3"/>
    <x v="1"/>
    <s v="Y56"/>
    <x v="1"/>
    <n v="213"/>
    <x v="5"/>
  </r>
  <r>
    <x v="2"/>
    <n v="5"/>
    <s v="RRV"/>
    <x v="3"/>
    <n v="4"/>
    <x v="104"/>
    <s v="ThirdQuartile"/>
    <n v="3"/>
    <x v="1"/>
    <s v="Y56"/>
    <x v="1"/>
    <n v="309"/>
    <x v="5"/>
  </r>
  <r>
    <x v="2"/>
    <n v="5"/>
    <s v="RK9"/>
    <x v="3"/>
    <n v="4"/>
    <x v="120"/>
    <s v="ThirdQuartile"/>
    <n v="3"/>
    <x v="1"/>
    <s v="Y58"/>
    <x v="5"/>
    <n v="216"/>
    <x v="5"/>
  </r>
  <r>
    <x v="2"/>
    <n v="5"/>
    <s v="RR8"/>
    <x v="3"/>
    <n v="4"/>
    <x v="118"/>
    <s v="ThirdQuartile"/>
    <n v="3"/>
    <x v="1"/>
    <s v="Y63"/>
    <x v="2"/>
    <n v="298"/>
    <x v="5"/>
  </r>
  <r>
    <x v="2"/>
    <n v="5"/>
    <s v="RXL"/>
    <x v="3"/>
    <n v="4"/>
    <x v="119"/>
    <s v="ThirdQuartile"/>
    <n v="3"/>
    <x v="1"/>
    <s v="Y62"/>
    <x v="6"/>
    <n v="382"/>
    <x v="5"/>
  </r>
  <r>
    <x v="2"/>
    <n v="5"/>
    <s v="R1K"/>
    <x v="3"/>
    <n v="4"/>
    <x v="121"/>
    <s v="ThirdQuartile"/>
    <n v="3"/>
    <x v="1"/>
    <s v="Y56"/>
    <x v="1"/>
    <n v="337"/>
    <x v="5"/>
  </r>
  <r>
    <x v="2"/>
    <n v="5"/>
    <s v="RP5"/>
    <x v="3"/>
    <n v="4"/>
    <x v="101"/>
    <s v="FourthQuartile"/>
    <n v="4"/>
    <x v="0"/>
    <s v="Y63"/>
    <x v="2"/>
    <n v="272"/>
    <x v="5"/>
  </r>
  <r>
    <x v="2"/>
    <n v="5"/>
    <s v="REM"/>
    <x v="3"/>
    <n v="4"/>
    <x v="122"/>
    <s v="ThirdQuartile"/>
    <n v="3"/>
    <x v="1"/>
    <s v="Y62"/>
    <x v="6"/>
    <n v="287"/>
    <x v="5"/>
  </r>
  <r>
    <x v="2"/>
    <n v="5"/>
    <s v="R0A"/>
    <x v="3"/>
    <n v="4"/>
    <x v="123"/>
    <s v="ThirdQuartile"/>
    <n v="3"/>
    <x v="1"/>
    <s v="Y62"/>
    <x v="6"/>
    <n v="349"/>
    <x v="5"/>
  </r>
  <r>
    <x v="2"/>
    <n v="5"/>
    <s v="RA7"/>
    <x v="3"/>
    <n v="4"/>
    <x v="127"/>
    <s v="FourthQuartile"/>
    <n v="4"/>
    <x v="0"/>
    <s v="Y58"/>
    <x v="5"/>
    <n v="387"/>
    <x v="5"/>
  </r>
  <r>
    <x v="2"/>
    <n v="5"/>
    <s v="RJ1"/>
    <x v="3"/>
    <n v="4"/>
    <x v="124"/>
    <s v="ThirdQuartile"/>
    <n v="3"/>
    <x v="1"/>
    <s v="Y56"/>
    <x v="1"/>
    <n v="196"/>
    <x v="5"/>
  </r>
  <r>
    <x v="2"/>
    <n v="5"/>
    <s v="RRK"/>
    <x v="3"/>
    <n v="4"/>
    <x v="126"/>
    <s v="FourthQuartile"/>
    <n v="4"/>
    <x v="0"/>
    <s v="Y60"/>
    <x v="3"/>
    <n v="304"/>
    <x v="5"/>
  </r>
  <r>
    <x v="2"/>
    <n v="5"/>
    <s v="RTH"/>
    <x v="3"/>
    <n v="4"/>
    <x v="125"/>
    <s v="FourthQuartile"/>
    <n v="4"/>
    <x v="0"/>
    <s v="Y59"/>
    <x v="0"/>
    <n v="321"/>
    <x v="5"/>
  </r>
  <r>
    <x v="2"/>
    <n v="5"/>
    <s v="RCB"/>
    <x v="3"/>
    <n v="4"/>
    <x v="128"/>
    <s v="FourthQuartile"/>
    <n v="4"/>
    <x v="0"/>
    <s v="Y63"/>
    <x v="2"/>
    <n v="419"/>
    <x v="5"/>
  </r>
  <r>
    <x v="2"/>
    <n v="5"/>
    <s v="RJE"/>
    <x v="3"/>
    <n v="4"/>
    <x v="129"/>
    <s v="FourthQuartile"/>
    <n v="4"/>
    <x v="0"/>
    <s v="Y60"/>
    <x v="3"/>
    <n v="205"/>
    <x v="5"/>
  </r>
  <r>
    <x v="2"/>
    <n v="5"/>
    <s v="RYJ"/>
    <x v="3"/>
    <n v="4"/>
    <x v="130"/>
    <s v="FourthQuartile"/>
    <n v="4"/>
    <x v="0"/>
    <s v="Y56"/>
    <x v="1"/>
    <n v="290"/>
    <x v="5"/>
  </r>
  <r>
    <x v="2"/>
    <n v="5"/>
    <s v="RQM"/>
    <x v="3"/>
    <n v="4"/>
    <x v="131"/>
    <s v="FourthQuartile"/>
    <n v="4"/>
    <x v="0"/>
    <s v="Y56"/>
    <x v="1"/>
    <n v="289"/>
    <x v="5"/>
  </r>
  <r>
    <x v="2"/>
    <n v="5"/>
    <s v="R0D"/>
    <x v="3"/>
    <n v="4"/>
    <x v="132"/>
    <s v="FourthQuartile"/>
    <n v="4"/>
    <x v="0"/>
    <s v="Y58"/>
    <x v="5"/>
    <n v="153"/>
    <x v="5"/>
  </r>
  <r>
    <x v="2"/>
    <n v="5"/>
    <s v="RM1"/>
    <x v="3"/>
    <n v="4"/>
    <x v="134"/>
    <s v="FourthQuartile"/>
    <n v="4"/>
    <x v="0"/>
    <s v="Y61"/>
    <x v="4"/>
    <n v="234"/>
    <x v="5"/>
  </r>
  <r>
    <x v="2"/>
    <n v="5"/>
    <s v="RX1"/>
    <x v="3"/>
    <n v="4"/>
    <x v="133"/>
    <s v="FourthQuartile"/>
    <n v="4"/>
    <x v="0"/>
    <s v="Y60"/>
    <x v="3"/>
    <n v="164"/>
    <x v="5"/>
  </r>
  <r>
    <x v="2"/>
    <n v="5"/>
    <s v="RYD"/>
    <x v="1"/>
    <n v="2"/>
    <x v="135"/>
    <s v="ThirdQuartile"/>
    <n v="3"/>
    <x v="2"/>
    <s v="Y59"/>
    <x v="0"/>
    <n v="278"/>
    <x v="6"/>
  </r>
  <r>
    <x v="2"/>
    <n v="5"/>
    <s v="RYA"/>
    <x v="1"/>
    <n v="2"/>
    <x v="136"/>
    <s v="SecondQuartile"/>
    <n v="2"/>
    <x v="0"/>
    <s v="Y60"/>
    <x v="3"/>
    <n v="217"/>
    <x v="6"/>
  </r>
  <r>
    <x v="2"/>
    <n v="5"/>
    <s v="RYE"/>
    <x v="3"/>
    <n v="4"/>
    <x v="137"/>
    <s v="ThirdQuartile"/>
    <n v="3"/>
    <x v="1"/>
    <s v="Y59"/>
    <x v="0"/>
    <n v="195"/>
    <x v="6"/>
  </r>
  <r>
    <x v="2"/>
    <n v="5"/>
    <s v="RX7"/>
    <x v="3"/>
    <n v="4"/>
    <x v="142"/>
    <s v="FourthQuartile"/>
    <n v="4"/>
    <x v="0"/>
    <s v="Y62"/>
    <x v="6"/>
    <n v="242"/>
    <x v="6"/>
  </r>
  <r>
    <x v="2"/>
    <n v="5"/>
    <s v="RX6"/>
    <x v="3"/>
    <n v="4"/>
    <x v="138"/>
    <s v="FourthQuartile"/>
    <n v="4"/>
    <x v="0"/>
    <s v="Y63"/>
    <x v="2"/>
    <n v="340"/>
    <x v="6"/>
  </r>
  <r>
    <x v="2"/>
    <n v="5"/>
    <s v="RYF"/>
    <x v="3"/>
    <n v="4"/>
    <x v="143"/>
    <s v="FourthQuartile"/>
    <n v="4"/>
    <x v="0"/>
    <s v="Y58"/>
    <x v="5"/>
    <n v="202"/>
    <x v="6"/>
  </r>
  <r>
    <x v="2"/>
    <n v="5"/>
    <s v="RX8"/>
    <x v="3"/>
    <n v="4"/>
    <x v="139"/>
    <s v="FourthQuartile"/>
    <n v="4"/>
    <x v="0"/>
    <s v="Y63"/>
    <x v="2"/>
    <n v="174"/>
    <x v="6"/>
  </r>
  <r>
    <x v="2"/>
    <n v="5"/>
    <s v="RYC"/>
    <x v="3"/>
    <n v="4"/>
    <x v="140"/>
    <s v="FourthQuartile"/>
    <n v="4"/>
    <x v="0"/>
    <s v="Y61"/>
    <x v="4"/>
    <n v="247"/>
    <x v="6"/>
  </r>
  <r>
    <x v="2"/>
    <n v="5"/>
    <s v="RRU"/>
    <x v="3"/>
    <n v="4"/>
    <x v="141"/>
    <s v="FourthQuartile"/>
    <n v="4"/>
    <x v="0"/>
    <s v="Y56"/>
    <x v="1"/>
    <n v="308"/>
    <x v="6"/>
  </r>
  <r>
    <x v="2"/>
    <n v="5"/>
    <s v="RX9"/>
    <x v="3"/>
    <n v="4"/>
    <x v="144"/>
    <s v="FourthQuartile"/>
    <n v="4"/>
    <x v="0"/>
    <s v="Y60"/>
    <x v="3"/>
    <n v="335"/>
    <x v="6"/>
  </r>
  <r>
    <x v="2"/>
    <n v="5"/>
    <s v="TAD"/>
    <x v="0"/>
    <n v="1"/>
    <x v="145"/>
    <s v="SecondQuartile"/>
    <n v="2"/>
    <x v="2"/>
    <s v="Y63"/>
    <x v="2"/>
    <n v="453"/>
    <x v="7"/>
  </r>
  <r>
    <x v="2"/>
    <n v="5"/>
    <s v="TAH"/>
    <x v="1"/>
    <n v="2"/>
    <x v="146"/>
    <s v="SecondQuartile"/>
    <n v="2"/>
    <x v="0"/>
    <s v="Y63"/>
    <x v="2"/>
    <n v="457"/>
    <x v="7"/>
  </r>
  <r>
    <x v="2"/>
    <n v="5"/>
    <s v="TAF"/>
    <x v="3"/>
    <n v="4"/>
    <x v="147"/>
    <s v="FourthQuartile"/>
    <n v="4"/>
    <x v="0"/>
    <s v="Y56"/>
    <x v="1"/>
    <n v="455"/>
    <x v="7"/>
  </r>
  <r>
    <x v="2"/>
    <n v="5"/>
    <s v="0CX"/>
    <x v="0"/>
    <n v="1"/>
    <x v="150"/>
    <s v="TopQuartile"/>
    <n v="1"/>
    <x v="0"/>
    <s v="QZZ"/>
    <x v="7"/>
    <n v="877"/>
    <x v="8"/>
  </r>
  <r>
    <x v="2"/>
    <n v="5"/>
    <s v="0DF"/>
    <x v="0"/>
    <n v="1"/>
    <x v="149"/>
    <s v="TopQuartile"/>
    <n v="1"/>
    <x v="0"/>
    <s v="QZZ"/>
    <x v="7"/>
    <n v="891"/>
    <x v="8"/>
  </r>
  <r>
    <x v="2"/>
    <n v="5"/>
    <s v="0DE"/>
    <x v="1"/>
    <n v="2"/>
    <x v="151"/>
    <s v="SecondQuartile"/>
    <n v="2"/>
    <x v="0"/>
    <s v="QZZ"/>
    <x v="7"/>
    <n v="880"/>
    <x v="8"/>
  </r>
  <r>
    <x v="2"/>
    <n v="5"/>
    <s v="0AR"/>
    <x v="3"/>
    <n v="4"/>
    <x v="148"/>
    <s v="FourthQuartile"/>
    <n v="4"/>
    <x v="0"/>
    <s v="QZZ"/>
    <x v="7"/>
    <n v="869"/>
    <x v="8"/>
  </r>
  <r>
    <x v="2"/>
    <n v="5"/>
    <s v="RYY"/>
    <x v="0"/>
    <n v="1"/>
    <x v="154"/>
    <s v="TopQuartile"/>
    <n v="1"/>
    <x v="0"/>
    <s v="Y59"/>
    <x v="0"/>
    <n v="846"/>
    <x v="9"/>
  </r>
  <r>
    <x v="2"/>
    <n v="5"/>
    <s v="R1C"/>
    <x v="0"/>
    <n v="1"/>
    <x v="152"/>
    <s v="TopQuartile"/>
    <n v="1"/>
    <x v="0"/>
    <s v="Y59"/>
    <x v="0"/>
    <n v="449"/>
    <x v="9"/>
  </r>
  <r>
    <x v="2"/>
    <n v="5"/>
    <s v="RY7"/>
    <x v="0"/>
    <n v="1"/>
    <x v="159"/>
    <s v="SecondQuartile"/>
    <n v="2"/>
    <x v="2"/>
    <s v="Y62"/>
    <x v="6"/>
    <n v="844"/>
    <x v="9"/>
  </r>
  <r>
    <x v="2"/>
    <n v="5"/>
    <s v="NQ7"/>
    <x v="0"/>
    <n v="1"/>
    <x v="153"/>
    <s v="TopQuartile"/>
    <n v="1"/>
    <x v="0"/>
    <s v="Y59"/>
    <x v="0"/>
    <n v="813"/>
    <x v="9"/>
  </r>
  <r>
    <x v="2"/>
    <n v="5"/>
    <s v="8J318"/>
    <x v="0"/>
    <n v="1"/>
    <x v="157"/>
    <s v="TopQuartile"/>
    <n v="1"/>
    <x v="0"/>
    <s v="Y63"/>
    <x v="2"/>
    <n v="98"/>
    <x v="9"/>
  </r>
  <r>
    <x v="2"/>
    <n v="5"/>
    <s v="RDR"/>
    <x v="1"/>
    <n v="2"/>
    <x v="158"/>
    <s v="TopQuartile"/>
    <n v="1"/>
    <x v="1"/>
    <s v="Y59"/>
    <x v="0"/>
    <n v="150"/>
    <x v="9"/>
  </r>
  <r>
    <x v="2"/>
    <n v="5"/>
    <s v="R1D"/>
    <x v="1"/>
    <n v="2"/>
    <x v="160"/>
    <s v="TopQuartile"/>
    <n v="1"/>
    <x v="1"/>
    <s v="Y60"/>
    <x v="3"/>
    <n v="825"/>
    <x v="9"/>
  </r>
  <r>
    <x v="2"/>
    <n v="5"/>
    <s v="RY5"/>
    <x v="1"/>
    <n v="2"/>
    <x v="156"/>
    <s v="TopQuartile"/>
    <n v="1"/>
    <x v="1"/>
    <s v="Y60"/>
    <x v="3"/>
    <n v="818"/>
    <x v="9"/>
  </r>
  <r>
    <x v="2"/>
    <n v="5"/>
    <s v="NL1"/>
    <x v="1"/>
    <n v="2"/>
    <x v="162"/>
    <s v="SecondQuartile"/>
    <n v="2"/>
    <x v="0"/>
    <s v="Y63"/>
    <x v="2"/>
    <n v="847"/>
    <x v="9"/>
  </r>
  <r>
    <x v="2"/>
    <n v="5"/>
    <s v="NAX"/>
    <x v="1"/>
    <n v="2"/>
    <x v="163"/>
    <s v="SecondQuartile"/>
    <n v="2"/>
    <x v="0"/>
    <s v="Y61"/>
    <x v="4"/>
    <n v="849"/>
    <x v="9"/>
  </r>
  <r>
    <x v="2"/>
    <n v="5"/>
    <s v="NNV"/>
    <x v="1"/>
    <n v="2"/>
    <x v="165"/>
    <s v="SecondQuartile"/>
    <n v="2"/>
    <x v="0"/>
    <s v="Y56"/>
    <x v="1"/>
    <n v="811"/>
    <x v="9"/>
  </r>
  <r>
    <x v="2"/>
    <n v="5"/>
    <s v="NL3"/>
    <x v="1"/>
    <n v="2"/>
    <x v="164"/>
    <s v="SecondQuartile"/>
    <n v="2"/>
    <x v="0"/>
    <s v="Y63"/>
    <x v="2"/>
    <n v="814"/>
    <x v="9"/>
  </r>
  <r>
    <x v="2"/>
    <n v="5"/>
    <s v="NQL"/>
    <x v="1"/>
    <n v="2"/>
    <x v="166"/>
    <s v="SecondQuartile"/>
    <n v="2"/>
    <x v="0"/>
    <s v="Y63"/>
    <x v="2"/>
    <n v="816"/>
    <x v="9"/>
  </r>
  <r>
    <x v="2"/>
    <n v="5"/>
    <s v="RY9"/>
    <x v="1"/>
    <n v="2"/>
    <x v="168"/>
    <s v="SecondQuartile"/>
    <n v="2"/>
    <x v="0"/>
    <s v="Y56"/>
    <x v="1"/>
    <n v="779"/>
    <x v="9"/>
  </r>
  <r>
    <x v="2"/>
    <n v="5"/>
    <s v="AXG"/>
    <x v="1"/>
    <n v="2"/>
    <x v="155"/>
    <s v="SecondQuartile"/>
    <n v="2"/>
    <x v="0"/>
    <s v="Y58"/>
    <x v="5"/>
    <n v="85"/>
    <x v="9"/>
  </r>
  <r>
    <x v="2"/>
    <n v="5"/>
    <s v="NQA"/>
    <x v="1"/>
    <n v="2"/>
    <x v="161"/>
    <s v="TopQuartile"/>
    <n v="1"/>
    <x v="1"/>
    <s v="Y61"/>
    <x v="4"/>
    <n v="828"/>
    <x v="9"/>
  </r>
  <r>
    <x v="2"/>
    <n v="5"/>
    <s v="R1A"/>
    <x v="1"/>
    <n v="2"/>
    <x v="170"/>
    <s v="SecondQuartile"/>
    <n v="2"/>
    <x v="0"/>
    <s v="Y60"/>
    <x v="3"/>
    <n v="798"/>
    <x v="9"/>
  </r>
  <r>
    <x v="2"/>
    <n v="5"/>
    <s v="RY3"/>
    <x v="2"/>
    <n v="3"/>
    <x v="169"/>
    <s v="ThirdQuartile"/>
    <n v="3"/>
    <x v="0"/>
    <s v="Y61"/>
    <x v="4"/>
    <n v="839"/>
    <x v="9"/>
  </r>
  <r>
    <x v="2"/>
    <n v="5"/>
    <s v="RY4"/>
    <x v="2"/>
    <n v="3"/>
    <x v="167"/>
    <s v="ThirdQuartile"/>
    <n v="3"/>
    <x v="0"/>
    <s v="Y61"/>
    <x v="4"/>
    <n v="812"/>
    <x v="9"/>
  </r>
  <r>
    <x v="2"/>
    <n v="5"/>
    <s v="NNF"/>
    <x v="2"/>
    <n v="3"/>
    <x v="173"/>
    <s v="ThirdQuartile"/>
    <n v="3"/>
    <x v="0"/>
    <s v="Y63"/>
    <x v="2"/>
    <n v="810"/>
    <x v="9"/>
  </r>
  <r>
    <x v="2"/>
    <n v="5"/>
    <s v="RYV"/>
    <x v="2"/>
    <n v="3"/>
    <x v="171"/>
    <s v="ThirdQuartile"/>
    <n v="3"/>
    <x v="0"/>
    <s v="Y61"/>
    <x v="4"/>
    <n v="448"/>
    <x v="9"/>
  </r>
  <r>
    <x v="2"/>
    <n v="5"/>
    <s v="NR3"/>
    <x v="2"/>
    <n v="3"/>
    <x v="175"/>
    <s v="ThirdQuartile"/>
    <n v="3"/>
    <x v="0"/>
    <s v="Y60"/>
    <x v="3"/>
    <n v="826"/>
    <x v="9"/>
  </r>
  <r>
    <x v="2"/>
    <n v="5"/>
    <s v="RY8"/>
    <x v="2"/>
    <n v="3"/>
    <x v="172"/>
    <s v="ThirdQuartile"/>
    <n v="3"/>
    <x v="0"/>
    <s v="Y60"/>
    <x v="3"/>
    <n v="842"/>
    <x v="9"/>
  </r>
  <r>
    <x v="2"/>
    <n v="5"/>
    <s v="RY2"/>
    <x v="3"/>
    <n v="4"/>
    <x v="174"/>
    <s v="ThirdQuartile"/>
    <n v="3"/>
    <x v="1"/>
    <s v="Y62"/>
    <x v="6"/>
    <n v="835"/>
    <x v="9"/>
  </r>
  <r>
    <x v="2"/>
    <n v="5"/>
    <s v="RYW"/>
    <x v="3"/>
    <n v="4"/>
    <x v="176"/>
    <s v="ThirdQuartile"/>
    <n v="3"/>
    <x v="1"/>
    <s v="Y60"/>
    <x v="3"/>
    <n v="820"/>
    <x v="9"/>
  </r>
  <r>
    <x v="2"/>
    <n v="5"/>
    <s v="NL8"/>
    <x v="3"/>
    <n v="4"/>
    <x v="177"/>
    <s v="ThirdQuartile"/>
    <n v="3"/>
    <x v="1"/>
    <s v="Y63"/>
    <x v="2"/>
    <n v="845"/>
    <x v="9"/>
  </r>
  <r>
    <x v="2"/>
    <n v="5"/>
    <s v="NQV"/>
    <x v="3"/>
    <n v="4"/>
    <x v="178"/>
    <s v="ThirdQuartile"/>
    <n v="3"/>
    <x v="1"/>
    <s v="Y56"/>
    <x v="1"/>
    <n v="848"/>
    <x v="9"/>
  </r>
  <r>
    <x v="2"/>
    <n v="5"/>
    <s v="RY6"/>
    <x v="3"/>
    <n v="4"/>
    <x v="180"/>
    <s v="FourthQuartile"/>
    <n v="4"/>
    <x v="0"/>
    <s v="Y63"/>
    <x v="2"/>
    <n v="833"/>
    <x v="9"/>
  </r>
  <r>
    <x v="2"/>
    <n v="5"/>
    <s v="RYX"/>
    <x v="3"/>
    <n v="4"/>
    <x v="179"/>
    <s v="FourthQuartile"/>
    <n v="4"/>
    <x v="0"/>
    <s v="Y56"/>
    <x v="1"/>
    <n v="824"/>
    <x v="9"/>
  </r>
  <r>
    <x v="2"/>
    <n v="5"/>
    <s v="NLX"/>
    <x v="3"/>
    <n v="4"/>
    <x v="181"/>
    <s v="FourthQuartile"/>
    <n v="4"/>
    <x v="0"/>
    <s v="Y58"/>
    <x v="5"/>
    <n v="83"/>
    <x v="9"/>
  </r>
  <r>
    <x v="2"/>
    <n v="5"/>
    <s v="NR5"/>
    <x v="3"/>
    <n v="4"/>
    <x v="183"/>
    <s v="FourthQuartile"/>
    <n v="4"/>
    <x v="0"/>
    <s v="Y58"/>
    <x v="5"/>
    <n v="832"/>
    <x v="9"/>
  </r>
  <r>
    <x v="2"/>
    <n v="5"/>
    <s v="RYK"/>
    <x v="3"/>
    <n v="4"/>
    <x v="184"/>
    <s v="FourthQuartile"/>
    <n v="4"/>
    <x v="0"/>
    <s v="Y60"/>
    <x v="3"/>
    <n v="445"/>
    <x v="9"/>
  </r>
  <r>
    <x v="2"/>
    <n v="5"/>
    <s v="NTV"/>
    <x v="3"/>
    <n v="4"/>
    <x v="182"/>
    <s v="FourthQuartile"/>
    <n v="4"/>
    <x v="0"/>
    <s v="Y59"/>
    <x v="0"/>
    <n v="74"/>
    <x v="9"/>
  </r>
  <r>
    <x v="2"/>
    <n v="5"/>
    <s v="NDJ"/>
    <x v="3"/>
    <n v="4"/>
    <x v="185"/>
    <s v="FourthQuartile"/>
    <n v="4"/>
    <x v="0"/>
    <s v="Y59"/>
    <x v="0"/>
    <n v="78"/>
    <x v="9"/>
  </r>
  <r>
    <x v="2"/>
    <n v="5"/>
    <s v="NRR"/>
    <x v="3"/>
    <n v="4"/>
    <x v="186"/>
    <s v="FourthQuartile"/>
    <n v="4"/>
    <x v="0"/>
    <s v="Y61"/>
    <x v="4"/>
    <n v="829"/>
    <x v="9"/>
  </r>
  <r>
    <x v="2"/>
    <n v="5"/>
    <s v="QUY"/>
    <x v="0"/>
    <n v="1"/>
    <x v="189"/>
    <s v="TopQuartile"/>
    <n v="1"/>
    <x v="0"/>
    <s v="Y58"/>
    <x v="5"/>
    <n v="461"/>
    <x v="10"/>
  </r>
  <r>
    <x v="2"/>
    <n v="5"/>
    <s v="QNX"/>
    <x v="0"/>
    <n v="1"/>
    <x v="187"/>
    <s v="TopQuartile"/>
    <n v="1"/>
    <x v="0"/>
    <s v="Y59"/>
    <x v="0"/>
    <n v="146"/>
    <x v="10"/>
  </r>
  <r>
    <x v="2"/>
    <n v="5"/>
    <s v="QOX"/>
    <x v="0"/>
    <n v="1"/>
    <x v="193"/>
    <s v="TopQuartile"/>
    <n v="1"/>
    <x v="0"/>
    <s v="Y58"/>
    <x v="5"/>
    <n v="983"/>
    <x v="10"/>
  </r>
  <r>
    <x v="2"/>
    <n v="5"/>
    <s v="QU9"/>
    <x v="0"/>
    <n v="1"/>
    <x v="192"/>
    <s v="TopQuartile"/>
    <n v="1"/>
    <x v="0"/>
    <s v="Y59"/>
    <x v="0"/>
    <n v="482"/>
    <x v="10"/>
  </r>
  <r>
    <x v="2"/>
    <n v="5"/>
    <s v="QPM"/>
    <x v="0"/>
    <n v="1"/>
    <x v="195"/>
    <s v="TopQuartile"/>
    <n v="1"/>
    <x v="0"/>
    <s v="Y60"/>
    <x v="3"/>
    <n v="86"/>
    <x v="10"/>
  </r>
  <r>
    <x v="2"/>
    <n v="5"/>
    <s v="QHG"/>
    <x v="0"/>
    <n v="1"/>
    <x v="194"/>
    <s v="TopQuartile"/>
    <n v="1"/>
    <x v="0"/>
    <s v="Y61"/>
    <x v="4"/>
    <n v="465"/>
    <x v="10"/>
  </r>
  <r>
    <x v="2"/>
    <n v="5"/>
    <s v="QGH"/>
    <x v="0"/>
    <n v="1"/>
    <x v="190"/>
    <s v="TopQuartile"/>
    <n v="1"/>
    <x v="0"/>
    <s v="Y60"/>
    <x v="3"/>
    <n v="106"/>
    <x v="10"/>
  </r>
  <r>
    <x v="2"/>
    <n v="5"/>
    <s v="QSL"/>
    <x v="0"/>
    <n v="1"/>
    <x v="197"/>
    <s v="TopQuartile"/>
    <n v="1"/>
    <x v="0"/>
    <s v="Y58"/>
    <x v="5"/>
    <n v="462"/>
    <x v="10"/>
  </r>
  <r>
    <x v="2"/>
    <n v="5"/>
    <s v="QRL"/>
    <x v="0"/>
    <n v="1"/>
    <x v="202"/>
    <s v="TopQuartile"/>
    <n v="1"/>
    <x v="0"/>
    <s v="Y59"/>
    <x v="0"/>
    <n v="104"/>
    <x v="10"/>
  </r>
  <r>
    <x v="2"/>
    <n v="5"/>
    <s v="QYG"/>
    <x v="0"/>
    <n v="1"/>
    <x v="191"/>
    <s v="TopQuartile"/>
    <n v="1"/>
    <x v="0"/>
    <s v="Y62"/>
    <x v="6"/>
    <n v="493"/>
    <x v="10"/>
  </r>
  <r>
    <x v="2"/>
    <n v="5"/>
    <s v="QNC"/>
    <x v="0"/>
    <n v="1"/>
    <x v="196"/>
    <s v="TopQuartile"/>
    <n v="1"/>
    <x v="0"/>
    <s v="Y60"/>
    <x v="3"/>
    <n v="66"/>
    <x v="10"/>
  </r>
  <r>
    <x v="2"/>
    <n v="5"/>
    <s v="QJM"/>
    <x v="0"/>
    <n v="1"/>
    <x v="199"/>
    <s v="TopQuartile"/>
    <n v="1"/>
    <x v="0"/>
    <s v="Y60"/>
    <x v="3"/>
    <n v="116"/>
    <x v="10"/>
  </r>
  <r>
    <x v="2"/>
    <n v="5"/>
    <s v="QJK"/>
    <x v="0"/>
    <n v="1"/>
    <x v="198"/>
    <s v="TopQuartile"/>
    <n v="1"/>
    <x v="0"/>
    <s v="Y58"/>
    <x v="5"/>
    <n v="144"/>
    <x v="10"/>
  </r>
  <r>
    <x v="2"/>
    <n v="5"/>
    <s v="QR1"/>
    <x v="0"/>
    <n v="1"/>
    <x v="188"/>
    <s v="TopQuartile"/>
    <n v="1"/>
    <x v="0"/>
    <s v="Y58"/>
    <x v="5"/>
    <n v="843"/>
    <x v="10"/>
  </r>
  <r>
    <x v="2"/>
    <n v="5"/>
    <s v="QF7"/>
    <x v="0"/>
    <n v="1"/>
    <x v="201"/>
    <s v="TopQuartile"/>
    <n v="1"/>
    <x v="0"/>
    <s v="Y63"/>
    <x v="2"/>
    <n v="133"/>
    <x v="10"/>
  </r>
  <r>
    <x v="2"/>
    <n v="5"/>
    <s v="QNQ"/>
    <x v="1"/>
    <n v="2"/>
    <x v="200"/>
    <s v="TopQuartile"/>
    <n v="1"/>
    <x v="1"/>
    <s v="Y59"/>
    <x v="0"/>
    <n v="495"/>
    <x v="10"/>
  </r>
  <r>
    <x v="2"/>
    <n v="5"/>
    <s v="QKK"/>
    <x v="1"/>
    <n v="2"/>
    <x v="205"/>
    <s v="SecondQuartile"/>
    <n v="2"/>
    <x v="0"/>
    <s v="Y56"/>
    <x v="1"/>
    <n v="487"/>
    <x v="10"/>
  </r>
  <r>
    <x v="2"/>
    <n v="5"/>
    <s v="QK1"/>
    <x v="1"/>
    <n v="2"/>
    <x v="204"/>
    <s v="SecondQuartile"/>
    <n v="2"/>
    <x v="0"/>
    <s v="Y60"/>
    <x v="3"/>
    <n v="994"/>
    <x v="10"/>
  </r>
  <r>
    <x v="2"/>
    <n v="5"/>
    <s v="QMM"/>
    <x v="1"/>
    <n v="2"/>
    <x v="209"/>
    <s v="SecondQuartile"/>
    <n v="2"/>
    <x v="0"/>
    <s v="Y61"/>
    <x v="4"/>
    <n v="137"/>
    <x v="10"/>
  </r>
  <r>
    <x v="2"/>
    <n v="5"/>
    <s v="QWU"/>
    <x v="1"/>
    <n v="2"/>
    <x v="206"/>
    <s v="SecondQuartile"/>
    <n v="2"/>
    <x v="0"/>
    <s v="Y60"/>
    <x v="3"/>
    <n v="105"/>
    <x v="10"/>
  </r>
  <r>
    <x v="2"/>
    <n v="5"/>
    <s v="QT1"/>
    <x v="1"/>
    <n v="2"/>
    <x v="208"/>
    <s v="SecondQuartile"/>
    <n v="2"/>
    <x v="0"/>
    <s v="Y60"/>
    <x v="3"/>
    <n v="111"/>
    <x v="10"/>
  </r>
  <r>
    <x v="2"/>
    <n v="5"/>
    <s v="QT6"/>
    <x v="1"/>
    <n v="2"/>
    <x v="210"/>
    <s v="SecondQuartile"/>
    <n v="2"/>
    <x v="0"/>
    <s v="Y58"/>
    <x v="5"/>
    <n v="471"/>
    <x v="10"/>
  </r>
  <r>
    <x v="2"/>
    <n v="5"/>
    <s v="QHL"/>
    <x v="1"/>
    <n v="2"/>
    <x v="207"/>
    <s v="SecondQuartile"/>
    <n v="2"/>
    <x v="0"/>
    <s v="Y60"/>
    <x v="3"/>
    <n v="529"/>
    <x v="10"/>
  </r>
  <r>
    <x v="2"/>
    <n v="5"/>
    <s v="QJ2"/>
    <x v="1"/>
    <n v="2"/>
    <x v="211"/>
    <s v="SecondQuartile"/>
    <n v="2"/>
    <x v="0"/>
    <s v="Y60"/>
    <x v="3"/>
    <n v="996"/>
    <x v="10"/>
  </r>
  <r>
    <x v="2"/>
    <n v="5"/>
    <s v="QOC"/>
    <x v="2"/>
    <n v="3"/>
    <x v="203"/>
    <s v="ThirdQuartile"/>
    <n v="3"/>
    <x v="0"/>
    <s v="Y60"/>
    <x v="3"/>
    <n v="942"/>
    <x v="10"/>
  </r>
  <r>
    <x v="2"/>
    <n v="5"/>
    <s v="QWE"/>
    <x v="2"/>
    <n v="3"/>
    <x v="215"/>
    <s v="ThirdQuartile"/>
    <n v="3"/>
    <x v="0"/>
    <s v="Y56"/>
    <x v="1"/>
    <n v="491"/>
    <x v="10"/>
  </r>
  <r>
    <x v="2"/>
    <n v="5"/>
    <s v="QRV"/>
    <x v="2"/>
    <n v="3"/>
    <x v="212"/>
    <s v="ThirdQuartile"/>
    <n v="3"/>
    <x v="0"/>
    <s v="Y56"/>
    <x v="1"/>
    <n v="807"/>
    <x v="10"/>
  </r>
  <r>
    <x v="2"/>
    <n v="5"/>
    <s v="QMJ"/>
    <x v="2"/>
    <n v="3"/>
    <x v="213"/>
    <s v="FourthQuartile"/>
    <n v="4"/>
    <x v="2"/>
    <s v="Y56"/>
    <x v="1"/>
    <n v="985"/>
    <x v="10"/>
  </r>
  <r>
    <x v="2"/>
    <n v="5"/>
    <s v="QKS"/>
    <x v="3"/>
    <n v="4"/>
    <x v="214"/>
    <s v="FourthQuartile"/>
    <n v="4"/>
    <x v="0"/>
    <s v="Y59"/>
    <x v="0"/>
    <n v="95"/>
    <x v="10"/>
  </r>
  <r>
    <x v="2"/>
    <n v="5"/>
    <s v="QE1"/>
    <x v="3"/>
    <n v="4"/>
    <x v="216"/>
    <s v="FourthQuartile"/>
    <n v="4"/>
    <x v="0"/>
    <s v="Y62"/>
    <x v="6"/>
    <n v="125"/>
    <x v="10"/>
  </r>
  <r>
    <x v="2"/>
    <n v="5"/>
    <s v="QH8"/>
    <x v="3"/>
    <n v="4"/>
    <x v="221"/>
    <s v="ThirdQuartile"/>
    <n v="3"/>
    <x v="1"/>
    <s v="Y61"/>
    <x v="4"/>
    <n v="708"/>
    <x v="10"/>
  </r>
  <r>
    <x v="2"/>
    <n v="5"/>
    <s v="QXU"/>
    <x v="3"/>
    <n v="4"/>
    <x v="219"/>
    <s v="FourthQuartile"/>
    <n v="4"/>
    <x v="0"/>
    <s v="Y59"/>
    <x v="0"/>
    <n v="256"/>
    <x v="10"/>
  </r>
  <r>
    <x v="2"/>
    <n v="5"/>
    <s v="QMF"/>
    <x v="3"/>
    <n v="4"/>
    <x v="220"/>
    <s v="FourthQuartile"/>
    <n v="4"/>
    <x v="0"/>
    <s v="Y56"/>
    <x v="1"/>
    <n v="161"/>
    <x v="10"/>
  </r>
  <r>
    <x v="2"/>
    <n v="5"/>
    <s v="QUA"/>
    <x v="3"/>
    <n v="4"/>
    <x v="222"/>
    <s v="FourthQuartile"/>
    <n v="4"/>
    <x v="0"/>
    <s v="Y60"/>
    <x v="3"/>
    <n v="118"/>
    <x v="10"/>
  </r>
  <r>
    <x v="2"/>
    <n v="5"/>
    <s v="QM7"/>
    <x v="3"/>
    <n v="4"/>
    <x v="223"/>
    <s v="FourthQuartile"/>
    <n v="4"/>
    <x v="0"/>
    <s v="Y61"/>
    <x v="4"/>
    <n v="468"/>
    <x v="10"/>
  </r>
  <r>
    <x v="2"/>
    <n v="5"/>
    <s v="QOP"/>
    <x v="3"/>
    <n v="4"/>
    <x v="218"/>
    <s v="FourthQuartile"/>
    <n v="4"/>
    <x v="0"/>
    <s v="Y62"/>
    <x v="6"/>
    <n v="896"/>
    <x v="10"/>
  </r>
  <r>
    <x v="2"/>
    <n v="5"/>
    <s v="QHM"/>
    <x v="3"/>
    <n v="4"/>
    <x v="217"/>
    <s v="FourthQuartile"/>
    <n v="4"/>
    <x v="0"/>
    <s v="Y63"/>
    <x v="2"/>
    <n v="134"/>
    <x v="10"/>
  </r>
  <r>
    <x v="2"/>
    <n v="5"/>
    <s v="QVV"/>
    <x v="3"/>
    <n v="4"/>
    <x v="225"/>
    <s v="FourthQuartile"/>
    <n v="4"/>
    <x v="0"/>
    <s v="Y58"/>
    <x v="5"/>
    <n v="467"/>
    <x v="10"/>
  </r>
  <r>
    <x v="2"/>
    <n v="5"/>
    <s v="QWO"/>
    <x v="3"/>
    <n v="4"/>
    <x v="224"/>
    <s v="FourthQuartile"/>
    <n v="4"/>
    <x v="0"/>
    <s v="Y63"/>
    <x v="2"/>
    <n v="475"/>
    <x v="10"/>
  </r>
  <r>
    <x v="2"/>
    <n v="5"/>
    <s v="QJG"/>
    <x v="3"/>
    <n v="4"/>
    <x v="226"/>
    <s v="FourthQuartile"/>
    <n v="4"/>
    <x v="0"/>
    <s v="Y61"/>
    <x v="4"/>
    <n v="710"/>
    <x v="10"/>
  </r>
  <r>
    <x v="2"/>
    <n v="5"/>
    <s v="QOQ"/>
    <x v="3"/>
    <n v="4"/>
    <x v="227"/>
    <s v="FourthQuartile"/>
    <n v="4"/>
    <x v="0"/>
    <s v="Y63"/>
    <x v="2"/>
    <n v="857"/>
    <x v="10"/>
  </r>
  <r>
    <x v="2"/>
    <n v="5"/>
    <s v="QUE"/>
    <x v="3"/>
    <n v="4"/>
    <x v="228"/>
    <s v="FourthQuartile"/>
    <n v="4"/>
    <x v="0"/>
    <s v="Y61"/>
    <x v="4"/>
    <n v="644"/>
    <x v="10"/>
  </r>
  <r>
    <x v="2"/>
    <n v="5"/>
    <s v="RJ8"/>
    <x v="0"/>
    <n v="1"/>
    <x v="229"/>
    <s v="TopQuartile"/>
    <n v="1"/>
    <x v="0"/>
    <s v="Y58"/>
    <x v="5"/>
    <n v="201"/>
    <x v="11"/>
  </r>
  <r>
    <x v="2"/>
    <n v="5"/>
    <s v="RP7"/>
    <x v="0"/>
    <n v="1"/>
    <x v="230"/>
    <s v="TopQuartile"/>
    <n v="1"/>
    <x v="0"/>
    <s v="Y60"/>
    <x v="3"/>
    <n v="274"/>
    <x v="11"/>
  </r>
  <r>
    <x v="2"/>
    <n v="5"/>
    <s v="RTQ"/>
    <x v="0"/>
    <n v="1"/>
    <x v="240"/>
    <s v="SecondQuartile"/>
    <n v="2"/>
    <x v="2"/>
    <s v="Y58"/>
    <x v="5"/>
    <n v="327"/>
    <x v="11"/>
  </r>
  <r>
    <x v="2"/>
    <n v="5"/>
    <s v="RX2"/>
    <x v="0"/>
    <n v="1"/>
    <x v="231"/>
    <s v="TopQuartile"/>
    <n v="1"/>
    <x v="0"/>
    <s v="Y59"/>
    <x v="0"/>
    <n v="354"/>
    <x v="11"/>
  </r>
  <r>
    <x v="2"/>
    <n v="5"/>
    <s v="RGD"/>
    <x v="0"/>
    <n v="1"/>
    <x v="232"/>
    <s v="TopQuartile"/>
    <n v="1"/>
    <x v="0"/>
    <s v="Y63"/>
    <x v="2"/>
    <n v="173"/>
    <x v="11"/>
  </r>
  <r>
    <x v="2"/>
    <n v="5"/>
    <s v="RX4"/>
    <x v="0"/>
    <n v="1"/>
    <x v="233"/>
    <s v="TopQuartile"/>
    <n v="1"/>
    <x v="0"/>
    <s v="Y63"/>
    <x v="2"/>
    <n v="263"/>
    <x v="11"/>
  </r>
  <r>
    <x v="2"/>
    <n v="5"/>
    <s v="RT2"/>
    <x v="0"/>
    <n v="1"/>
    <x v="236"/>
    <s v="ThirdQuartile"/>
    <n v="3"/>
    <x v="2"/>
    <s v="Y62"/>
    <x v="6"/>
    <n v="311"/>
    <x v="11"/>
  </r>
  <r>
    <x v="2"/>
    <n v="5"/>
    <s v="RXE"/>
    <x v="0"/>
    <n v="1"/>
    <x v="234"/>
    <s v="TopQuartile"/>
    <n v="1"/>
    <x v="0"/>
    <s v="Y63"/>
    <x v="2"/>
    <n v="376"/>
    <x v="11"/>
  </r>
  <r>
    <x v="2"/>
    <n v="5"/>
    <s v="RWV"/>
    <x v="0"/>
    <n v="1"/>
    <x v="237"/>
    <s v="TopQuartile"/>
    <n v="1"/>
    <x v="0"/>
    <s v="Y58"/>
    <x v="5"/>
    <n v="369"/>
    <x v="11"/>
  </r>
  <r>
    <x v="2"/>
    <n v="5"/>
    <s v="RXA"/>
    <x v="0"/>
    <n v="1"/>
    <x v="235"/>
    <s v="TopQuartile"/>
    <n v="1"/>
    <x v="0"/>
    <s v="Y62"/>
    <x v="6"/>
    <n v="373"/>
    <x v="11"/>
  </r>
  <r>
    <x v="2"/>
    <n v="5"/>
    <s v="RV3"/>
    <x v="0"/>
    <n v="1"/>
    <x v="245"/>
    <s v="TopQuartile"/>
    <n v="1"/>
    <x v="0"/>
    <s v="Y56"/>
    <x v="1"/>
    <n v="333"/>
    <x v="11"/>
  </r>
  <r>
    <x v="2"/>
    <n v="5"/>
    <s v="RXG"/>
    <x v="0"/>
    <n v="1"/>
    <x v="239"/>
    <s v="TopQuartile"/>
    <n v="1"/>
    <x v="0"/>
    <s v="Y63"/>
    <x v="2"/>
    <n v="378"/>
    <x v="11"/>
  </r>
  <r>
    <x v="2"/>
    <n v="5"/>
    <s v="RVN"/>
    <x v="0"/>
    <n v="1"/>
    <x v="238"/>
    <s v="TopQuartile"/>
    <n v="1"/>
    <x v="0"/>
    <s v="Y58"/>
    <x v="5"/>
    <n v="342"/>
    <x v="11"/>
  </r>
  <r>
    <x v="2"/>
    <n v="5"/>
    <s v="RV9"/>
    <x v="0"/>
    <n v="1"/>
    <x v="242"/>
    <s v="TopQuartile"/>
    <n v="1"/>
    <x v="0"/>
    <s v="Y63"/>
    <x v="2"/>
    <n v="338"/>
    <x v="11"/>
  </r>
  <r>
    <x v="2"/>
    <n v="5"/>
    <s v="RW4"/>
    <x v="0"/>
    <n v="1"/>
    <x v="243"/>
    <s v="TopQuartile"/>
    <n v="1"/>
    <x v="0"/>
    <s v="Y62"/>
    <x v="6"/>
    <n v="350"/>
    <x v="11"/>
  </r>
  <r>
    <x v="2"/>
    <n v="5"/>
    <s v="RQY"/>
    <x v="0"/>
    <n v="1"/>
    <x v="244"/>
    <s v="TopQuartile"/>
    <n v="1"/>
    <x v="0"/>
    <s v="Y56"/>
    <x v="1"/>
    <n v="294"/>
    <x v="11"/>
  </r>
  <r>
    <x v="2"/>
    <n v="5"/>
    <s v="RDY"/>
    <x v="1"/>
    <n v="2"/>
    <x v="247"/>
    <s v="SecondQuartile"/>
    <n v="2"/>
    <x v="0"/>
    <s v="Y58"/>
    <x v="5"/>
    <n v="152"/>
    <x v="11"/>
  </r>
  <r>
    <x v="2"/>
    <n v="5"/>
    <s v="RWK"/>
    <x v="1"/>
    <n v="2"/>
    <x v="260"/>
    <s v="SecondQuartile"/>
    <n v="2"/>
    <x v="0"/>
    <s v="Y56"/>
    <x v="1"/>
    <n v="363"/>
    <x v="11"/>
  </r>
  <r>
    <x v="2"/>
    <n v="5"/>
    <s v="RMY"/>
    <x v="1"/>
    <n v="2"/>
    <x v="259"/>
    <s v="SecondQuartile"/>
    <n v="2"/>
    <x v="0"/>
    <s v="Y61"/>
    <x v="4"/>
    <n v="246"/>
    <x v="11"/>
  </r>
  <r>
    <x v="2"/>
    <n v="5"/>
    <s v="RX3"/>
    <x v="1"/>
    <n v="2"/>
    <x v="241"/>
    <s v="SecondQuartile"/>
    <n v="2"/>
    <x v="0"/>
    <s v="Y63"/>
    <x v="2"/>
    <n v="346"/>
    <x v="11"/>
  </r>
  <r>
    <x v="2"/>
    <n v="5"/>
    <s v="RWR"/>
    <x v="1"/>
    <n v="2"/>
    <x v="246"/>
    <s v="SecondQuartile"/>
    <n v="2"/>
    <x v="0"/>
    <s v="Y61"/>
    <x v="4"/>
    <n v="367"/>
    <x v="11"/>
  </r>
  <r>
    <x v="2"/>
    <n v="5"/>
    <s v="R1L"/>
    <x v="1"/>
    <n v="2"/>
    <x v="249"/>
    <s v="SecondQuartile"/>
    <n v="2"/>
    <x v="0"/>
    <s v="Y61"/>
    <x v="4"/>
    <n v="364"/>
    <x v="11"/>
  </r>
  <r>
    <x v="2"/>
    <n v="5"/>
    <s v="RRP"/>
    <x v="1"/>
    <n v="2"/>
    <x v="250"/>
    <s v="SecondQuartile"/>
    <n v="2"/>
    <x v="0"/>
    <s v="Y56"/>
    <x v="1"/>
    <n v="306"/>
    <x v="11"/>
  </r>
  <r>
    <x v="2"/>
    <n v="5"/>
    <s v="RXV"/>
    <x v="1"/>
    <n v="2"/>
    <x v="251"/>
    <s v="SecondQuartile"/>
    <n v="2"/>
    <x v="0"/>
    <s v="Y62"/>
    <x v="6"/>
    <n v="437"/>
    <x v="11"/>
  </r>
  <r>
    <x v="2"/>
    <n v="5"/>
    <s v="RKL"/>
    <x v="1"/>
    <n v="2"/>
    <x v="252"/>
    <s v="SecondQuartile"/>
    <n v="2"/>
    <x v="0"/>
    <s v="Y56"/>
    <x v="1"/>
    <n v="222"/>
    <x v="11"/>
  </r>
  <r>
    <x v="2"/>
    <n v="5"/>
    <s v="RRE"/>
    <x v="1"/>
    <n v="2"/>
    <x v="253"/>
    <s v="ThirdQuartile"/>
    <n v="3"/>
    <x v="2"/>
    <s v="Y60"/>
    <x v="3"/>
    <n v="301"/>
    <x v="11"/>
  </r>
  <r>
    <x v="2"/>
    <n v="5"/>
    <s v="RLY"/>
    <x v="1"/>
    <n v="2"/>
    <x v="254"/>
    <s v="SecondQuartile"/>
    <n v="2"/>
    <x v="0"/>
    <s v="Y60"/>
    <x v="3"/>
    <n v="232"/>
    <x v="11"/>
  </r>
  <r>
    <x v="2"/>
    <n v="5"/>
    <s v="RW1"/>
    <x v="2"/>
    <n v="3"/>
    <x v="255"/>
    <s v="SecondQuartile"/>
    <n v="2"/>
    <x v="1"/>
    <s v="Y59"/>
    <x v="0"/>
    <n v="348"/>
    <x v="11"/>
  </r>
  <r>
    <x v="2"/>
    <n v="5"/>
    <s v="RP1"/>
    <x v="2"/>
    <n v="3"/>
    <x v="256"/>
    <s v="ThirdQuartile"/>
    <n v="3"/>
    <x v="0"/>
    <s v="Y60"/>
    <x v="3"/>
    <n v="270"/>
    <x v="11"/>
  </r>
  <r>
    <x v="2"/>
    <n v="5"/>
    <s v="RWX"/>
    <x v="2"/>
    <n v="3"/>
    <x v="257"/>
    <s v="ThirdQuartile"/>
    <n v="3"/>
    <x v="0"/>
    <s v="Y59"/>
    <x v="0"/>
    <n v="371"/>
    <x v="11"/>
  </r>
  <r>
    <x v="2"/>
    <n v="5"/>
    <s v="RXM"/>
    <x v="2"/>
    <n v="3"/>
    <x v="258"/>
    <s v="ThirdQuartile"/>
    <n v="3"/>
    <x v="0"/>
    <s v="Y60"/>
    <x v="3"/>
    <n v="383"/>
    <x v="11"/>
  </r>
  <r>
    <x v="2"/>
    <n v="5"/>
    <s v="RHA"/>
    <x v="3"/>
    <n v="4"/>
    <x v="248"/>
    <s v="ThirdQuartile"/>
    <n v="3"/>
    <x v="1"/>
    <s v="Y60"/>
    <x v="3"/>
    <n v="186"/>
    <x v="11"/>
  </r>
  <r>
    <x v="2"/>
    <n v="5"/>
    <s v="RT5"/>
    <x v="3"/>
    <n v="4"/>
    <x v="262"/>
    <s v="SecondQuartile"/>
    <n v="2"/>
    <x v="1"/>
    <s v="Y60"/>
    <x v="3"/>
    <n v="313"/>
    <x v="11"/>
  </r>
  <r>
    <x v="2"/>
    <n v="5"/>
    <s v="RXY"/>
    <x v="3"/>
    <n v="4"/>
    <x v="263"/>
    <s v="FourthQuartile"/>
    <n v="4"/>
    <x v="0"/>
    <s v="Y59"/>
    <x v="0"/>
    <n v="380"/>
    <x v="11"/>
  </r>
  <r>
    <x v="2"/>
    <n v="5"/>
    <s v="RPG"/>
    <x v="3"/>
    <n v="4"/>
    <x v="261"/>
    <s v="FourthQuartile"/>
    <n v="4"/>
    <x v="0"/>
    <s v="Y56"/>
    <x v="1"/>
    <n v="277"/>
    <x v="11"/>
  </r>
  <r>
    <x v="2"/>
    <n v="5"/>
    <s v="RT1"/>
    <x v="3"/>
    <n v="4"/>
    <x v="264"/>
    <s v="FourthQuartile"/>
    <n v="4"/>
    <x v="0"/>
    <s v="Y61"/>
    <x v="4"/>
    <n v="310"/>
    <x v="11"/>
  </r>
  <r>
    <x v="2"/>
    <n v="5"/>
    <s v="RXX"/>
    <x v="3"/>
    <n v="4"/>
    <x v="266"/>
    <s v="FourthQuartile"/>
    <n v="4"/>
    <x v="0"/>
    <s v="Y59"/>
    <x v="0"/>
    <n v="325"/>
    <x v="11"/>
  </r>
  <r>
    <x v="2"/>
    <n v="5"/>
    <s v="RV5"/>
    <x v="3"/>
    <n v="4"/>
    <x v="267"/>
    <s v="FourthQuartile"/>
    <n v="4"/>
    <x v="0"/>
    <s v="Y56"/>
    <x v="1"/>
    <n v="334"/>
    <x v="11"/>
  </r>
  <r>
    <x v="2"/>
    <n v="5"/>
    <s v="RNU"/>
    <x v="3"/>
    <n v="4"/>
    <x v="265"/>
    <s v="FourthQuartile"/>
    <n v="4"/>
    <x v="0"/>
    <s v="Y59"/>
    <x v="0"/>
    <n v="267"/>
    <x v="11"/>
  </r>
  <r>
    <x v="2"/>
    <n v="5"/>
    <s v="RNK"/>
    <x v="3"/>
    <n v="4"/>
    <x v="268"/>
    <s v="ThirdQuartile"/>
    <n v="3"/>
    <x v="1"/>
    <s v="Y56"/>
    <x v="1"/>
    <n v="260"/>
    <x v="11"/>
  </r>
  <r>
    <x v="2"/>
    <n v="5"/>
    <s v="RAT"/>
    <x v="3"/>
    <n v="4"/>
    <x v="269"/>
    <s v="FourthQuartile"/>
    <n v="4"/>
    <x v="0"/>
    <s v="Y56"/>
    <x v="1"/>
    <n v="395"/>
    <x v="11"/>
  </r>
  <r>
    <x v="2"/>
    <n v="5"/>
    <s v="TAJ"/>
    <x v="3"/>
    <n v="4"/>
    <x v="270"/>
    <s v="FourthQuartile"/>
    <n v="4"/>
    <x v="0"/>
    <s v="Y60"/>
    <x v="3"/>
    <n v="285"/>
    <x v="11"/>
  </r>
  <r>
    <x v="2"/>
    <n v="5"/>
    <s v="RW5"/>
    <x v="3"/>
    <n v="4"/>
    <x v="271"/>
    <s v="FourthQuartile"/>
    <n v="4"/>
    <x v="0"/>
    <s v="Y62"/>
    <x v="6"/>
    <n v="351"/>
    <x v="11"/>
  </r>
  <r>
    <x v="2"/>
    <n v="5"/>
    <s v="RYG"/>
    <x v="3"/>
    <n v="4"/>
    <x v="272"/>
    <s v="FourthQuartile"/>
    <n v="4"/>
    <x v="0"/>
    <s v="Y60"/>
    <x v="3"/>
    <n v="444"/>
    <x v="11"/>
  </r>
  <r>
    <x v="2"/>
    <n v="5"/>
    <s v="RXT"/>
    <x v="3"/>
    <n v="4"/>
    <x v="273"/>
    <s v="FourthQuartile"/>
    <n v="4"/>
    <x v="0"/>
    <s v="Y60"/>
    <x v="3"/>
    <n v="436"/>
    <x v="11"/>
  </r>
  <r>
    <x v="2"/>
    <n v="5"/>
    <s v="X80"/>
    <x v="0"/>
    <n v="1"/>
    <x v="274"/>
    <s v="SecondQuartile"/>
    <n v="2"/>
    <x v="2"/>
    <s v="QZZ"/>
    <x v="7"/>
    <n v="907"/>
    <x v="12"/>
  </r>
  <r>
    <x v="2"/>
    <n v="5"/>
    <s v="T1480"/>
    <x v="0"/>
    <n v="1"/>
    <x v="275"/>
    <s v="TopQuartile"/>
    <n v="1"/>
    <x v="0"/>
    <s v="QZZ"/>
    <x v="7"/>
    <n v="980"/>
    <x v="12"/>
  </r>
  <r>
    <x v="2"/>
    <n v="5"/>
    <s v="T1460"/>
    <x v="1"/>
    <n v="2"/>
    <x v="276"/>
    <s v="SecondQuartile"/>
    <n v="2"/>
    <x v="0"/>
    <s v="QZZ"/>
    <x v="7"/>
    <n v="918"/>
    <x v="12"/>
  </r>
  <r>
    <x v="2"/>
    <n v="5"/>
    <s v="DEQ"/>
    <x v="1"/>
    <n v="2"/>
    <x v="278"/>
    <s v="SecondQuartile"/>
    <n v="2"/>
    <x v="0"/>
    <s v="Y56"/>
    <x v="1"/>
    <n v="44"/>
    <x v="12"/>
  </r>
  <r>
    <x v="2"/>
    <n v="5"/>
    <s v="T1450"/>
    <x v="1"/>
    <n v="2"/>
    <x v="277"/>
    <s v="SecondQuartile"/>
    <n v="2"/>
    <x v="0"/>
    <s v="QZZ"/>
    <x v="7"/>
    <n v="914"/>
    <x v="12"/>
  </r>
  <r>
    <x v="2"/>
    <n v="5"/>
    <s v="Z1E5K"/>
    <x v="2"/>
    <n v="3"/>
    <x v="279"/>
    <s v="ThirdQuartile"/>
    <n v="3"/>
    <x v="0"/>
    <s v="QZZ"/>
    <x v="7"/>
    <n v="65"/>
    <x v="12"/>
  </r>
  <r>
    <x v="2"/>
    <n v="5"/>
    <s v="T1540"/>
    <x v="3"/>
    <n v="4"/>
    <x v="280"/>
    <s v="ThirdQuartile"/>
    <n v="3"/>
    <x v="1"/>
    <s v="QZZ"/>
    <x v="7"/>
    <n v="76"/>
    <x v="12"/>
  </r>
  <r>
    <x v="2"/>
    <n v="5"/>
    <s v="X24"/>
    <x v="3"/>
    <n v="4"/>
    <x v="281"/>
    <s v="FourthQuartile"/>
    <n v="4"/>
    <x v="0"/>
    <s v="QZZ"/>
    <x v="7"/>
    <n v="990"/>
    <x v="12"/>
  </r>
  <r>
    <x v="2"/>
    <n v="5"/>
    <s v="T1150"/>
    <x v="3"/>
    <n v="4"/>
    <x v="282"/>
    <s v="FourthQuartile"/>
    <n v="4"/>
    <x v="0"/>
    <s v="QZZ"/>
    <x v="7"/>
    <n v="912"/>
    <x v="12"/>
  </r>
  <r>
    <x v="2"/>
    <n v="5"/>
    <s v="NB7"/>
    <x v="3"/>
    <n v="4"/>
    <x v="283"/>
    <s v="FourthQuartile"/>
    <n v="4"/>
    <x v="0"/>
    <s v="QZZ"/>
    <x v="7"/>
    <n v="441"/>
    <x v="12"/>
  </r>
  <r>
    <x v="2"/>
    <n v="5"/>
    <s v="8JX76"/>
    <x v="3"/>
    <n v="4"/>
    <x v="284"/>
    <s v="FourthQuartile"/>
    <n v="4"/>
    <x v="0"/>
    <s v="QZZ"/>
    <x v="7"/>
    <n v="71"/>
    <x v="12"/>
  </r>
  <r>
    <x v="3"/>
    <n v="4"/>
    <s v="RJ2"/>
    <x v="0"/>
    <n v="1"/>
    <x v="1"/>
    <s v="TopQuartile"/>
    <n v="1"/>
    <x v="0"/>
    <s v="Y56"/>
    <x v="1"/>
    <n v="197"/>
    <x v="0"/>
  </r>
  <r>
    <x v="3"/>
    <n v="4"/>
    <s v="RWF"/>
    <x v="0"/>
    <n v="1"/>
    <x v="2"/>
    <s v="TopQuartile"/>
    <n v="1"/>
    <x v="0"/>
    <s v="Y59"/>
    <x v="0"/>
    <n v="359"/>
    <x v="0"/>
  </r>
  <r>
    <x v="3"/>
    <n v="4"/>
    <s v="RTF"/>
    <x v="0"/>
    <n v="1"/>
    <x v="3"/>
    <s v="TopQuartile"/>
    <n v="1"/>
    <x v="0"/>
    <s v="Y63"/>
    <x v="2"/>
    <n v="319"/>
    <x v="0"/>
  </r>
  <r>
    <x v="3"/>
    <n v="4"/>
    <s v="RXC"/>
    <x v="0"/>
    <n v="1"/>
    <x v="0"/>
    <s v="TopQuartile"/>
    <n v="1"/>
    <x v="0"/>
    <s v="Y59"/>
    <x v="0"/>
    <n v="374"/>
    <x v="0"/>
  </r>
  <r>
    <x v="3"/>
    <n v="4"/>
    <s v="RDE"/>
    <x v="1"/>
    <n v="2"/>
    <x v="6"/>
    <s v="TopQuartile"/>
    <n v="1"/>
    <x v="1"/>
    <s v="Y61"/>
    <x v="4"/>
    <n v="432"/>
    <x v="0"/>
  </r>
  <r>
    <x v="3"/>
    <n v="4"/>
    <s v="RWD"/>
    <x v="1"/>
    <n v="2"/>
    <x v="5"/>
    <s v="SecondQuartile"/>
    <n v="2"/>
    <x v="0"/>
    <s v="Y60"/>
    <x v="3"/>
    <n v="357"/>
    <x v="0"/>
  </r>
  <r>
    <x v="3"/>
    <n v="4"/>
    <s v="RHU"/>
    <x v="1"/>
    <n v="2"/>
    <x v="4"/>
    <s v="SecondQuartile"/>
    <n v="2"/>
    <x v="0"/>
    <s v="Y59"/>
    <x v="0"/>
    <n v="192"/>
    <x v="0"/>
  </r>
  <r>
    <x v="3"/>
    <n v="4"/>
    <s v="RAJ"/>
    <x v="2"/>
    <n v="3"/>
    <x v="8"/>
    <s v="ThirdQuartile"/>
    <n v="3"/>
    <x v="0"/>
    <s v="Y61"/>
    <x v="4"/>
    <n v="390"/>
    <x v="0"/>
  </r>
  <r>
    <x v="3"/>
    <n v="4"/>
    <s v="RL4"/>
    <x v="2"/>
    <n v="3"/>
    <x v="7"/>
    <s v="ThirdQuartile"/>
    <n v="3"/>
    <x v="0"/>
    <s v="Y60"/>
    <x v="3"/>
    <n v="225"/>
    <x v="0"/>
  </r>
  <r>
    <x v="3"/>
    <n v="4"/>
    <s v="RVJ"/>
    <x v="2"/>
    <n v="3"/>
    <x v="13"/>
    <s v="ThirdQuartile"/>
    <n v="3"/>
    <x v="0"/>
    <s v="Y58"/>
    <x v="5"/>
    <n v="339"/>
    <x v="0"/>
  </r>
  <r>
    <x v="3"/>
    <n v="4"/>
    <s v="RWY"/>
    <x v="2"/>
    <n v="3"/>
    <x v="10"/>
    <s v="ThirdQuartile"/>
    <n v="3"/>
    <x v="0"/>
    <s v="Y63"/>
    <x v="2"/>
    <n v="372"/>
    <x v="0"/>
  </r>
  <r>
    <x v="3"/>
    <n v="4"/>
    <s v="RGN"/>
    <x v="2"/>
    <n v="3"/>
    <x v="11"/>
    <s v="FourthQuartile"/>
    <n v="4"/>
    <x v="2"/>
    <s v="Y61"/>
    <x v="4"/>
    <n v="176"/>
    <x v="0"/>
  </r>
  <r>
    <x v="3"/>
    <n v="4"/>
    <s v="RDU"/>
    <x v="2"/>
    <n v="3"/>
    <x v="12"/>
    <s v="ThirdQuartile"/>
    <n v="3"/>
    <x v="0"/>
    <s v="Y59"/>
    <x v="0"/>
    <n v="151"/>
    <x v="0"/>
  </r>
  <r>
    <x v="3"/>
    <n v="4"/>
    <s v="R0B"/>
    <x v="2"/>
    <n v="3"/>
    <x v="15"/>
    <s v="ThirdQuartile"/>
    <n v="3"/>
    <x v="0"/>
    <s v="Y63"/>
    <x v="2"/>
    <n v="155"/>
    <x v="0"/>
  </r>
  <r>
    <x v="3"/>
    <n v="4"/>
    <s v="RWP"/>
    <x v="2"/>
    <n v="3"/>
    <x v="14"/>
    <s v="ThirdQuartile"/>
    <n v="3"/>
    <x v="0"/>
    <s v="Y60"/>
    <x v="3"/>
    <n v="365"/>
    <x v="0"/>
  </r>
  <r>
    <x v="3"/>
    <n v="4"/>
    <s v="RWH"/>
    <x v="3"/>
    <n v="4"/>
    <x v="9"/>
    <s v="FourthQuartile"/>
    <n v="4"/>
    <x v="0"/>
    <s v="Y61"/>
    <x v="4"/>
    <n v="361"/>
    <x v="0"/>
  </r>
  <r>
    <x v="3"/>
    <n v="4"/>
    <s v="RXR"/>
    <x v="3"/>
    <n v="4"/>
    <x v="17"/>
    <s v="FourthQuartile"/>
    <n v="4"/>
    <x v="0"/>
    <s v="Y62"/>
    <x v="6"/>
    <n v="435"/>
    <x v="0"/>
  </r>
  <r>
    <x v="3"/>
    <n v="4"/>
    <s v="RH8"/>
    <x v="3"/>
    <n v="4"/>
    <x v="18"/>
    <s v="FourthQuartile"/>
    <n v="4"/>
    <x v="0"/>
    <s v="Y58"/>
    <x v="5"/>
    <n v="185"/>
    <x v="0"/>
  </r>
  <r>
    <x v="3"/>
    <n v="4"/>
    <s v="RN5"/>
    <x v="3"/>
    <n v="4"/>
    <x v="19"/>
    <s v="FourthQuartile"/>
    <n v="4"/>
    <x v="0"/>
    <s v="Y59"/>
    <x v="0"/>
    <n v="251"/>
    <x v="0"/>
  </r>
  <r>
    <x v="3"/>
    <n v="4"/>
    <s v="RHW"/>
    <x v="3"/>
    <n v="4"/>
    <x v="20"/>
    <s v="FourthQuartile"/>
    <n v="4"/>
    <x v="0"/>
    <s v="Y59"/>
    <x v="0"/>
    <n v="193"/>
    <x v="0"/>
  </r>
  <r>
    <x v="3"/>
    <n v="4"/>
    <s v="RTE"/>
    <x v="3"/>
    <n v="4"/>
    <x v="16"/>
    <s v="FourthQuartile"/>
    <n v="4"/>
    <x v="0"/>
    <s v="Y58"/>
    <x v="5"/>
    <n v="318"/>
    <x v="0"/>
  </r>
  <r>
    <x v="3"/>
    <n v="4"/>
    <s v="RXK"/>
    <x v="3"/>
    <n v="4"/>
    <x v="21"/>
    <s v="FourthQuartile"/>
    <n v="4"/>
    <x v="0"/>
    <s v="Y60"/>
    <x v="3"/>
    <n v="381"/>
    <x v="0"/>
  </r>
  <r>
    <x v="3"/>
    <n v="4"/>
    <s v="REF"/>
    <x v="3"/>
    <n v="4"/>
    <x v="22"/>
    <s v="FourthQuartile"/>
    <n v="4"/>
    <x v="0"/>
    <s v="Y58"/>
    <x v="5"/>
    <n v="156"/>
    <x v="0"/>
  </r>
  <r>
    <x v="3"/>
    <n v="4"/>
    <s v="RXW"/>
    <x v="0"/>
    <n v="1"/>
    <x v="23"/>
    <s v="TopQuartile"/>
    <n v="1"/>
    <x v="0"/>
    <s v="Y60"/>
    <x v="3"/>
    <n v="223"/>
    <x v="1"/>
  </r>
  <r>
    <x v="3"/>
    <n v="4"/>
    <s v="RJ6"/>
    <x v="0"/>
    <n v="1"/>
    <x v="24"/>
    <s v="TopQuartile"/>
    <n v="1"/>
    <x v="0"/>
    <s v="Y56"/>
    <x v="1"/>
    <n v="199"/>
    <x v="1"/>
  </r>
  <r>
    <x v="3"/>
    <n v="4"/>
    <s v="RJL"/>
    <x v="0"/>
    <n v="1"/>
    <x v="27"/>
    <s v="TopQuartile"/>
    <n v="1"/>
    <x v="0"/>
    <s v="Y63"/>
    <x v="2"/>
    <n v="208"/>
    <x v="1"/>
  </r>
  <r>
    <x v="3"/>
    <n v="4"/>
    <s v="RAX"/>
    <x v="0"/>
    <n v="1"/>
    <x v="29"/>
    <s v="TopQuartile"/>
    <n v="1"/>
    <x v="0"/>
    <s v="Y56"/>
    <x v="1"/>
    <n v="396"/>
    <x v="1"/>
  </r>
  <r>
    <x v="3"/>
    <n v="4"/>
    <s v="RTP"/>
    <x v="1"/>
    <n v="2"/>
    <x v="32"/>
    <s v="SecondQuartile"/>
    <n v="2"/>
    <x v="0"/>
    <s v="Y59"/>
    <x v="0"/>
    <n v="326"/>
    <x v="1"/>
  </r>
  <r>
    <x v="3"/>
    <n v="4"/>
    <s v="RR7"/>
    <x v="1"/>
    <n v="2"/>
    <x v="25"/>
    <s v="TopQuartile"/>
    <n v="1"/>
    <x v="1"/>
    <s v="Y63"/>
    <x v="2"/>
    <n v="297"/>
    <x v="1"/>
  </r>
  <r>
    <x v="3"/>
    <n v="4"/>
    <s v="RD1"/>
    <x v="1"/>
    <n v="2"/>
    <x v="28"/>
    <s v="SecondQuartile"/>
    <n v="2"/>
    <x v="0"/>
    <s v="Y58"/>
    <x v="5"/>
    <n v="427"/>
    <x v="1"/>
  </r>
  <r>
    <x v="3"/>
    <n v="4"/>
    <s v="RNS"/>
    <x v="1"/>
    <n v="2"/>
    <x v="31"/>
    <s v="SecondQuartile"/>
    <n v="2"/>
    <x v="0"/>
    <s v="Y60"/>
    <x v="3"/>
    <n v="265"/>
    <x v="1"/>
  </r>
  <r>
    <x v="3"/>
    <n v="4"/>
    <s v="RK5"/>
    <x v="1"/>
    <n v="2"/>
    <x v="26"/>
    <s v="SecondQuartile"/>
    <n v="2"/>
    <x v="0"/>
    <s v="Y60"/>
    <x v="3"/>
    <n v="214"/>
    <x v="1"/>
  </r>
  <r>
    <x v="3"/>
    <n v="4"/>
    <s v="RVW"/>
    <x v="1"/>
    <n v="2"/>
    <x v="30"/>
    <s v="SecondQuartile"/>
    <n v="2"/>
    <x v="0"/>
    <s v="Y63"/>
    <x v="2"/>
    <n v="345"/>
    <x v="1"/>
  </r>
  <r>
    <x v="3"/>
    <n v="4"/>
    <s v="RPA"/>
    <x v="1"/>
    <n v="2"/>
    <x v="34"/>
    <s v="SecondQuartile"/>
    <n v="2"/>
    <x v="0"/>
    <s v="Y59"/>
    <x v="0"/>
    <n v="275"/>
    <x v="1"/>
  </r>
  <r>
    <x v="3"/>
    <n v="4"/>
    <s v="RMC"/>
    <x v="1"/>
    <n v="2"/>
    <x v="35"/>
    <s v="SecondQuartile"/>
    <n v="2"/>
    <x v="0"/>
    <s v="Y62"/>
    <x v="6"/>
    <n v="241"/>
    <x v="1"/>
  </r>
  <r>
    <x v="3"/>
    <n v="4"/>
    <s v="RA2"/>
    <x v="1"/>
    <n v="2"/>
    <x v="33"/>
    <s v="ThirdQuartile"/>
    <n v="3"/>
    <x v="2"/>
    <s v="Y59"/>
    <x v="0"/>
    <n v="384"/>
    <x v="1"/>
  </r>
  <r>
    <x v="3"/>
    <n v="4"/>
    <s v="RNN"/>
    <x v="2"/>
    <n v="3"/>
    <x v="37"/>
    <s v="SecondQuartile"/>
    <n v="2"/>
    <x v="1"/>
    <s v="Y63"/>
    <x v="2"/>
    <n v="262"/>
    <x v="1"/>
  </r>
  <r>
    <x v="3"/>
    <n v="4"/>
    <s v="RWJ"/>
    <x v="2"/>
    <n v="3"/>
    <x v="36"/>
    <s v="ThirdQuartile"/>
    <n v="3"/>
    <x v="0"/>
    <s v="Y62"/>
    <x v="6"/>
    <n v="362"/>
    <x v="1"/>
  </r>
  <r>
    <x v="3"/>
    <n v="4"/>
    <s v="RC9"/>
    <x v="2"/>
    <n v="3"/>
    <x v="38"/>
    <s v="ThirdQuartile"/>
    <n v="3"/>
    <x v="0"/>
    <s v="Y61"/>
    <x v="4"/>
    <n v="418"/>
    <x v="1"/>
  </r>
  <r>
    <x v="3"/>
    <n v="4"/>
    <s v="RN3"/>
    <x v="2"/>
    <n v="3"/>
    <x v="39"/>
    <s v="ThirdQuartile"/>
    <n v="3"/>
    <x v="0"/>
    <s v="Y58"/>
    <x v="5"/>
    <n v="249"/>
    <x v="1"/>
  </r>
  <r>
    <x v="3"/>
    <n v="4"/>
    <s v="RRF"/>
    <x v="2"/>
    <n v="3"/>
    <x v="40"/>
    <s v="ThirdQuartile"/>
    <n v="3"/>
    <x v="0"/>
    <s v="Y62"/>
    <x v="6"/>
    <n v="302"/>
    <x v="1"/>
  </r>
  <r>
    <x v="3"/>
    <n v="4"/>
    <s v="RTK"/>
    <x v="2"/>
    <n v="3"/>
    <x v="41"/>
    <s v="ThirdQuartile"/>
    <n v="3"/>
    <x v="0"/>
    <s v="Y59"/>
    <x v="0"/>
    <n v="323"/>
    <x v="1"/>
  </r>
  <r>
    <x v="3"/>
    <n v="4"/>
    <s v="RNA"/>
    <x v="3"/>
    <n v="4"/>
    <x v="42"/>
    <s v="FourthQuartile"/>
    <n v="4"/>
    <x v="0"/>
    <s v="Y60"/>
    <x v="3"/>
    <n v="253"/>
    <x v="1"/>
  </r>
  <r>
    <x v="3"/>
    <n v="4"/>
    <s v="RXP"/>
    <x v="0"/>
    <n v="1"/>
    <x v="45"/>
    <s v="TopQuartile"/>
    <n v="1"/>
    <x v="0"/>
    <s v="Y63"/>
    <x v="2"/>
    <n v="439"/>
    <x v="2"/>
  </r>
  <r>
    <x v="3"/>
    <n v="4"/>
    <s v="RA9"/>
    <x v="0"/>
    <n v="1"/>
    <x v="44"/>
    <s v="TopQuartile"/>
    <n v="1"/>
    <x v="0"/>
    <s v="Y58"/>
    <x v="5"/>
    <n v="388"/>
    <x v="2"/>
  </r>
  <r>
    <x v="3"/>
    <n v="4"/>
    <s v="RXQ"/>
    <x v="0"/>
    <n v="1"/>
    <x v="43"/>
    <s v="TopQuartile"/>
    <n v="1"/>
    <x v="0"/>
    <s v="Y59"/>
    <x v="0"/>
    <n v="434"/>
    <x v="2"/>
  </r>
  <r>
    <x v="3"/>
    <n v="4"/>
    <s v="RLQ"/>
    <x v="1"/>
    <n v="2"/>
    <x v="46"/>
    <s v="SecondQuartile"/>
    <n v="2"/>
    <x v="0"/>
    <s v="Y60"/>
    <x v="3"/>
    <n v="229"/>
    <x v="2"/>
  </r>
  <r>
    <x v="3"/>
    <n v="4"/>
    <s v="R1F"/>
    <x v="1"/>
    <n v="2"/>
    <x v="48"/>
    <s v="SecondQuartile"/>
    <n v="2"/>
    <x v="0"/>
    <s v="Y59"/>
    <x v="0"/>
    <n v="470"/>
    <x v="2"/>
  </r>
  <r>
    <x v="3"/>
    <n v="4"/>
    <s v="RH5"/>
    <x v="2"/>
    <n v="3"/>
    <x v="47"/>
    <s v="ThirdQuartile"/>
    <n v="3"/>
    <x v="0"/>
    <s v="Y58"/>
    <x v="5"/>
    <n v="184"/>
    <x v="2"/>
  </r>
  <r>
    <x v="3"/>
    <n v="4"/>
    <s v="RKE"/>
    <x v="3"/>
    <n v="4"/>
    <x v="49"/>
    <s v="FourthQuartile"/>
    <n v="4"/>
    <x v="0"/>
    <s v="Y56"/>
    <x v="1"/>
    <n v="220"/>
    <x v="2"/>
  </r>
  <r>
    <x v="3"/>
    <n v="4"/>
    <s v="RJN"/>
    <x v="0"/>
    <n v="1"/>
    <x v="52"/>
    <s v="TopQuartile"/>
    <n v="1"/>
    <x v="0"/>
    <s v="Y62"/>
    <x v="6"/>
    <n v="209"/>
    <x v="3"/>
  </r>
  <r>
    <x v="3"/>
    <n v="4"/>
    <s v="RCF"/>
    <x v="0"/>
    <n v="1"/>
    <x v="51"/>
    <s v="TopQuartile"/>
    <n v="1"/>
    <x v="0"/>
    <s v="Y63"/>
    <x v="2"/>
    <n v="423"/>
    <x v="3"/>
  </r>
  <r>
    <x v="3"/>
    <n v="4"/>
    <s v="RFF"/>
    <x v="0"/>
    <n v="1"/>
    <x v="50"/>
    <s v="TopQuartile"/>
    <n v="1"/>
    <x v="0"/>
    <s v="Y63"/>
    <x v="2"/>
    <n v="163"/>
    <x v="3"/>
  </r>
  <r>
    <x v="3"/>
    <n v="4"/>
    <s v="RFR"/>
    <x v="0"/>
    <n v="1"/>
    <x v="55"/>
    <s v="TopQuartile"/>
    <n v="1"/>
    <x v="0"/>
    <s v="Y63"/>
    <x v="2"/>
    <n v="165"/>
    <x v="3"/>
  </r>
  <r>
    <x v="3"/>
    <n v="4"/>
    <s v="RFS"/>
    <x v="0"/>
    <n v="1"/>
    <x v="53"/>
    <s v="TopQuartile"/>
    <n v="1"/>
    <x v="0"/>
    <s v="Y60"/>
    <x v="3"/>
    <n v="166"/>
    <x v="3"/>
  </r>
  <r>
    <x v="3"/>
    <n v="4"/>
    <s v="RN7"/>
    <x v="0"/>
    <n v="1"/>
    <x v="56"/>
    <s v="SecondQuartile"/>
    <n v="2"/>
    <x v="2"/>
    <s v="Y59"/>
    <x v="0"/>
    <n v="252"/>
    <x v="3"/>
  </r>
  <r>
    <x v="3"/>
    <n v="4"/>
    <s v="RCX"/>
    <x v="0"/>
    <n v="1"/>
    <x v="54"/>
    <s v="TopQuartile"/>
    <n v="1"/>
    <x v="0"/>
    <s v="Y61"/>
    <x v="4"/>
    <n v="426"/>
    <x v="3"/>
  </r>
  <r>
    <x v="3"/>
    <n v="4"/>
    <s v="RJR"/>
    <x v="0"/>
    <n v="1"/>
    <x v="58"/>
    <s v="TopQuartile"/>
    <n v="1"/>
    <x v="0"/>
    <s v="Y62"/>
    <x v="6"/>
    <n v="210"/>
    <x v="3"/>
  </r>
  <r>
    <x v="3"/>
    <n v="4"/>
    <s v="RNQ"/>
    <x v="1"/>
    <n v="2"/>
    <x v="59"/>
    <s v="SecondQuartile"/>
    <n v="2"/>
    <x v="0"/>
    <s v="Y60"/>
    <x v="3"/>
    <n v="264"/>
    <x v="3"/>
  </r>
  <r>
    <x v="3"/>
    <n v="4"/>
    <s v="RCD"/>
    <x v="1"/>
    <n v="2"/>
    <x v="57"/>
    <s v="SecondQuartile"/>
    <n v="2"/>
    <x v="0"/>
    <s v="Y63"/>
    <x v="2"/>
    <n v="421"/>
    <x v="3"/>
  </r>
  <r>
    <x v="3"/>
    <n v="4"/>
    <s v="RBT"/>
    <x v="2"/>
    <n v="3"/>
    <x v="60"/>
    <s v="ThirdQuartile"/>
    <n v="3"/>
    <x v="0"/>
    <s v="Y62"/>
    <x v="6"/>
    <n v="412"/>
    <x v="3"/>
  </r>
  <r>
    <x v="3"/>
    <n v="4"/>
    <s v="RAS"/>
    <x v="2"/>
    <n v="3"/>
    <x v="64"/>
    <s v="ThirdQuartile"/>
    <n v="3"/>
    <x v="0"/>
    <s v="Y56"/>
    <x v="1"/>
    <n v="394"/>
    <x v="3"/>
  </r>
  <r>
    <x v="3"/>
    <n v="4"/>
    <s v="RNZ"/>
    <x v="2"/>
    <n v="3"/>
    <x v="61"/>
    <s v="ThirdQuartile"/>
    <n v="3"/>
    <x v="0"/>
    <s v="Y58"/>
    <x v="5"/>
    <n v="269"/>
    <x v="3"/>
  </r>
  <r>
    <x v="3"/>
    <n v="4"/>
    <s v="RBK"/>
    <x v="2"/>
    <n v="3"/>
    <x v="62"/>
    <s v="ThirdQuartile"/>
    <n v="3"/>
    <x v="0"/>
    <s v="Y60"/>
    <x v="3"/>
    <n v="407"/>
    <x v="3"/>
  </r>
  <r>
    <x v="3"/>
    <n v="4"/>
    <s v="RMP"/>
    <x v="2"/>
    <n v="3"/>
    <x v="63"/>
    <s v="ThirdQuartile"/>
    <n v="3"/>
    <x v="0"/>
    <s v="Y62"/>
    <x v="6"/>
    <n v="245"/>
    <x v="3"/>
  </r>
  <r>
    <x v="3"/>
    <n v="4"/>
    <s v="RLT"/>
    <x v="2"/>
    <n v="3"/>
    <x v="65"/>
    <s v="ThirdQuartile"/>
    <n v="3"/>
    <x v="0"/>
    <s v="Y60"/>
    <x v="3"/>
    <n v="230"/>
    <x v="3"/>
  </r>
  <r>
    <x v="3"/>
    <n v="4"/>
    <s v="RQW"/>
    <x v="2"/>
    <n v="3"/>
    <x v="66"/>
    <s v="ThirdQuartile"/>
    <n v="3"/>
    <x v="0"/>
    <s v="Y61"/>
    <x v="4"/>
    <n v="292"/>
    <x v="3"/>
  </r>
  <r>
    <x v="3"/>
    <n v="4"/>
    <s v="RBD"/>
    <x v="3"/>
    <n v="4"/>
    <x v="67"/>
    <s v="FourthQuartile"/>
    <n v="4"/>
    <x v="0"/>
    <s v="Y58"/>
    <x v="5"/>
    <n v="405"/>
    <x v="3"/>
  </r>
  <r>
    <x v="3"/>
    <n v="4"/>
    <s v="RGR"/>
    <x v="3"/>
    <n v="4"/>
    <x v="68"/>
    <s v="FourthQuartile"/>
    <n v="4"/>
    <x v="0"/>
    <s v="Y61"/>
    <x v="4"/>
    <n v="179"/>
    <x v="3"/>
  </r>
  <r>
    <x v="3"/>
    <n v="4"/>
    <s v="RGM"/>
    <x v="0"/>
    <n v="1"/>
    <x v="69"/>
    <s v="TopQuartile"/>
    <n v="1"/>
    <x v="0"/>
    <s v="Y61"/>
    <x v="4"/>
    <n v="175"/>
    <x v="4"/>
  </r>
  <r>
    <x v="3"/>
    <n v="4"/>
    <s v="RET"/>
    <x v="0"/>
    <n v="1"/>
    <x v="75"/>
    <s v="TopQuartile"/>
    <n v="1"/>
    <x v="0"/>
    <s v="Y62"/>
    <x v="6"/>
    <n v="160"/>
    <x v="4"/>
  </r>
  <r>
    <x v="3"/>
    <n v="4"/>
    <s v="RP4"/>
    <x v="0"/>
    <n v="1"/>
    <x v="72"/>
    <s v="TopQuartile"/>
    <n v="1"/>
    <x v="0"/>
    <s v="Y56"/>
    <x v="1"/>
    <n v="271"/>
    <x v="4"/>
  </r>
  <r>
    <x v="3"/>
    <n v="4"/>
    <s v="RPC"/>
    <x v="0"/>
    <n v="1"/>
    <x v="70"/>
    <s v="TopQuartile"/>
    <n v="1"/>
    <x v="0"/>
    <s v="Y59"/>
    <x v="0"/>
    <n v="276"/>
    <x v="4"/>
  </r>
  <r>
    <x v="3"/>
    <n v="4"/>
    <s v="RBS"/>
    <x v="0"/>
    <n v="1"/>
    <x v="73"/>
    <s v="TopQuartile"/>
    <n v="1"/>
    <x v="0"/>
    <s v="Y62"/>
    <x v="6"/>
    <n v="411"/>
    <x v="4"/>
  </r>
  <r>
    <x v="3"/>
    <n v="4"/>
    <s v="REN"/>
    <x v="1"/>
    <n v="2"/>
    <x v="74"/>
    <s v="TopQuartile"/>
    <n v="1"/>
    <x v="1"/>
    <s v="Y62"/>
    <x v="6"/>
    <n v="158"/>
    <x v="4"/>
  </r>
  <r>
    <x v="3"/>
    <n v="4"/>
    <s v="RL1"/>
    <x v="1"/>
    <n v="2"/>
    <x v="80"/>
    <s v="SecondQuartile"/>
    <n v="2"/>
    <x v="0"/>
    <s v="Y60"/>
    <x v="3"/>
    <n v="224"/>
    <x v="4"/>
  </r>
  <r>
    <x v="3"/>
    <n v="4"/>
    <s v="RRJ"/>
    <x v="1"/>
    <n v="2"/>
    <x v="71"/>
    <s v="SecondQuartile"/>
    <n v="2"/>
    <x v="0"/>
    <s v="Y60"/>
    <x v="3"/>
    <n v="303"/>
    <x v="4"/>
  </r>
  <r>
    <x v="3"/>
    <n v="4"/>
    <s v="RBV"/>
    <x v="1"/>
    <n v="2"/>
    <x v="76"/>
    <s v="SecondQuartile"/>
    <n v="2"/>
    <x v="0"/>
    <s v="Y62"/>
    <x v="6"/>
    <n v="413"/>
    <x v="4"/>
  </r>
  <r>
    <x v="3"/>
    <n v="4"/>
    <s v="REP"/>
    <x v="2"/>
    <n v="3"/>
    <x v="79"/>
    <s v="ThirdQuartile"/>
    <n v="3"/>
    <x v="0"/>
    <s v="Y62"/>
    <x v="6"/>
    <n v="159"/>
    <x v="4"/>
  </r>
  <r>
    <x v="3"/>
    <n v="4"/>
    <s v="RPY"/>
    <x v="2"/>
    <n v="3"/>
    <x v="77"/>
    <s v="ThirdQuartile"/>
    <n v="3"/>
    <x v="0"/>
    <s v="Y56"/>
    <x v="1"/>
    <n v="282"/>
    <x v="4"/>
  </r>
  <r>
    <x v="3"/>
    <n v="4"/>
    <s v="RP6"/>
    <x v="2"/>
    <n v="3"/>
    <x v="78"/>
    <s v="ThirdQuartile"/>
    <n v="3"/>
    <x v="0"/>
    <s v="Y56"/>
    <x v="1"/>
    <n v="273"/>
    <x v="4"/>
  </r>
  <r>
    <x v="3"/>
    <n v="4"/>
    <s v="RCU"/>
    <x v="2"/>
    <n v="3"/>
    <x v="82"/>
    <s v="ThirdQuartile"/>
    <n v="3"/>
    <x v="0"/>
    <s v="Y63"/>
    <x v="2"/>
    <n v="425"/>
    <x v="4"/>
  </r>
  <r>
    <x v="3"/>
    <n v="4"/>
    <s v="RQ3"/>
    <x v="3"/>
    <n v="4"/>
    <x v="81"/>
    <s v="FourthQuartile"/>
    <n v="4"/>
    <x v="0"/>
    <s v="Y60"/>
    <x v="3"/>
    <n v="284"/>
    <x v="4"/>
  </r>
  <r>
    <x v="3"/>
    <n v="4"/>
    <s v="RAN"/>
    <x v="3"/>
    <n v="4"/>
    <x v="83"/>
    <s v="FourthQuartile"/>
    <n v="4"/>
    <x v="0"/>
    <s v="Y56"/>
    <x v="1"/>
    <n v="392"/>
    <x v="4"/>
  </r>
  <r>
    <x v="3"/>
    <n v="4"/>
    <s v="RBQ"/>
    <x v="3"/>
    <n v="4"/>
    <x v="84"/>
    <s v="FourthQuartile"/>
    <n v="4"/>
    <x v="0"/>
    <s v="Y62"/>
    <x v="6"/>
    <n v="410"/>
    <x v="4"/>
  </r>
  <r>
    <x v="3"/>
    <n v="4"/>
    <s v="RAE"/>
    <x v="0"/>
    <n v="1"/>
    <x v="85"/>
    <s v="TopQuartile"/>
    <n v="1"/>
    <x v="0"/>
    <s v="Y63"/>
    <x v="2"/>
    <n v="389"/>
    <x v="5"/>
  </r>
  <r>
    <x v="3"/>
    <n v="4"/>
    <s v="RTG"/>
    <x v="0"/>
    <n v="1"/>
    <x v="86"/>
    <s v="TopQuartile"/>
    <n v="1"/>
    <x v="0"/>
    <s v="Y60"/>
    <x v="3"/>
    <n v="320"/>
    <x v="5"/>
  </r>
  <r>
    <x v="3"/>
    <n v="4"/>
    <s v="RBL"/>
    <x v="0"/>
    <n v="1"/>
    <x v="88"/>
    <s v="TopQuartile"/>
    <n v="1"/>
    <x v="0"/>
    <s v="Y62"/>
    <x v="6"/>
    <n v="408"/>
    <x v="5"/>
  </r>
  <r>
    <x v="3"/>
    <n v="4"/>
    <s v="RHM"/>
    <x v="0"/>
    <n v="1"/>
    <x v="91"/>
    <s v="TopQuartile"/>
    <n v="1"/>
    <x v="0"/>
    <s v="Y59"/>
    <x v="0"/>
    <n v="188"/>
    <x v="5"/>
  </r>
  <r>
    <x v="3"/>
    <n v="4"/>
    <s v="RGT"/>
    <x v="0"/>
    <n v="1"/>
    <x v="87"/>
    <s v="TopQuartile"/>
    <n v="1"/>
    <x v="0"/>
    <s v="Y61"/>
    <x v="4"/>
    <n v="180"/>
    <x v="5"/>
  </r>
  <r>
    <x v="3"/>
    <n v="4"/>
    <s v="RXN"/>
    <x v="0"/>
    <n v="1"/>
    <x v="89"/>
    <s v="TopQuartile"/>
    <n v="1"/>
    <x v="0"/>
    <s v="Y62"/>
    <x v="6"/>
    <n v="438"/>
    <x v="5"/>
  </r>
  <r>
    <x v="3"/>
    <n v="4"/>
    <s v="RF4"/>
    <x v="1"/>
    <n v="2"/>
    <x v="93"/>
    <s v="TopQuartile"/>
    <n v="1"/>
    <x v="1"/>
    <s v="Y56"/>
    <x v="1"/>
    <n v="162"/>
    <x v="5"/>
  </r>
  <r>
    <x v="3"/>
    <n v="4"/>
    <s v="RJC"/>
    <x v="1"/>
    <n v="2"/>
    <x v="94"/>
    <s v="SecondQuartile"/>
    <n v="2"/>
    <x v="0"/>
    <s v="Y60"/>
    <x v="3"/>
    <n v="203"/>
    <x v="5"/>
  </r>
  <r>
    <x v="3"/>
    <n v="4"/>
    <s v="RM3"/>
    <x v="1"/>
    <n v="2"/>
    <x v="92"/>
    <s v="SecondQuartile"/>
    <n v="2"/>
    <x v="0"/>
    <s v="Y62"/>
    <x v="6"/>
    <n v="236"/>
    <x v="5"/>
  </r>
  <r>
    <x v="3"/>
    <n v="4"/>
    <s v="RHQ"/>
    <x v="1"/>
    <n v="2"/>
    <x v="96"/>
    <s v="SecondQuartile"/>
    <n v="2"/>
    <x v="0"/>
    <s v="Y63"/>
    <x v="2"/>
    <n v="190"/>
    <x v="5"/>
  </r>
  <r>
    <x v="3"/>
    <n v="4"/>
    <s v="RTX"/>
    <x v="1"/>
    <n v="2"/>
    <x v="97"/>
    <s v="SecondQuartile"/>
    <n v="2"/>
    <x v="0"/>
    <s v="Y62"/>
    <x v="6"/>
    <n v="331"/>
    <x v="5"/>
  </r>
  <r>
    <x v="3"/>
    <n v="4"/>
    <s v="RTD"/>
    <x v="1"/>
    <n v="2"/>
    <x v="90"/>
    <s v="SecondQuartile"/>
    <n v="2"/>
    <x v="0"/>
    <s v="Y63"/>
    <x v="2"/>
    <n v="317"/>
    <x v="5"/>
  </r>
  <r>
    <x v="3"/>
    <n v="4"/>
    <s v="RBN"/>
    <x v="1"/>
    <n v="2"/>
    <x v="95"/>
    <s v="SecondQuartile"/>
    <n v="2"/>
    <x v="0"/>
    <s v="Y62"/>
    <x v="6"/>
    <n v="96"/>
    <x v="5"/>
  </r>
  <r>
    <x v="3"/>
    <n v="4"/>
    <s v="RBN"/>
    <x v="1"/>
    <n v="2"/>
    <x v="95"/>
    <s v="SecondQuartile"/>
    <n v="2"/>
    <x v="0"/>
    <s v="Y62"/>
    <x v="6"/>
    <n v="409"/>
    <x v="5"/>
  </r>
  <r>
    <x v="3"/>
    <n v="4"/>
    <s v="RQX"/>
    <x v="1"/>
    <n v="2"/>
    <x v="99"/>
    <s v="SecondQuartile"/>
    <n v="2"/>
    <x v="0"/>
    <s v="Y56"/>
    <x v="1"/>
    <n v="293"/>
    <x v="5"/>
  </r>
  <r>
    <x v="3"/>
    <n v="4"/>
    <s v="RYR"/>
    <x v="1"/>
    <n v="2"/>
    <x v="98"/>
    <s v="SecondQuartile"/>
    <n v="2"/>
    <x v="0"/>
    <s v="Y59"/>
    <x v="0"/>
    <n v="279"/>
    <x v="5"/>
  </r>
  <r>
    <x v="3"/>
    <n v="4"/>
    <s v="RWE"/>
    <x v="1"/>
    <n v="2"/>
    <x v="106"/>
    <s v="SecondQuartile"/>
    <n v="2"/>
    <x v="0"/>
    <s v="Y60"/>
    <x v="3"/>
    <n v="358"/>
    <x v="5"/>
  </r>
  <r>
    <x v="3"/>
    <n v="4"/>
    <s v="RWA"/>
    <x v="1"/>
    <n v="2"/>
    <x v="103"/>
    <s v="SecondQuartile"/>
    <n v="2"/>
    <x v="0"/>
    <s v="Y63"/>
    <x v="2"/>
    <n v="356"/>
    <x v="5"/>
  </r>
  <r>
    <x v="3"/>
    <n v="4"/>
    <s v="RAL"/>
    <x v="1"/>
    <n v="2"/>
    <x v="100"/>
    <s v="SecondQuartile"/>
    <n v="2"/>
    <x v="0"/>
    <s v="Y56"/>
    <x v="1"/>
    <n v="391"/>
    <x v="5"/>
  </r>
  <r>
    <x v="3"/>
    <n v="4"/>
    <s v="RVV"/>
    <x v="1"/>
    <n v="2"/>
    <x v="102"/>
    <s v="SecondQuartile"/>
    <n v="2"/>
    <x v="0"/>
    <s v="Y59"/>
    <x v="0"/>
    <n v="344"/>
    <x v="5"/>
  </r>
  <r>
    <x v="3"/>
    <n v="4"/>
    <s v="RKB"/>
    <x v="2"/>
    <n v="3"/>
    <x v="105"/>
    <s v="ThirdQuartile"/>
    <n v="3"/>
    <x v="0"/>
    <s v="Y60"/>
    <x v="3"/>
    <n v="218"/>
    <x v="5"/>
  </r>
  <r>
    <x v="3"/>
    <n v="4"/>
    <s v="RTR"/>
    <x v="2"/>
    <n v="3"/>
    <x v="113"/>
    <s v="ThirdQuartile"/>
    <n v="3"/>
    <x v="0"/>
    <s v="Y63"/>
    <x v="2"/>
    <n v="328"/>
    <x v="5"/>
  </r>
  <r>
    <x v="3"/>
    <n v="4"/>
    <s v="RVR"/>
    <x v="2"/>
    <n v="3"/>
    <x v="108"/>
    <s v="ThirdQuartile"/>
    <n v="3"/>
    <x v="0"/>
    <s v="Y56"/>
    <x v="1"/>
    <n v="343"/>
    <x v="5"/>
  </r>
  <r>
    <x v="3"/>
    <n v="4"/>
    <s v="RJ7"/>
    <x v="2"/>
    <n v="3"/>
    <x v="109"/>
    <s v="ThirdQuartile"/>
    <n v="3"/>
    <x v="0"/>
    <s v="Y56"/>
    <x v="1"/>
    <n v="200"/>
    <x v="5"/>
  </r>
  <r>
    <x v="3"/>
    <n v="4"/>
    <s v="R1H"/>
    <x v="2"/>
    <n v="3"/>
    <x v="110"/>
    <s v="ThirdQuartile"/>
    <n v="3"/>
    <x v="0"/>
    <s v="Y56"/>
    <x v="1"/>
    <n v="259"/>
    <x v="5"/>
  </r>
  <r>
    <x v="3"/>
    <n v="4"/>
    <s v="RAP"/>
    <x v="2"/>
    <n v="3"/>
    <x v="111"/>
    <s v="ThirdQuartile"/>
    <n v="3"/>
    <x v="0"/>
    <s v="Y56"/>
    <x v="1"/>
    <n v="393"/>
    <x v="5"/>
  </r>
  <r>
    <x v="3"/>
    <n v="4"/>
    <s v="RWG"/>
    <x v="2"/>
    <n v="3"/>
    <x v="116"/>
    <s v="ThirdQuartile"/>
    <n v="3"/>
    <x v="0"/>
    <s v="Y61"/>
    <x v="4"/>
    <n v="360"/>
    <x v="5"/>
  </r>
  <r>
    <x v="3"/>
    <n v="4"/>
    <s v="RGP"/>
    <x v="2"/>
    <n v="3"/>
    <x v="115"/>
    <s v="TopQuartile"/>
    <n v="1"/>
    <x v="1"/>
    <s v="Y61"/>
    <x v="4"/>
    <n v="177"/>
    <x v="5"/>
  </r>
  <r>
    <x v="3"/>
    <n v="4"/>
    <s v="RWW"/>
    <x v="2"/>
    <n v="3"/>
    <x v="114"/>
    <s v="ThirdQuartile"/>
    <n v="3"/>
    <x v="0"/>
    <s v="Y62"/>
    <x v="6"/>
    <n v="370"/>
    <x v="5"/>
  </r>
  <r>
    <x v="3"/>
    <n v="4"/>
    <s v="RD8"/>
    <x v="2"/>
    <n v="3"/>
    <x v="107"/>
    <s v="ThirdQuartile"/>
    <n v="3"/>
    <x v="0"/>
    <s v="Y61"/>
    <x v="4"/>
    <n v="430"/>
    <x v="5"/>
  </r>
  <r>
    <x v="3"/>
    <n v="4"/>
    <s v="RXF"/>
    <x v="2"/>
    <n v="3"/>
    <x v="112"/>
    <s v="ThirdQuartile"/>
    <n v="3"/>
    <x v="0"/>
    <s v="Y63"/>
    <x v="2"/>
    <n v="377"/>
    <x v="5"/>
  </r>
  <r>
    <x v="3"/>
    <n v="4"/>
    <s v="RJZ"/>
    <x v="2"/>
    <n v="3"/>
    <x v="117"/>
    <s v="ThirdQuartile"/>
    <n v="3"/>
    <x v="0"/>
    <s v="Y56"/>
    <x v="1"/>
    <n v="213"/>
    <x v="5"/>
  </r>
  <r>
    <x v="3"/>
    <n v="4"/>
    <s v="RRV"/>
    <x v="2"/>
    <n v="3"/>
    <x v="104"/>
    <s v="ThirdQuartile"/>
    <n v="3"/>
    <x v="0"/>
    <s v="Y56"/>
    <x v="1"/>
    <n v="309"/>
    <x v="5"/>
  </r>
  <r>
    <x v="3"/>
    <n v="4"/>
    <s v="RR8"/>
    <x v="2"/>
    <n v="3"/>
    <x v="118"/>
    <s v="ThirdQuartile"/>
    <n v="3"/>
    <x v="0"/>
    <s v="Y63"/>
    <x v="2"/>
    <n v="298"/>
    <x v="5"/>
  </r>
  <r>
    <x v="3"/>
    <n v="4"/>
    <s v="RK9"/>
    <x v="2"/>
    <n v="3"/>
    <x v="120"/>
    <s v="ThirdQuartile"/>
    <n v="3"/>
    <x v="0"/>
    <s v="Y58"/>
    <x v="5"/>
    <n v="216"/>
    <x v="5"/>
  </r>
  <r>
    <x v="3"/>
    <n v="4"/>
    <s v="RXL"/>
    <x v="2"/>
    <n v="3"/>
    <x v="119"/>
    <s v="ThirdQuartile"/>
    <n v="3"/>
    <x v="0"/>
    <s v="Y62"/>
    <x v="6"/>
    <n v="382"/>
    <x v="5"/>
  </r>
  <r>
    <x v="3"/>
    <n v="4"/>
    <s v="R1K"/>
    <x v="2"/>
    <n v="3"/>
    <x v="121"/>
    <s v="ThirdQuartile"/>
    <n v="3"/>
    <x v="0"/>
    <s v="Y56"/>
    <x v="1"/>
    <n v="337"/>
    <x v="5"/>
  </r>
  <r>
    <x v="3"/>
    <n v="4"/>
    <s v="REM"/>
    <x v="2"/>
    <n v="3"/>
    <x v="122"/>
    <s v="ThirdQuartile"/>
    <n v="3"/>
    <x v="0"/>
    <s v="Y62"/>
    <x v="6"/>
    <n v="287"/>
    <x v="5"/>
  </r>
  <r>
    <x v="3"/>
    <n v="4"/>
    <s v="R0A"/>
    <x v="2"/>
    <n v="3"/>
    <x v="123"/>
    <s v="ThirdQuartile"/>
    <n v="3"/>
    <x v="0"/>
    <s v="Y62"/>
    <x v="6"/>
    <n v="349"/>
    <x v="5"/>
  </r>
  <r>
    <x v="3"/>
    <n v="4"/>
    <s v="RJ1"/>
    <x v="2"/>
    <n v="3"/>
    <x v="124"/>
    <s v="FourthQuartile"/>
    <n v="4"/>
    <x v="2"/>
    <s v="Y56"/>
    <x v="1"/>
    <n v="196"/>
    <x v="5"/>
  </r>
  <r>
    <x v="3"/>
    <n v="4"/>
    <s v="RP5"/>
    <x v="3"/>
    <n v="4"/>
    <x v="101"/>
    <s v="FourthQuartile"/>
    <n v="4"/>
    <x v="0"/>
    <s v="Y63"/>
    <x v="2"/>
    <n v="272"/>
    <x v="5"/>
  </r>
  <r>
    <x v="3"/>
    <n v="4"/>
    <s v="RTH"/>
    <x v="3"/>
    <n v="4"/>
    <x v="125"/>
    <s v="FourthQuartile"/>
    <n v="4"/>
    <x v="0"/>
    <s v="Y59"/>
    <x v="0"/>
    <n v="321"/>
    <x v="5"/>
  </r>
  <r>
    <x v="3"/>
    <n v="4"/>
    <s v="RRK"/>
    <x v="3"/>
    <n v="4"/>
    <x v="126"/>
    <s v="FourthQuartile"/>
    <n v="4"/>
    <x v="0"/>
    <s v="Y60"/>
    <x v="3"/>
    <n v="304"/>
    <x v="5"/>
  </r>
  <r>
    <x v="3"/>
    <n v="4"/>
    <s v="RA7"/>
    <x v="3"/>
    <n v="4"/>
    <x v="127"/>
    <s v="FourthQuartile"/>
    <n v="4"/>
    <x v="0"/>
    <s v="Y58"/>
    <x v="5"/>
    <n v="387"/>
    <x v="5"/>
  </r>
  <r>
    <x v="3"/>
    <n v="4"/>
    <s v="RJE"/>
    <x v="3"/>
    <n v="4"/>
    <x v="129"/>
    <s v="FourthQuartile"/>
    <n v="4"/>
    <x v="0"/>
    <s v="Y60"/>
    <x v="3"/>
    <n v="205"/>
    <x v="5"/>
  </r>
  <r>
    <x v="3"/>
    <n v="4"/>
    <s v="RCB"/>
    <x v="3"/>
    <n v="4"/>
    <x v="128"/>
    <s v="FourthQuartile"/>
    <n v="4"/>
    <x v="0"/>
    <s v="Y63"/>
    <x v="2"/>
    <n v="419"/>
    <x v="5"/>
  </r>
  <r>
    <x v="3"/>
    <n v="4"/>
    <s v="RYJ"/>
    <x v="3"/>
    <n v="4"/>
    <x v="130"/>
    <s v="FourthQuartile"/>
    <n v="4"/>
    <x v="0"/>
    <s v="Y56"/>
    <x v="1"/>
    <n v="290"/>
    <x v="5"/>
  </r>
  <r>
    <x v="3"/>
    <n v="4"/>
    <s v="RQM"/>
    <x v="3"/>
    <n v="4"/>
    <x v="131"/>
    <s v="FourthQuartile"/>
    <n v="4"/>
    <x v="0"/>
    <s v="Y56"/>
    <x v="1"/>
    <n v="289"/>
    <x v="5"/>
  </r>
  <r>
    <x v="3"/>
    <n v="4"/>
    <s v="R0D"/>
    <x v="3"/>
    <n v="4"/>
    <x v="132"/>
    <s v="FourthQuartile"/>
    <n v="4"/>
    <x v="0"/>
    <s v="Y58"/>
    <x v="5"/>
    <n v="153"/>
    <x v="5"/>
  </r>
  <r>
    <x v="3"/>
    <n v="4"/>
    <s v="RX1"/>
    <x v="3"/>
    <n v="4"/>
    <x v="133"/>
    <s v="FourthQuartile"/>
    <n v="4"/>
    <x v="0"/>
    <s v="Y60"/>
    <x v="3"/>
    <n v="164"/>
    <x v="5"/>
  </r>
  <r>
    <x v="3"/>
    <n v="4"/>
    <s v="RM1"/>
    <x v="3"/>
    <n v="4"/>
    <x v="134"/>
    <s v="FourthQuartile"/>
    <n v="4"/>
    <x v="0"/>
    <s v="Y61"/>
    <x v="4"/>
    <n v="234"/>
    <x v="5"/>
  </r>
  <r>
    <x v="3"/>
    <n v="4"/>
    <s v="RYA"/>
    <x v="1"/>
    <n v="2"/>
    <x v="136"/>
    <s v="SecondQuartile"/>
    <n v="2"/>
    <x v="0"/>
    <s v="Y60"/>
    <x v="3"/>
    <n v="217"/>
    <x v="6"/>
  </r>
  <r>
    <x v="3"/>
    <n v="4"/>
    <s v="RYD"/>
    <x v="2"/>
    <n v="3"/>
    <x v="135"/>
    <s v="ThirdQuartile"/>
    <n v="3"/>
    <x v="0"/>
    <s v="Y59"/>
    <x v="0"/>
    <n v="278"/>
    <x v="6"/>
  </r>
  <r>
    <x v="3"/>
    <n v="4"/>
    <s v="RYE"/>
    <x v="2"/>
    <n v="3"/>
    <x v="137"/>
    <s v="ThirdQuartile"/>
    <n v="3"/>
    <x v="0"/>
    <s v="Y59"/>
    <x v="0"/>
    <n v="195"/>
    <x v="6"/>
  </r>
  <r>
    <x v="3"/>
    <n v="4"/>
    <s v="RX6"/>
    <x v="3"/>
    <n v="4"/>
    <x v="138"/>
    <s v="FourthQuartile"/>
    <n v="4"/>
    <x v="0"/>
    <s v="Y63"/>
    <x v="2"/>
    <n v="340"/>
    <x v="6"/>
  </r>
  <r>
    <x v="3"/>
    <n v="4"/>
    <s v="RYC"/>
    <x v="3"/>
    <n v="4"/>
    <x v="140"/>
    <s v="FourthQuartile"/>
    <n v="4"/>
    <x v="0"/>
    <s v="Y61"/>
    <x v="4"/>
    <n v="247"/>
    <x v="6"/>
  </r>
  <r>
    <x v="3"/>
    <n v="4"/>
    <s v="RYF"/>
    <x v="3"/>
    <n v="4"/>
    <x v="143"/>
    <s v="FourthQuartile"/>
    <n v="4"/>
    <x v="0"/>
    <s v="Y58"/>
    <x v="5"/>
    <n v="202"/>
    <x v="6"/>
  </r>
  <r>
    <x v="3"/>
    <n v="4"/>
    <s v="RX8"/>
    <x v="3"/>
    <n v="4"/>
    <x v="139"/>
    <s v="FourthQuartile"/>
    <n v="4"/>
    <x v="0"/>
    <s v="Y63"/>
    <x v="2"/>
    <n v="174"/>
    <x v="6"/>
  </r>
  <r>
    <x v="3"/>
    <n v="4"/>
    <s v="RX7"/>
    <x v="3"/>
    <n v="4"/>
    <x v="142"/>
    <s v="FourthQuartile"/>
    <n v="4"/>
    <x v="0"/>
    <s v="Y62"/>
    <x v="6"/>
    <n v="242"/>
    <x v="6"/>
  </r>
  <r>
    <x v="3"/>
    <n v="4"/>
    <s v="RRU"/>
    <x v="3"/>
    <n v="4"/>
    <x v="141"/>
    <s v="FourthQuartile"/>
    <n v="4"/>
    <x v="0"/>
    <s v="Y56"/>
    <x v="1"/>
    <n v="308"/>
    <x v="6"/>
  </r>
  <r>
    <x v="3"/>
    <n v="4"/>
    <s v="RX9"/>
    <x v="3"/>
    <n v="4"/>
    <x v="144"/>
    <s v="FourthQuartile"/>
    <n v="4"/>
    <x v="0"/>
    <s v="Y60"/>
    <x v="3"/>
    <n v="335"/>
    <x v="6"/>
  </r>
  <r>
    <x v="3"/>
    <n v="4"/>
    <s v="TAD"/>
    <x v="1"/>
    <n v="2"/>
    <x v="145"/>
    <s v="SecondQuartile"/>
    <n v="2"/>
    <x v="0"/>
    <s v="Y63"/>
    <x v="2"/>
    <n v="453"/>
    <x v="7"/>
  </r>
  <r>
    <x v="3"/>
    <n v="4"/>
    <s v="TAH"/>
    <x v="1"/>
    <n v="2"/>
    <x v="146"/>
    <s v="SecondQuartile"/>
    <n v="2"/>
    <x v="0"/>
    <s v="Y63"/>
    <x v="2"/>
    <n v="457"/>
    <x v="7"/>
  </r>
  <r>
    <x v="3"/>
    <n v="4"/>
    <s v="TAF"/>
    <x v="3"/>
    <n v="4"/>
    <x v="147"/>
    <s v="FourthQuartile"/>
    <n v="4"/>
    <x v="0"/>
    <s v="Y56"/>
    <x v="1"/>
    <n v="455"/>
    <x v="7"/>
  </r>
  <r>
    <x v="3"/>
    <n v="4"/>
    <s v="0CX"/>
    <x v="0"/>
    <n v="1"/>
    <x v="150"/>
    <s v="TopQuartile"/>
    <n v="1"/>
    <x v="0"/>
    <s v="QZZ"/>
    <x v="7"/>
    <n v="877"/>
    <x v="8"/>
  </r>
  <r>
    <x v="3"/>
    <n v="4"/>
    <s v="0DF"/>
    <x v="0"/>
    <n v="1"/>
    <x v="149"/>
    <s v="TopQuartile"/>
    <n v="1"/>
    <x v="0"/>
    <s v="QZZ"/>
    <x v="7"/>
    <n v="891"/>
    <x v="8"/>
  </r>
  <r>
    <x v="3"/>
    <n v="4"/>
    <s v="0DE"/>
    <x v="1"/>
    <n v="2"/>
    <x v="151"/>
    <s v="SecondQuartile"/>
    <n v="2"/>
    <x v="0"/>
    <s v="QZZ"/>
    <x v="7"/>
    <n v="880"/>
    <x v="8"/>
  </r>
  <r>
    <x v="3"/>
    <n v="4"/>
    <s v="0AR"/>
    <x v="3"/>
    <n v="4"/>
    <x v="148"/>
    <s v="FourthQuartile"/>
    <n v="4"/>
    <x v="0"/>
    <s v="QZZ"/>
    <x v="7"/>
    <n v="869"/>
    <x v="8"/>
  </r>
  <r>
    <x v="3"/>
    <n v="4"/>
    <s v="RYY"/>
    <x v="0"/>
    <n v="1"/>
    <x v="154"/>
    <s v="TopQuartile"/>
    <n v="1"/>
    <x v="0"/>
    <s v="Y59"/>
    <x v="0"/>
    <n v="846"/>
    <x v="9"/>
  </r>
  <r>
    <x v="3"/>
    <n v="4"/>
    <s v="R1C"/>
    <x v="0"/>
    <n v="1"/>
    <x v="152"/>
    <s v="TopQuartile"/>
    <n v="1"/>
    <x v="0"/>
    <s v="Y59"/>
    <x v="0"/>
    <n v="449"/>
    <x v="9"/>
  </r>
  <r>
    <x v="3"/>
    <n v="4"/>
    <s v="R1D"/>
    <x v="0"/>
    <n v="1"/>
    <x v="160"/>
    <s v="TopQuartile"/>
    <n v="1"/>
    <x v="0"/>
    <s v="Y60"/>
    <x v="3"/>
    <n v="825"/>
    <x v="9"/>
  </r>
  <r>
    <x v="3"/>
    <n v="4"/>
    <s v="8J318"/>
    <x v="0"/>
    <n v="1"/>
    <x v="157"/>
    <s v="TopQuartile"/>
    <n v="1"/>
    <x v="0"/>
    <s v="Y63"/>
    <x v="2"/>
    <n v="98"/>
    <x v="9"/>
  </r>
  <r>
    <x v="3"/>
    <n v="4"/>
    <s v="NQ7"/>
    <x v="0"/>
    <n v="1"/>
    <x v="153"/>
    <s v="TopQuartile"/>
    <n v="1"/>
    <x v="0"/>
    <s v="Y59"/>
    <x v="0"/>
    <n v="813"/>
    <x v="9"/>
  </r>
  <r>
    <x v="3"/>
    <n v="4"/>
    <s v="NQA"/>
    <x v="0"/>
    <n v="1"/>
    <x v="161"/>
    <s v="TopQuartile"/>
    <n v="1"/>
    <x v="0"/>
    <s v="Y61"/>
    <x v="4"/>
    <n v="828"/>
    <x v="9"/>
  </r>
  <r>
    <x v="3"/>
    <n v="4"/>
    <s v="RDR"/>
    <x v="0"/>
    <n v="1"/>
    <x v="158"/>
    <s v="SecondQuartile"/>
    <n v="2"/>
    <x v="2"/>
    <s v="Y59"/>
    <x v="0"/>
    <n v="150"/>
    <x v="9"/>
  </r>
  <r>
    <x v="3"/>
    <n v="4"/>
    <s v="RY5"/>
    <x v="0"/>
    <n v="1"/>
    <x v="156"/>
    <s v="SecondQuartile"/>
    <n v="2"/>
    <x v="2"/>
    <s v="Y60"/>
    <x v="3"/>
    <n v="818"/>
    <x v="9"/>
  </r>
  <r>
    <x v="3"/>
    <n v="4"/>
    <s v="NL1"/>
    <x v="1"/>
    <n v="2"/>
    <x v="162"/>
    <s v="ThirdQuartile"/>
    <n v="3"/>
    <x v="2"/>
    <s v="Y63"/>
    <x v="2"/>
    <n v="847"/>
    <x v="9"/>
  </r>
  <r>
    <x v="3"/>
    <n v="4"/>
    <s v="NL3"/>
    <x v="1"/>
    <n v="2"/>
    <x v="164"/>
    <s v="SecondQuartile"/>
    <n v="2"/>
    <x v="0"/>
    <s v="Y63"/>
    <x v="2"/>
    <n v="814"/>
    <x v="9"/>
  </r>
  <r>
    <x v="3"/>
    <n v="4"/>
    <s v="NNV"/>
    <x v="1"/>
    <n v="2"/>
    <x v="165"/>
    <s v="SecondQuartile"/>
    <n v="2"/>
    <x v="0"/>
    <s v="Y56"/>
    <x v="1"/>
    <n v="811"/>
    <x v="9"/>
  </r>
  <r>
    <x v="3"/>
    <n v="4"/>
    <s v="NAX"/>
    <x v="1"/>
    <n v="2"/>
    <x v="163"/>
    <s v="SecondQuartile"/>
    <n v="2"/>
    <x v="0"/>
    <s v="Y61"/>
    <x v="4"/>
    <n v="849"/>
    <x v="9"/>
  </r>
  <r>
    <x v="3"/>
    <n v="4"/>
    <s v="RY7"/>
    <x v="1"/>
    <n v="2"/>
    <x v="159"/>
    <s v="SecondQuartile"/>
    <n v="2"/>
    <x v="0"/>
    <s v="Y62"/>
    <x v="6"/>
    <n v="844"/>
    <x v="9"/>
  </r>
  <r>
    <x v="3"/>
    <n v="4"/>
    <s v="NQL"/>
    <x v="1"/>
    <n v="2"/>
    <x v="166"/>
    <s v="SecondQuartile"/>
    <n v="2"/>
    <x v="0"/>
    <s v="Y63"/>
    <x v="2"/>
    <n v="816"/>
    <x v="9"/>
  </r>
  <r>
    <x v="3"/>
    <n v="4"/>
    <s v="RY9"/>
    <x v="1"/>
    <n v="2"/>
    <x v="168"/>
    <s v="SecondQuartile"/>
    <n v="2"/>
    <x v="0"/>
    <s v="Y56"/>
    <x v="1"/>
    <n v="779"/>
    <x v="9"/>
  </r>
  <r>
    <x v="3"/>
    <n v="4"/>
    <s v="AXG"/>
    <x v="1"/>
    <n v="2"/>
    <x v="155"/>
    <s v="SecondQuartile"/>
    <n v="2"/>
    <x v="0"/>
    <s v="Y58"/>
    <x v="5"/>
    <n v="85"/>
    <x v="9"/>
  </r>
  <r>
    <x v="3"/>
    <n v="4"/>
    <s v="R1A"/>
    <x v="1"/>
    <n v="2"/>
    <x v="170"/>
    <s v="SecondQuartile"/>
    <n v="2"/>
    <x v="0"/>
    <s v="Y60"/>
    <x v="3"/>
    <n v="798"/>
    <x v="9"/>
  </r>
  <r>
    <x v="3"/>
    <n v="4"/>
    <s v="RY3"/>
    <x v="2"/>
    <n v="3"/>
    <x v="169"/>
    <s v="ThirdQuartile"/>
    <n v="3"/>
    <x v="0"/>
    <s v="Y61"/>
    <x v="4"/>
    <n v="839"/>
    <x v="9"/>
  </r>
  <r>
    <x v="3"/>
    <n v="4"/>
    <s v="NNF"/>
    <x v="2"/>
    <n v="3"/>
    <x v="173"/>
    <s v="ThirdQuartile"/>
    <n v="3"/>
    <x v="0"/>
    <s v="Y63"/>
    <x v="2"/>
    <n v="810"/>
    <x v="9"/>
  </r>
  <r>
    <x v="3"/>
    <n v="4"/>
    <s v="RY8"/>
    <x v="2"/>
    <n v="3"/>
    <x v="172"/>
    <s v="ThirdQuartile"/>
    <n v="3"/>
    <x v="0"/>
    <s v="Y60"/>
    <x v="3"/>
    <n v="842"/>
    <x v="9"/>
  </r>
  <r>
    <x v="3"/>
    <n v="4"/>
    <s v="RYV"/>
    <x v="2"/>
    <n v="3"/>
    <x v="171"/>
    <s v="ThirdQuartile"/>
    <n v="3"/>
    <x v="0"/>
    <s v="Y61"/>
    <x v="4"/>
    <n v="448"/>
    <x v="9"/>
  </r>
  <r>
    <x v="3"/>
    <n v="4"/>
    <s v="RY4"/>
    <x v="2"/>
    <n v="3"/>
    <x v="167"/>
    <s v="ThirdQuartile"/>
    <n v="3"/>
    <x v="0"/>
    <s v="Y61"/>
    <x v="4"/>
    <n v="812"/>
    <x v="9"/>
  </r>
  <r>
    <x v="3"/>
    <n v="4"/>
    <s v="NR3"/>
    <x v="2"/>
    <n v="3"/>
    <x v="175"/>
    <s v="ThirdQuartile"/>
    <n v="3"/>
    <x v="0"/>
    <s v="Y60"/>
    <x v="3"/>
    <n v="826"/>
    <x v="9"/>
  </r>
  <r>
    <x v="3"/>
    <n v="4"/>
    <s v="RY2"/>
    <x v="2"/>
    <n v="3"/>
    <x v="174"/>
    <s v="ThirdQuartile"/>
    <n v="3"/>
    <x v="0"/>
    <s v="Y62"/>
    <x v="6"/>
    <n v="835"/>
    <x v="9"/>
  </r>
  <r>
    <x v="3"/>
    <n v="4"/>
    <s v="NL8"/>
    <x v="2"/>
    <n v="3"/>
    <x v="177"/>
    <s v="ThirdQuartile"/>
    <n v="3"/>
    <x v="0"/>
    <s v="Y63"/>
    <x v="2"/>
    <n v="845"/>
    <x v="9"/>
  </r>
  <r>
    <x v="3"/>
    <n v="4"/>
    <s v="RYW"/>
    <x v="2"/>
    <n v="3"/>
    <x v="176"/>
    <s v="ThirdQuartile"/>
    <n v="3"/>
    <x v="0"/>
    <s v="Y60"/>
    <x v="3"/>
    <n v="820"/>
    <x v="9"/>
  </r>
  <r>
    <x v="3"/>
    <n v="4"/>
    <s v="NQV"/>
    <x v="2"/>
    <n v="3"/>
    <x v="178"/>
    <s v="ThirdQuartile"/>
    <n v="3"/>
    <x v="0"/>
    <s v="Y56"/>
    <x v="1"/>
    <n v="848"/>
    <x v="9"/>
  </r>
  <r>
    <x v="3"/>
    <n v="4"/>
    <s v="RY6"/>
    <x v="3"/>
    <n v="4"/>
    <x v="180"/>
    <s v="FourthQuartile"/>
    <n v="4"/>
    <x v="0"/>
    <s v="Y63"/>
    <x v="2"/>
    <n v="833"/>
    <x v="9"/>
  </r>
  <r>
    <x v="3"/>
    <n v="4"/>
    <s v="RYX"/>
    <x v="3"/>
    <n v="4"/>
    <x v="179"/>
    <s v="FourthQuartile"/>
    <n v="4"/>
    <x v="0"/>
    <s v="Y56"/>
    <x v="1"/>
    <n v="824"/>
    <x v="9"/>
  </r>
  <r>
    <x v="3"/>
    <n v="4"/>
    <s v="NDJ"/>
    <x v="3"/>
    <n v="4"/>
    <x v="185"/>
    <s v="FourthQuartile"/>
    <n v="4"/>
    <x v="0"/>
    <s v="Y59"/>
    <x v="0"/>
    <n v="78"/>
    <x v="9"/>
  </r>
  <r>
    <x v="3"/>
    <n v="4"/>
    <s v="NLX"/>
    <x v="3"/>
    <n v="4"/>
    <x v="181"/>
    <s v="FourthQuartile"/>
    <n v="4"/>
    <x v="0"/>
    <s v="Y58"/>
    <x v="5"/>
    <n v="83"/>
    <x v="9"/>
  </r>
  <r>
    <x v="3"/>
    <n v="4"/>
    <s v="NR5"/>
    <x v="3"/>
    <n v="4"/>
    <x v="183"/>
    <s v="FourthQuartile"/>
    <n v="4"/>
    <x v="0"/>
    <s v="Y58"/>
    <x v="5"/>
    <n v="832"/>
    <x v="9"/>
  </r>
  <r>
    <x v="3"/>
    <n v="4"/>
    <s v="RYK"/>
    <x v="3"/>
    <n v="4"/>
    <x v="184"/>
    <s v="FourthQuartile"/>
    <n v="4"/>
    <x v="0"/>
    <s v="Y60"/>
    <x v="3"/>
    <n v="445"/>
    <x v="9"/>
  </r>
  <r>
    <x v="3"/>
    <n v="4"/>
    <s v="NTV"/>
    <x v="3"/>
    <n v="4"/>
    <x v="182"/>
    <s v="FourthQuartile"/>
    <n v="4"/>
    <x v="0"/>
    <s v="Y59"/>
    <x v="0"/>
    <n v="74"/>
    <x v="9"/>
  </r>
  <r>
    <x v="3"/>
    <n v="4"/>
    <s v="NRR"/>
    <x v="3"/>
    <n v="4"/>
    <x v="186"/>
    <s v="FourthQuartile"/>
    <n v="4"/>
    <x v="0"/>
    <s v="Y61"/>
    <x v="4"/>
    <n v="829"/>
    <x v="9"/>
  </r>
  <r>
    <x v="3"/>
    <n v="4"/>
    <s v="QNX"/>
    <x v="0"/>
    <n v="1"/>
    <x v="187"/>
    <s v="TopQuartile"/>
    <n v="1"/>
    <x v="0"/>
    <s v="Y59"/>
    <x v="0"/>
    <n v="146"/>
    <x v="10"/>
  </r>
  <r>
    <x v="3"/>
    <n v="4"/>
    <s v="QNC"/>
    <x v="0"/>
    <n v="1"/>
    <x v="196"/>
    <s v="TopQuartile"/>
    <n v="1"/>
    <x v="0"/>
    <s v="Y60"/>
    <x v="3"/>
    <n v="66"/>
    <x v="10"/>
  </r>
  <r>
    <x v="3"/>
    <n v="4"/>
    <s v="QHG"/>
    <x v="0"/>
    <n v="1"/>
    <x v="194"/>
    <s v="SecondQuartile"/>
    <n v="2"/>
    <x v="2"/>
    <s v="Y61"/>
    <x v="4"/>
    <n v="465"/>
    <x v="10"/>
  </r>
  <r>
    <x v="3"/>
    <n v="4"/>
    <s v="QPM"/>
    <x v="0"/>
    <n v="1"/>
    <x v="195"/>
    <s v="TopQuartile"/>
    <n v="1"/>
    <x v="0"/>
    <s v="Y60"/>
    <x v="3"/>
    <n v="86"/>
    <x v="10"/>
  </r>
  <r>
    <x v="3"/>
    <n v="4"/>
    <s v="QU9"/>
    <x v="0"/>
    <n v="1"/>
    <x v="192"/>
    <s v="TopQuartile"/>
    <n v="1"/>
    <x v="0"/>
    <s v="Y59"/>
    <x v="0"/>
    <n v="482"/>
    <x v="10"/>
  </r>
  <r>
    <x v="3"/>
    <n v="4"/>
    <s v="QJM"/>
    <x v="0"/>
    <n v="1"/>
    <x v="199"/>
    <s v="TopQuartile"/>
    <n v="1"/>
    <x v="0"/>
    <s v="Y60"/>
    <x v="3"/>
    <n v="116"/>
    <x v="10"/>
  </r>
  <r>
    <x v="3"/>
    <n v="4"/>
    <s v="QGH"/>
    <x v="0"/>
    <n v="1"/>
    <x v="190"/>
    <s v="TopQuartile"/>
    <n v="1"/>
    <x v="0"/>
    <s v="Y60"/>
    <x v="3"/>
    <n v="106"/>
    <x v="10"/>
  </r>
  <r>
    <x v="3"/>
    <n v="4"/>
    <s v="QR1"/>
    <x v="0"/>
    <n v="1"/>
    <x v="188"/>
    <s v="TopQuartile"/>
    <n v="1"/>
    <x v="0"/>
    <s v="Y58"/>
    <x v="5"/>
    <n v="843"/>
    <x v="10"/>
  </r>
  <r>
    <x v="3"/>
    <n v="4"/>
    <s v="QRL"/>
    <x v="0"/>
    <n v="1"/>
    <x v="202"/>
    <s v="TopQuartile"/>
    <n v="1"/>
    <x v="0"/>
    <s v="Y59"/>
    <x v="0"/>
    <n v="104"/>
    <x v="10"/>
  </r>
  <r>
    <x v="3"/>
    <n v="4"/>
    <s v="QSL"/>
    <x v="0"/>
    <n v="1"/>
    <x v="197"/>
    <s v="TopQuartile"/>
    <n v="1"/>
    <x v="0"/>
    <s v="Y58"/>
    <x v="5"/>
    <n v="462"/>
    <x v="10"/>
  </r>
  <r>
    <x v="3"/>
    <n v="4"/>
    <s v="QNQ"/>
    <x v="0"/>
    <n v="1"/>
    <x v="200"/>
    <s v="SecondQuartile"/>
    <n v="2"/>
    <x v="2"/>
    <s v="Y59"/>
    <x v="0"/>
    <n v="495"/>
    <x v="10"/>
  </r>
  <r>
    <x v="3"/>
    <n v="4"/>
    <s v="QOX"/>
    <x v="0"/>
    <n v="1"/>
    <x v="193"/>
    <s v="TopQuartile"/>
    <n v="1"/>
    <x v="0"/>
    <s v="Y58"/>
    <x v="5"/>
    <n v="983"/>
    <x v="10"/>
  </r>
  <r>
    <x v="3"/>
    <n v="4"/>
    <s v="QF7"/>
    <x v="0"/>
    <n v="1"/>
    <x v="201"/>
    <s v="SecondQuartile"/>
    <n v="2"/>
    <x v="2"/>
    <s v="Y63"/>
    <x v="2"/>
    <n v="133"/>
    <x v="10"/>
  </r>
  <r>
    <x v="3"/>
    <n v="4"/>
    <s v="QJK"/>
    <x v="0"/>
    <n v="1"/>
    <x v="198"/>
    <s v="TopQuartile"/>
    <n v="1"/>
    <x v="0"/>
    <s v="Y58"/>
    <x v="5"/>
    <n v="144"/>
    <x v="10"/>
  </r>
  <r>
    <x v="3"/>
    <n v="4"/>
    <s v="QYG"/>
    <x v="0"/>
    <n v="1"/>
    <x v="191"/>
    <s v="TopQuartile"/>
    <n v="1"/>
    <x v="0"/>
    <s v="Y62"/>
    <x v="6"/>
    <n v="493"/>
    <x v="10"/>
  </r>
  <r>
    <x v="3"/>
    <n v="4"/>
    <s v="QUY"/>
    <x v="0"/>
    <n v="1"/>
    <x v="189"/>
    <s v="TopQuartile"/>
    <n v="1"/>
    <x v="0"/>
    <s v="Y58"/>
    <x v="5"/>
    <n v="461"/>
    <x v="10"/>
  </r>
  <r>
    <x v="3"/>
    <n v="4"/>
    <s v="QK1"/>
    <x v="1"/>
    <n v="2"/>
    <x v="204"/>
    <s v="SecondQuartile"/>
    <n v="2"/>
    <x v="0"/>
    <s v="Y60"/>
    <x v="3"/>
    <n v="994"/>
    <x v="10"/>
  </r>
  <r>
    <x v="3"/>
    <n v="4"/>
    <s v="QMM"/>
    <x v="1"/>
    <n v="2"/>
    <x v="209"/>
    <s v="TopQuartile"/>
    <n v="1"/>
    <x v="1"/>
    <s v="Y61"/>
    <x v="4"/>
    <n v="137"/>
    <x v="10"/>
  </r>
  <r>
    <x v="3"/>
    <n v="4"/>
    <s v="QWU"/>
    <x v="1"/>
    <n v="2"/>
    <x v="206"/>
    <s v="SecondQuartile"/>
    <n v="2"/>
    <x v="0"/>
    <s v="Y60"/>
    <x v="3"/>
    <n v="105"/>
    <x v="10"/>
  </r>
  <r>
    <x v="3"/>
    <n v="4"/>
    <s v="QKK"/>
    <x v="1"/>
    <n v="2"/>
    <x v="205"/>
    <s v="SecondQuartile"/>
    <n v="2"/>
    <x v="0"/>
    <s v="Y56"/>
    <x v="1"/>
    <n v="487"/>
    <x v="10"/>
  </r>
  <r>
    <x v="3"/>
    <n v="4"/>
    <s v="QT1"/>
    <x v="1"/>
    <n v="2"/>
    <x v="208"/>
    <s v="SecondQuartile"/>
    <n v="2"/>
    <x v="0"/>
    <s v="Y60"/>
    <x v="3"/>
    <n v="111"/>
    <x v="10"/>
  </r>
  <r>
    <x v="3"/>
    <n v="4"/>
    <s v="QHL"/>
    <x v="1"/>
    <n v="2"/>
    <x v="207"/>
    <s v="SecondQuartile"/>
    <n v="2"/>
    <x v="0"/>
    <s v="Y60"/>
    <x v="3"/>
    <n v="529"/>
    <x v="10"/>
  </r>
  <r>
    <x v="3"/>
    <n v="4"/>
    <s v="QT6"/>
    <x v="1"/>
    <n v="2"/>
    <x v="210"/>
    <s v="SecondQuartile"/>
    <n v="2"/>
    <x v="0"/>
    <s v="Y58"/>
    <x v="5"/>
    <n v="471"/>
    <x v="10"/>
  </r>
  <r>
    <x v="3"/>
    <n v="4"/>
    <s v="QJ2"/>
    <x v="1"/>
    <n v="2"/>
    <x v="211"/>
    <s v="SecondQuartile"/>
    <n v="2"/>
    <x v="0"/>
    <s v="Y60"/>
    <x v="3"/>
    <n v="996"/>
    <x v="10"/>
  </r>
  <r>
    <x v="3"/>
    <n v="4"/>
    <s v="QOC"/>
    <x v="2"/>
    <n v="3"/>
    <x v="203"/>
    <s v="ThirdQuartile"/>
    <n v="3"/>
    <x v="0"/>
    <s v="Y60"/>
    <x v="3"/>
    <n v="942"/>
    <x v="10"/>
  </r>
  <r>
    <x v="3"/>
    <n v="4"/>
    <s v="QWE"/>
    <x v="2"/>
    <n v="3"/>
    <x v="215"/>
    <s v="ThirdQuartile"/>
    <n v="3"/>
    <x v="0"/>
    <s v="Y56"/>
    <x v="1"/>
    <n v="491"/>
    <x v="10"/>
  </r>
  <r>
    <x v="3"/>
    <n v="4"/>
    <s v="QRV"/>
    <x v="2"/>
    <n v="3"/>
    <x v="212"/>
    <s v="ThirdQuartile"/>
    <n v="3"/>
    <x v="0"/>
    <s v="Y56"/>
    <x v="1"/>
    <n v="807"/>
    <x v="10"/>
  </r>
  <r>
    <x v="3"/>
    <n v="4"/>
    <s v="QH8"/>
    <x v="2"/>
    <n v="3"/>
    <x v="221"/>
    <s v="ThirdQuartile"/>
    <n v="3"/>
    <x v="0"/>
    <s v="Y61"/>
    <x v="4"/>
    <n v="708"/>
    <x v="10"/>
  </r>
  <r>
    <x v="3"/>
    <n v="4"/>
    <s v="QE1"/>
    <x v="3"/>
    <n v="4"/>
    <x v="216"/>
    <s v="FourthQuartile"/>
    <n v="4"/>
    <x v="0"/>
    <s v="Y62"/>
    <x v="6"/>
    <n v="125"/>
    <x v="10"/>
  </r>
  <r>
    <x v="3"/>
    <n v="4"/>
    <s v="QMJ"/>
    <x v="3"/>
    <n v="4"/>
    <x v="213"/>
    <s v="ThirdQuartile"/>
    <n v="3"/>
    <x v="1"/>
    <s v="Y56"/>
    <x v="1"/>
    <n v="985"/>
    <x v="10"/>
  </r>
  <r>
    <x v="3"/>
    <n v="4"/>
    <s v="QXU"/>
    <x v="3"/>
    <n v="4"/>
    <x v="219"/>
    <s v="FourthQuartile"/>
    <n v="4"/>
    <x v="0"/>
    <s v="Y59"/>
    <x v="0"/>
    <n v="256"/>
    <x v="10"/>
  </r>
  <r>
    <x v="3"/>
    <n v="4"/>
    <s v="QMF"/>
    <x v="3"/>
    <n v="4"/>
    <x v="220"/>
    <s v="FourthQuartile"/>
    <n v="4"/>
    <x v="0"/>
    <s v="Y56"/>
    <x v="1"/>
    <n v="161"/>
    <x v="10"/>
  </r>
  <r>
    <x v="3"/>
    <n v="4"/>
    <s v="QUA"/>
    <x v="3"/>
    <n v="4"/>
    <x v="222"/>
    <s v="FourthQuartile"/>
    <n v="4"/>
    <x v="0"/>
    <s v="Y60"/>
    <x v="3"/>
    <n v="118"/>
    <x v="10"/>
  </r>
  <r>
    <x v="3"/>
    <n v="4"/>
    <s v="QM7"/>
    <x v="3"/>
    <n v="4"/>
    <x v="223"/>
    <s v="FourthQuartile"/>
    <n v="4"/>
    <x v="0"/>
    <s v="Y61"/>
    <x v="4"/>
    <n v="468"/>
    <x v="10"/>
  </r>
  <r>
    <x v="3"/>
    <n v="4"/>
    <s v="QHM"/>
    <x v="3"/>
    <n v="4"/>
    <x v="217"/>
    <s v="FourthQuartile"/>
    <n v="4"/>
    <x v="0"/>
    <s v="Y63"/>
    <x v="2"/>
    <n v="134"/>
    <x v="10"/>
  </r>
  <r>
    <x v="3"/>
    <n v="4"/>
    <s v="QOP"/>
    <x v="3"/>
    <n v="4"/>
    <x v="218"/>
    <s v="FourthQuartile"/>
    <n v="4"/>
    <x v="0"/>
    <s v="Y62"/>
    <x v="6"/>
    <n v="896"/>
    <x v="10"/>
  </r>
  <r>
    <x v="3"/>
    <n v="4"/>
    <s v="QJG"/>
    <x v="3"/>
    <n v="4"/>
    <x v="226"/>
    <s v="FourthQuartile"/>
    <n v="4"/>
    <x v="0"/>
    <s v="Y61"/>
    <x v="4"/>
    <n v="710"/>
    <x v="10"/>
  </r>
  <r>
    <x v="3"/>
    <n v="4"/>
    <s v="QWO"/>
    <x v="3"/>
    <n v="4"/>
    <x v="224"/>
    <s v="FourthQuartile"/>
    <n v="4"/>
    <x v="0"/>
    <s v="Y63"/>
    <x v="2"/>
    <n v="475"/>
    <x v="10"/>
  </r>
  <r>
    <x v="3"/>
    <n v="4"/>
    <s v="QVV"/>
    <x v="3"/>
    <n v="4"/>
    <x v="225"/>
    <s v="FourthQuartile"/>
    <n v="4"/>
    <x v="0"/>
    <s v="Y58"/>
    <x v="5"/>
    <n v="467"/>
    <x v="10"/>
  </r>
  <r>
    <x v="3"/>
    <n v="4"/>
    <s v="QKS"/>
    <x v="3"/>
    <n v="4"/>
    <x v="214"/>
    <s v="FourthQuartile"/>
    <n v="4"/>
    <x v="0"/>
    <s v="Y59"/>
    <x v="0"/>
    <n v="95"/>
    <x v="10"/>
  </r>
  <r>
    <x v="3"/>
    <n v="4"/>
    <s v="QOQ"/>
    <x v="3"/>
    <n v="4"/>
    <x v="227"/>
    <s v="FourthQuartile"/>
    <n v="4"/>
    <x v="0"/>
    <s v="Y63"/>
    <x v="2"/>
    <n v="857"/>
    <x v="10"/>
  </r>
  <r>
    <x v="3"/>
    <n v="4"/>
    <s v="QUE"/>
    <x v="3"/>
    <n v="4"/>
    <x v="228"/>
    <s v="FourthQuartile"/>
    <n v="4"/>
    <x v="0"/>
    <s v="Y61"/>
    <x v="4"/>
    <n v="644"/>
    <x v="10"/>
  </r>
  <r>
    <x v="3"/>
    <n v="4"/>
    <s v="RJ8"/>
    <x v="0"/>
    <n v="1"/>
    <x v="229"/>
    <s v="TopQuartile"/>
    <n v="1"/>
    <x v="0"/>
    <s v="Y58"/>
    <x v="5"/>
    <n v="201"/>
    <x v="11"/>
  </r>
  <r>
    <x v="3"/>
    <n v="4"/>
    <s v="RX2"/>
    <x v="0"/>
    <n v="1"/>
    <x v="231"/>
    <s v="TopQuartile"/>
    <n v="1"/>
    <x v="0"/>
    <s v="Y59"/>
    <x v="0"/>
    <n v="354"/>
    <x v="11"/>
  </r>
  <r>
    <x v="3"/>
    <n v="4"/>
    <s v="RGD"/>
    <x v="0"/>
    <n v="1"/>
    <x v="232"/>
    <s v="TopQuartile"/>
    <n v="1"/>
    <x v="0"/>
    <s v="Y63"/>
    <x v="2"/>
    <n v="173"/>
    <x v="11"/>
  </r>
  <r>
    <x v="3"/>
    <n v="4"/>
    <s v="RP7"/>
    <x v="0"/>
    <n v="1"/>
    <x v="230"/>
    <s v="TopQuartile"/>
    <n v="1"/>
    <x v="0"/>
    <s v="Y60"/>
    <x v="3"/>
    <n v="274"/>
    <x v="11"/>
  </r>
  <r>
    <x v="3"/>
    <n v="4"/>
    <s v="RX4"/>
    <x v="0"/>
    <n v="1"/>
    <x v="233"/>
    <s v="TopQuartile"/>
    <n v="1"/>
    <x v="0"/>
    <s v="Y63"/>
    <x v="2"/>
    <n v="263"/>
    <x v="11"/>
  </r>
  <r>
    <x v="3"/>
    <n v="4"/>
    <s v="RWV"/>
    <x v="0"/>
    <n v="1"/>
    <x v="237"/>
    <s v="TopQuartile"/>
    <n v="1"/>
    <x v="0"/>
    <s v="Y58"/>
    <x v="5"/>
    <n v="369"/>
    <x v="11"/>
  </r>
  <r>
    <x v="3"/>
    <n v="4"/>
    <s v="RXA"/>
    <x v="0"/>
    <n v="1"/>
    <x v="235"/>
    <s v="TopQuartile"/>
    <n v="1"/>
    <x v="0"/>
    <s v="Y62"/>
    <x v="6"/>
    <n v="373"/>
    <x v="11"/>
  </r>
  <r>
    <x v="3"/>
    <n v="4"/>
    <s v="RXE"/>
    <x v="0"/>
    <n v="1"/>
    <x v="234"/>
    <s v="ThirdQuartile"/>
    <n v="3"/>
    <x v="2"/>
    <s v="Y63"/>
    <x v="2"/>
    <n v="376"/>
    <x v="11"/>
  </r>
  <r>
    <x v="3"/>
    <n v="4"/>
    <s v="RV3"/>
    <x v="0"/>
    <n v="1"/>
    <x v="245"/>
    <s v="TopQuartile"/>
    <n v="1"/>
    <x v="0"/>
    <s v="Y56"/>
    <x v="1"/>
    <n v="333"/>
    <x v="11"/>
  </r>
  <r>
    <x v="3"/>
    <n v="4"/>
    <s v="RXG"/>
    <x v="0"/>
    <n v="1"/>
    <x v="239"/>
    <s v="TopQuartile"/>
    <n v="1"/>
    <x v="0"/>
    <s v="Y63"/>
    <x v="2"/>
    <n v="378"/>
    <x v="11"/>
  </r>
  <r>
    <x v="3"/>
    <n v="4"/>
    <s v="RVN"/>
    <x v="0"/>
    <n v="1"/>
    <x v="238"/>
    <s v="TopQuartile"/>
    <n v="1"/>
    <x v="0"/>
    <s v="Y58"/>
    <x v="5"/>
    <n v="342"/>
    <x v="11"/>
  </r>
  <r>
    <x v="3"/>
    <n v="4"/>
    <s v="RV9"/>
    <x v="0"/>
    <n v="1"/>
    <x v="242"/>
    <s v="TopQuartile"/>
    <n v="1"/>
    <x v="0"/>
    <s v="Y63"/>
    <x v="2"/>
    <n v="338"/>
    <x v="11"/>
  </r>
  <r>
    <x v="3"/>
    <n v="4"/>
    <s v="RW4"/>
    <x v="0"/>
    <n v="1"/>
    <x v="243"/>
    <s v="TopQuartile"/>
    <n v="1"/>
    <x v="0"/>
    <s v="Y62"/>
    <x v="6"/>
    <n v="350"/>
    <x v="11"/>
  </r>
  <r>
    <x v="3"/>
    <n v="4"/>
    <s v="RQY"/>
    <x v="0"/>
    <n v="1"/>
    <x v="244"/>
    <s v="TopQuartile"/>
    <n v="1"/>
    <x v="0"/>
    <s v="Y56"/>
    <x v="1"/>
    <n v="294"/>
    <x v="11"/>
  </r>
  <r>
    <x v="3"/>
    <n v="4"/>
    <s v="RDY"/>
    <x v="1"/>
    <n v="2"/>
    <x v="247"/>
    <s v="TopQuartile"/>
    <n v="1"/>
    <x v="1"/>
    <s v="Y58"/>
    <x v="5"/>
    <n v="152"/>
    <x v="11"/>
  </r>
  <r>
    <x v="3"/>
    <n v="4"/>
    <s v="RW1"/>
    <x v="1"/>
    <n v="2"/>
    <x v="255"/>
    <s v="SecondQuartile"/>
    <n v="2"/>
    <x v="0"/>
    <s v="Y59"/>
    <x v="0"/>
    <n v="348"/>
    <x v="11"/>
  </r>
  <r>
    <x v="3"/>
    <n v="4"/>
    <s v="RWK"/>
    <x v="1"/>
    <n v="2"/>
    <x v="260"/>
    <s v="SecondQuartile"/>
    <n v="2"/>
    <x v="0"/>
    <s v="Y56"/>
    <x v="1"/>
    <n v="363"/>
    <x v="11"/>
  </r>
  <r>
    <x v="3"/>
    <n v="4"/>
    <s v="RMY"/>
    <x v="1"/>
    <n v="2"/>
    <x v="259"/>
    <s v="SecondQuartile"/>
    <n v="2"/>
    <x v="0"/>
    <s v="Y61"/>
    <x v="4"/>
    <n v="246"/>
    <x v="11"/>
  </r>
  <r>
    <x v="3"/>
    <n v="4"/>
    <s v="R1L"/>
    <x v="1"/>
    <n v="2"/>
    <x v="249"/>
    <s v="ThirdQuartile"/>
    <n v="3"/>
    <x v="2"/>
    <s v="Y61"/>
    <x v="4"/>
    <n v="364"/>
    <x v="11"/>
  </r>
  <r>
    <x v="3"/>
    <n v="4"/>
    <s v="RX3"/>
    <x v="1"/>
    <n v="2"/>
    <x v="241"/>
    <s v="SecondQuartile"/>
    <n v="2"/>
    <x v="0"/>
    <s v="Y63"/>
    <x v="2"/>
    <n v="346"/>
    <x v="11"/>
  </r>
  <r>
    <x v="3"/>
    <n v="4"/>
    <s v="RRP"/>
    <x v="1"/>
    <n v="2"/>
    <x v="250"/>
    <s v="SecondQuartile"/>
    <n v="2"/>
    <x v="0"/>
    <s v="Y56"/>
    <x v="1"/>
    <n v="306"/>
    <x v="11"/>
  </r>
  <r>
    <x v="3"/>
    <n v="4"/>
    <s v="RTQ"/>
    <x v="1"/>
    <n v="2"/>
    <x v="240"/>
    <s v="SecondQuartile"/>
    <n v="2"/>
    <x v="0"/>
    <s v="Y58"/>
    <x v="5"/>
    <n v="327"/>
    <x v="11"/>
  </r>
  <r>
    <x v="3"/>
    <n v="4"/>
    <s v="RKL"/>
    <x v="1"/>
    <n v="2"/>
    <x v="252"/>
    <s v="SecondQuartile"/>
    <n v="2"/>
    <x v="0"/>
    <s v="Y56"/>
    <x v="1"/>
    <n v="222"/>
    <x v="11"/>
  </r>
  <r>
    <x v="3"/>
    <n v="4"/>
    <s v="RXV"/>
    <x v="1"/>
    <n v="2"/>
    <x v="251"/>
    <s v="SecondQuartile"/>
    <n v="2"/>
    <x v="0"/>
    <s v="Y62"/>
    <x v="6"/>
    <n v="437"/>
    <x v="11"/>
  </r>
  <r>
    <x v="3"/>
    <n v="4"/>
    <s v="RWR"/>
    <x v="1"/>
    <n v="2"/>
    <x v="246"/>
    <s v="SecondQuartile"/>
    <n v="2"/>
    <x v="0"/>
    <s v="Y61"/>
    <x v="4"/>
    <n v="367"/>
    <x v="11"/>
  </r>
  <r>
    <x v="3"/>
    <n v="4"/>
    <s v="RT5"/>
    <x v="1"/>
    <n v="2"/>
    <x v="262"/>
    <s v="SecondQuartile"/>
    <n v="2"/>
    <x v="0"/>
    <s v="Y60"/>
    <x v="3"/>
    <n v="313"/>
    <x v="11"/>
  </r>
  <r>
    <x v="3"/>
    <n v="4"/>
    <s v="RLY"/>
    <x v="1"/>
    <n v="2"/>
    <x v="254"/>
    <s v="SecondQuartile"/>
    <n v="2"/>
    <x v="0"/>
    <s v="Y60"/>
    <x v="3"/>
    <n v="232"/>
    <x v="11"/>
  </r>
  <r>
    <x v="3"/>
    <n v="4"/>
    <s v="RT2"/>
    <x v="2"/>
    <n v="3"/>
    <x v="236"/>
    <s v="SecondQuartile"/>
    <n v="2"/>
    <x v="1"/>
    <s v="Y62"/>
    <x v="6"/>
    <n v="311"/>
    <x v="11"/>
  </r>
  <r>
    <x v="3"/>
    <n v="4"/>
    <s v="RXM"/>
    <x v="2"/>
    <n v="3"/>
    <x v="258"/>
    <s v="ThirdQuartile"/>
    <n v="3"/>
    <x v="0"/>
    <s v="Y60"/>
    <x v="3"/>
    <n v="383"/>
    <x v="11"/>
  </r>
  <r>
    <x v="3"/>
    <n v="4"/>
    <s v="RRE"/>
    <x v="2"/>
    <n v="3"/>
    <x v="253"/>
    <s v="ThirdQuartile"/>
    <n v="3"/>
    <x v="0"/>
    <s v="Y60"/>
    <x v="3"/>
    <n v="301"/>
    <x v="11"/>
  </r>
  <r>
    <x v="3"/>
    <n v="4"/>
    <s v="RP1"/>
    <x v="2"/>
    <n v="3"/>
    <x v="256"/>
    <s v="SecondQuartile"/>
    <n v="2"/>
    <x v="1"/>
    <s v="Y60"/>
    <x v="3"/>
    <n v="270"/>
    <x v="11"/>
  </r>
  <r>
    <x v="3"/>
    <n v="4"/>
    <s v="RHA"/>
    <x v="2"/>
    <n v="3"/>
    <x v="248"/>
    <s v="ThirdQuartile"/>
    <n v="3"/>
    <x v="0"/>
    <s v="Y60"/>
    <x v="3"/>
    <n v="186"/>
    <x v="11"/>
  </r>
  <r>
    <x v="3"/>
    <n v="4"/>
    <s v="RNK"/>
    <x v="2"/>
    <n v="3"/>
    <x v="268"/>
    <s v="ThirdQuartile"/>
    <n v="3"/>
    <x v="0"/>
    <s v="Y56"/>
    <x v="1"/>
    <n v="260"/>
    <x v="11"/>
  </r>
  <r>
    <x v="3"/>
    <n v="4"/>
    <s v="RWX"/>
    <x v="2"/>
    <n v="3"/>
    <x v="257"/>
    <s v="ThirdQuartile"/>
    <n v="3"/>
    <x v="0"/>
    <s v="Y59"/>
    <x v="0"/>
    <n v="371"/>
    <x v="11"/>
  </r>
  <r>
    <x v="3"/>
    <n v="4"/>
    <s v="RXY"/>
    <x v="3"/>
    <n v="4"/>
    <x v="263"/>
    <s v="FourthQuartile"/>
    <n v="4"/>
    <x v="0"/>
    <s v="Y59"/>
    <x v="0"/>
    <n v="380"/>
    <x v="11"/>
  </r>
  <r>
    <x v="3"/>
    <n v="4"/>
    <s v="RT1"/>
    <x v="3"/>
    <n v="4"/>
    <x v="264"/>
    <s v="FourthQuartile"/>
    <n v="4"/>
    <x v="0"/>
    <s v="Y61"/>
    <x v="4"/>
    <n v="310"/>
    <x v="11"/>
  </r>
  <r>
    <x v="3"/>
    <n v="4"/>
    <s v="RPG"/>
    <x v="3"/>
    <n v="4"/>
    <x v="261"/>
    <s v="ThirdQuartile"/>
    <n v="3"/>
    <x v="1"/>
    <s v="Y56"/>
    <x v="1"/>
    <n v="277"/>
    <x v="11"/>
  </r>
  <r>
    <x v="3"/>
    <n v="4"/>
    <s v="RXX"/>
    <x v="3"/>
    <n v="4"/>
    <x v="266"/>
    <s v="FourthQuartile"/>
    <n v="4"/>
    <x v="0"/>
    <s v="Y59"/>
    <x v="0"/>
    <n v="325"/>
    <x v="11"/>
  </r>
  <r>
    <x v="3"/>
    <n v="4"/>
    <s v="RV5"/>
    <x v="3"/>
    <n v="4"/>
    <x v="267"/>
    <s v="FourthQuartile"/>
    <n v="4"/>
    <x v="0"/>
    <s v="Y56"/>
    <x v="1"/>
    <n v="334"/>
    <x v="11"/>
  </r>
  <r>
    <x v="3"/>
    <n v="4"/>
    <s v="RNU"/>
    <x v="3"/>
    <n v="4"/>
    <x v="265"/>
    <s v="FourthQuartile"/>
    <n v="4"/>
    <x v="0"/>
    <s v="Y59"/>
    <x v="0"/>
    <n v="267"/>
    <x v="11"/>
  </r>
  <r>
    <x v="3"/>
    <n v="4"/>
    <s v="TAJ"/>
    <x v="3"/>
    <n v="4"/>
    <x v="270"/>
    <s v="FourthQuartile"/>
    <n v="4"/>
    <x v="0"/>
    <s v="Y60"/>
    <x v="3"/>
    <n v="285"/>
    <x v="11"/>
  </r>
  <r>
    <x v="3"/>
    <n v="4"/>
    <s v="RW5"/>
    <x v="3"/>
    <n v="4"/>
    <x v="271"/>
    <s v="FourthQuartile"/>
    <n v="4"/>
    <x v="0"/>
    <s v="Y62"/>
    <x v="6"/>
    <n v="351"/>
    <x v="11"/>
  </r>
  <r>
    <x v="3"/>
    <n v="4"/>
    <s v="RAT"/>
    <x v="3"/>
    <n v="4"/>
    <x v="269"/>
    <s v="FourthQuartile"/>
    <n v="4"/>
    <x v="0"/>
    <s v="Y56"/>
    <x v="1"/>
    <n v="395"/>
    <x v="11"/>
  </r>
  <r>
    <x v="3"/>
    <n v="4"/>
    <s v="RYG"/>
    <x v="3"/>
    <n v="4"/>
    <x v="272"/>
    <s v="FourthQuartile"/>
    <n v="4"/>
    <x v="0"/>
    <s v="Y60"/>
    <x v="3"/>
    <n v="444"/>
    <x v="11"/>
  </r>
  <r>
    <x v="3"/>
    <n v="4"/>
    <s v="RXT"/>
    <x v="3"/>
    <n v="4"/>
    <x v="273"/>
    <s v="FourthQuartile"/>
    <n v="4"/>
    <x v="0"/>
    <s v="Y60"/>
    <x v="3"/>
    <n v="436"/>
    <x v="11"/>
  </r>
  <r>
    <x v="3"/>
    <n v="4"/>
    <s v="T1480"/>
    <x v="0"/>
    <n v="1"/>
    <x v="275"/>
    <s v="TopQuartile"/>
    <n v="1"/>
    <x v="0"/>
    <s v="QZZ"/>
    <x v="7"/>
    <n v="980"/>
    <x v="12"/>
  </r>
  <r>
    <x v="3"/>
    <n v="4"/>
    <s v="X80"/>
    <x v="1"/>
    <n v="2"/>
    <x v="274"/>
    <s v="SecondQuartile"/>
    <n v="2"/>
    <x v="0"/>
    <s v="QZZ"/>
    <x v="7"/>
    <n v="907"/>
    <x v="12"/>
  </r>
  <r>
    <x v="3"/>
    <n v="4"/>
    <s v="T1460"/>
    <x v="1"/>
    <n v="2"/>
    <x v="276"/>
    <s v="SecondQuartile"/>
    <n v="2"/>
    <x v="0"/>
    <s v="QZZ"/>
    <x v="7"/>
    <n v="918"/>
    <x v="12"/>
  </r>
  <r>
    <x v="3"/>
    <n v="4"/>
    <s v="DEQ"/>
    <x v="1"/>
    <n v="2"/>
    <x v="278"/>
    <s v="SecondQuartile"/>
    <n v="2"/>
    <x v="0"/>
    <s v="Y56"/>
    <x v="1"/>
    <n v="44"/>
    <x v="12"/>
  </r>
  <r>
    <x v="3"/>
    <n v="4"/>
    <s v="T1450"/>
    <x v="1"/>
    <n v="2"/>
    <x v="277"/>
    <s v="SecondQuartile"/>
    <n v="2"/>
    <x v="0"/>
    <s v="QZZ"/>
    <x v="7"/>
    <n v="914"/>
    <x v="12"/>
  </r>
  <r>
    <x v="3"/>
    <n v="4"/>
    <s v="Z1E5K"/>
    <x v="2"/>
    <n v="3"/>
    <x v="279"/>
    <s v="ThirdQuartile"/>
    <n v="3"/>
    <x v="0"/>
    <s v="QZZ"/>
    <x v="7"/>
    <n v="65"/>
    <x v="12"/>
  </r>
  <r>
    <x v="3"/>
    <n v="4"/>
    <s v="T1540"/>
    <x v="2"/>
    <n v="3"/>
    <x v="280"/>
    <s v="ThirdQuartile"/>
    <n v="3"/>
    <x v="0"/>
    <s v="QZZ"/>
    <x v="7"/>
    <n v="76"/>
    <x v="12"/>
  </r>
  <r>
    <x v="3"/>
    <n v="4"/>
    <s v="X24"/>
    <x v="3"/>
    <n v="4"/>
    <x v="281"/>
    <s v="FourthQuartile"/>
    <n v="4"/>
    <x v="0"/>
    <s v="QZZ"/>
    <x v="7"/>
    <n v="990"/>
    <x v="12"/>
  </r>
  <r>
    <x v="3"/>
    <n v="4"/>
    <s v="NB7"/>
    <x v="3"/>
    <n v="4"/>
    <x v="283"/>
    <s v="FourthQuartile"/>
    <n v="4"/>
    <x v="0"/>
    <s v="QZZ"/>
    <x v="7"/>
    <n v="441"/>
    <x v="12"/>
  </r>
  <r>
    <x v="3"/>
    <n v="4"/>
    <s v="T1150"/>
    <x v="3"/>
    <n v="4"/>
    <x v="282"/>
    <s v="FourthQuartile"/>
    <n v="4"/>
    <x v="0"/>
    <s v="QZZ"/>
    <x v="7"/>
    <n v="912"/>
    <x v="12"/>
  </r>
  <r>
    <x v="3"/>
    <n v="4"/>
    <s v="8JX76"/>
    <x v="3"/>
    <n v="4"/>
    <x v="284"/>
    <s v="FourthQuartile"/>
    <n v="4"/>
    <x v="0"/>
    <s v="QZZ"/>
    <x v="7"/>
    <n v="71"/>
    <x v="12"/>
  </r>
  <r>
    <x v="4"/>
    <n v="3"/>
    <s v="RJ2"/>
    <x v="0"/>
    <n v="1"/>
    <x v="1"/>
    <s v="TopQuartile"/>
    <n v="1"/>
    <x v="0"/>
    <s v="Y56"/>
    <x v="1"/>
    <n v="197"/>
    <x v="0"/>
  </r>
  <r>
    <x v="4"/>
    <n v="3"/>
    <s v="RTF"/>
    <x v="0"/>
    <n v="1"/>
    <x v="3"/>
    <s v="TopQuartile"/>
    <n v="1"/>
    <x v="0"/>
    <s v="Y63"/>
    <x v="2"/>
    <n v="319"/>
    <x v="0"/>
  </r>
  <r>
    <x v="4"/>
    <n v="3"/>
    <s v="RWF"/>
    <x v="0"/>
    <n v="1"/>
    <x v="2"/>
    <s v="TopQuartile"/>
    <n v="1"/>
    <x v="0"/>
    <s v="Y59"/>
    <x v="0"/>
    <n v="359"/>
    <x v="0"/>
  </r>
  <r>
    <x v="4"/>
    <n v="3"/>
    <s v="RXC"/>
    <x v="0"/>
    <n v="1"/>
    <x v="0"/>
    <s v="TopQuartile"/>
    <n v="1"/>
    <x v="0"/>
    <s v="Y59"/>
    <x v="0"/>
    <n v="374"/>
    <x v="0"/>
  </r>
  <r>
    <x v="4"/>
    <n v="3"/>
    <s v="RDE"/>
    <x v="0"/>
    <n v="1"/>
    <x v="6"/>
    <s v="SecondQuartile"/>
    <n v="2"/>
    <x v="2"/>
    <s v="Y61"/>
    <x v="4"/>
    <n v="432"/>
    <x v="0"/>
  </r>
  <r>
    <x v="4"/>
    <n v="3"/>
    <s v="RWD"/>
    <x v="1"/>
    <n v="2"/>
    <x v="5"/>
    <s v="TopQuartile"/>
    <n v="1"/>
    <x v="1"/>
    <s v="Y60"/>
    <x v="3"/>
    <n v="357"/>
    <x v="0"/>
  </r>
  <r>
    <x v="4"/>
    <n v="3"/>
    <s v="RHU"/>
    <x v="1"/>
    <n v="2"/>
    <x v="4"/>
    <s v="SecondQuartile"/>
    <n v="2"/>
    <x v="0"/>
    <s v="Y59"/>
    <x v="0"/>
    <n v="192"/>
    <x v="0"/>
  </r>
  <r>
    <x v="4"/>
    <n v="3"/>
    <s v="RL4"/>
    <x v="2"/>
    <n v="3"/>
    <x v="7"/>
    <s v="ThirdQuartile"/>
    <n v="3"/>
    <x v="0"/>
    <s v="Y60"/>
    <x v="3"/>
    <n v="225"/>
    <x v="0"/>
  </r>
  <r>
    <x v="4"/>
    <n v="3"/>
    <s v="RAJ"/>
    <x v="2"/>
    <n v="3"/>
    <x v="8"/>
    <s v="ThirdQuartile"/>
    <n v="3"/>
    <x v="0"/>
    <s v="Y61"/>
    <x v="4"/>
    <n v="390"/>
    <x v="0"/>
  </r>
  <r>
    <x v="4"/>
    <n v="3"/>
    <s v="RVJ"/>
    <x v="2"/>
    <n v="3"/>
    <x v="13"/>
    <s v="ThirdQuartile"/>
    <n v="3"/>
    <x v="0"/>
    <s v="Y58"/>
    <x v="5"/>
    <n v="339"/>
    <x v="0"/>
  </r>
  <r>
    <x v="4"/>
    <n v="3"/>
    <s v="RWY"/>
    <x v="2"/>
    <n v="3"/>
    <x v="10"/>
    <s v="TopQuartile"/>
    <n v="1"/>
    <x v="1"/>
    <s v="Y63"/>
    <x v="2"/>
    <n v="372"/>
    <x v="0"/>
  </r>
  <r>
    <x v="4"/>
    <n v="3"/>
    <s v="RDU"/>
    <x v="2"/>
    <n v="3"/>
    <x v="12"/>
    <s v="ThirdQuartile"/>
    <n v="3"/>
    <x v="0"/>
    <s v="Y59"/>
    <x v="0"/>
    <n v="151"/>
    <x v="0"/>
  </r>
  <r>
    <x v="4"/>
    <n v="3"/>
    <s v="R0B"/>
    <x v="2"/>
    <n v="3"/>
    <x v="15"/>
    <s v="ThirdQuartile"/>
    <n v="3"/>
    <x v="0"/>
    <s v="Y63"/>
    <x v="2"/>
    <n v="155"/>
    <x v="0"/>
  </r>
  <r>
    <x v="4"/>
    <n v="3"/>
    <s v="RWP"/>
    <x v="2"/>
    <n v="3"/>
    <x v="14"/>
    <s v="ThirdQuartile"/>
    <n v="3"/>
    <x v="0"/>
    <s v="Y60"/>
    <x v="3"/>
    <n v="365"/>
    <x v="0"/>
  </r>
  <r>
    <x v="4"/>
    <n v="3"/>
    <s v="RWH"/>
    <x v="3"/>
    <n v="4"/>
    <x v="9"/>
    <s v="FourthQuartile"/>
    <n v="4"/>
    <x v="0"/>
    <s v="Y61"/>
    <x v="4"/>
    <n v="361"/>
    <x v="0"/>
  </r>
  <r>
    <x v="4"/>
    <n v="3"/>
    <s v="RXR"/>
    <x v="3"/>
    <n v="4"/>
    <x v="17"/>
    <s v="FourthQuartile"/>
    <n v="4"/>
    <x v="0"/>
    <s v="Y62"/>
    <x v="6"/>
    <n v="435"/>
    <x v="0"/>
  </r>
  <r>
    <x v="4"/>
    <n v="3"/>
    <s v="RH8"/>
    <x v="3"/>
    <n v="4"/>
    <x v="18"/>
    <s v="FourthQuartile"/>
    <n v="4"/>
    <x v="0"/>
    <s v="Y58"/>
    <x v="5"/>
    <n v="185"/>
    <x v="0"/>
  </r>
  <r>
    <x v="4"/>
    <n v="3"/>
    <s v="RGN"/>
    <x v="3"/>
    <n v="4"/>
    <x v="11"/>
    <s v="FourthQuartile"/>
    <n v="4"/>
    <x v="0"/>
    <s v="Y61"/>
    <x v="4"/>
    <n v="176"/>
    <x v="0"/>
  </r>
  <r>
    <x v="4"/>
    <n v="3"/>
    <s v="RN5"/>
    <x v="3"/>
    <n v="4"/>
    <x v="19"/>
    <s v="FourthQuartile"/>
    <n v="4"/>
    <x v="0"/>
    <s v="Y59"/>
    <x v="0"/>
    <n v="251"/>
    <x v="0"/>
  </r>
  <r>
    <x v="4"/>
    <n v="3"/>
    <s v="RHW"/>
    <x v="3"/>
    <n v="4"/>
    <x v="20"/>
    <s v="FourthQuartile"/>
    <n v="4"/>
    <x v="0"/>
    <s v="Y59"/>
    <x v="0"/>
    <n v="193"/>
    <x v="0"/>
  </r>
  <r>
    <x v="4"/>
    <n v="3"/>
    <s v="RTE"/>
    <x v="3"/>
    <n v="4"/>
    <x v="16"/>
    <s v="FourthQuartile"/>
    <n v="4"/>
    <x v="0"/>
    <s v="Y58"/>
    <x v="5"/>
    <n v="318"/>
    <x v="0"/>
  </r>
  <r>
    <x v="4"/>
    <n v="3"/>
    <s v="RXK"/>
    <x v="3"/>
    <n v="4"/>
    <x v="21"/>
    <s v="FourthQuartile"/>
    <n v="4"/>
    <x v="0"/>
    <s v="Y60"/>
    <x v="3"/>
    <n v="381"/>
    <x v="0"/>
  </r>
  <r>
    <x v="4"/>
    <n v="3"/>
    <s v="REF"/>
    <x v="3"/>
    <n v="4"/>
    <x v="22"/>
    <s v="FourthQuartile"/>
    <n v="4"/>
    <x v="0"/>
    <s v="Y58"/>
    <x v="5"/>
    <n v="156"/>
    <x v="0"/>
  </r>
  <r>
    <x v="4"/>
    <n v="3"/>
    <s v="RR7"/>
    <x v="0"/>
    <n v="1"/>
    <x v="25"/>
    <s v="TopQuartile"/>
    <n v="1"/>
    <x v="0"/>
    <s v="Y63"/>
    <x v="2"/>
    <n v="297"/>
    <x v="1"/>
  </r>
  <r>
    <x v="4"/>
    <n v="3"/>
    <s v="RXW"/>
    <x v="0"/>
    <n v="1"/>
    <x v="23"/>
    <s v="TopQuartile"/>
    <n v="1"/>
    <x v="0"/>
    <s v="Y60"/>
    <x v="3"/>
    <n v="223"/>
    <x v="1"/>
  </r>
  <r>
    <x v="4"/>
    <n v="3"/>
    <s v="RJL"/>
    <x v="0"/>
    <n v="1"/>
    <x v="27"/>
    <s v="TopQuartile"/>
    <n v="1"/>
    <x v="0"/>
    <s v="Y63"/>
    <x v="2"/>
    <n v="208"/>
    <x v="1"/>
  </r>
  <r>
    <x v="4"/>
    <n v="3"/>
    <s v="RJ6"/>
    <x v="0"/>
    <n v="1"/>
    <x v="24"/>
    <s v="TopQuartile"/>
    <n v="1"/>
    <x v="0"/>
    <s v="Y56"/>
    <x v="1"/>
    <n v="199"/>
    <x v="1"/>
  </r>
  <r>
    <x v="4"/>
    <n v="3"/>
    <s v="RAX"/>
    <x v="0"/>
    <n v="1"/>
    <x v="29"/>
    <s v="SecondQuartile"/>
    <n v="2"/>
    <x v="2"/>
    <s v="Y56"/>
    <x v="1"/>
    <n v="396"/>
    <x v="1"/>
  </r>
  <r>
    <x v="4"/>
    <n v="3"/>
    <s v="RNS"/>
    <x v="1"/>
    <n v="2"/>
    <x v="31"/>
    <s v="SecondQuartile"/>
    <n v="2"/>
    <x v="0"/>
    <s v="Y60"/>
    <x v="3"/>
    <n v="265"/>
    <x v="1"/>
  </r>
  <r>
    <x v="4"/>
    <n v="3"/>
    <s v="RTP"/>
    <x v="1"/>
    <n v="2"/>
    <x v="32"/>
    <s v="SecondQuartile"/>
    <n v="2"/>
    <x v="0"/>
    <s v="Y59"/>
    <x v="0"/>
    <n v="326"/>
    <x v="1"/>
  </r>
  <r>
    <x v="4"/>
    <n v="3"/>
    <s v="RK5"/>
    <x v="1"/>
    <n v="2"/>
    <x v="26"/>
    <s v="SecondQuartile"/>
    <n v="2"/>
    <x v="0"/>
    <s v="Y60"/>
    <x v="3"/>
    <n v="214"/>
    <x v="1"/>
  </r>
  <r>
    <x v="4"/>
    <n v="3"/>
    <s v="RD1"/>
    <x v="1"/>
    <n v="2"/>
    <x v="28"/>
    <s v="SecondQuartile"/>
    <n v="2"/>
    <x v="0"/>
    <s v="Y58"/>
    <x v="5"/>
    <n v="427"/>
    <x v="1"/>
  </r>
  <r>
    <x v="4"/>
    <n v="3"/>
    <s v="RMC"/>
    <x v="1"/>
    <n v="2"/>
    <x v="35"/>
    <s v="TopQuartile"/>
    <n v="1"/>
    <x v="1"/>
    <s v="Y62"/>
    <x v="6"/>
    <n v="241"/>
    <x v="1"/>
  </r>
  <r>
    <x v="4"/>
    <n v="3"/>
    <s v="RPA"/>
    <x v="1"/>
    <n v="2"/>
    <x v="34"/>
    <s v="SecondQuartile"/>
    <n v="2"/>
    <x v="0"/>
    <s v="Y59"/>
    <x v="0"/>
    <n v="275"/>
    <x v="1"/>
  </r>
  <r>
    <x v="4"/>
    <n v="3"/>
    <s v="RVW"/>
    <x v="1"/>
    <n v="2"/>
    <x v="30"/>
    <s v="SecondQuartile"/>
    <n v="2"/>
    <x v="0"/>
    <s v="Y63"/>
    <x v="2"/>
    <n v="345"/>
    <x v="1"/>
  </r>
  <r>
    <x v="4"/>
    <n v="3"/>
    <s v="RNN"/>
    <x v="1"/>
    <n v="2"/>
    <x v="37"/>
    <s v="SecondQuartile"/>
    <n v="2"/>
    <x v="0"/>
    <s v="Y63"/>
    <x v="2"/>
    <n v="262"/>
    <x v="1"/>
  </r>
  <r>
    <x v="4"/>
    <n v="3"/>
    <s v="RA2"/>
    <x v="2"/>
    <n v="3"/>
    <x v="33"/>
    <s v="ThirdQuartile"/>
    <n v="3"/>
    <x v="0"/>
    <s v="Y59"/>
    <x v="0"/>
    <n v="384"/>
    <x v="1"/>
  </r>
  <r>
    <x v="4"/>
    <n v="3"/>
    <s v="RWJ"/>
    <x v="2"/>
    <n v="3"/>
    <x v="36"/>
    <s v="SecondQuartile"/>
    <n v="2"/>
    <x v="1"/>
    <s v="Y62"/>
    <x v="6"/>
    <n v="362"/>
    <x v="1"/>
  </r>
  <r>
    <x v="4"/>
    <n v="3"/>
    <s v="RC9"/>
    <x v="2"/>
    <n v="3"/>
    <x v="38"/>
    <s v="ThirdQuartile"/>
    <n v="3"/>
    <x v="0"/>
    <s v="Y61"/>
    <x v="4"/>
    <n v="418"/>
    <x v="1"/>
  </r>
  <r>
    <x v="4"/>
    <n v="3"/>
    <s v="RN3"/>
    <x v="2"/>
    <n v="3"/>
    <x v="39"/>
    <s v="ThirdQuartile"/>
    <n v="3"/>
    <x v="0"/>
    <s v="Y58"/>
    <x v="5"/>
    <n v="249"/>
    <x v="1"/>
  </r>
  <r>
    <x v="4"/>
    <n v="3"/>
    <s v="RRF"/>
    <x v="2"/>
    <n v="3"/>
    <x v="40"/>
    <s v="ThirdQuartile"/>
    <n v="3"/>
    <x v="0"/>
    <s v="Y62"/>
    <x v="6"/>
    <n v="302"/>
    <x v="1"/>
  </r>
  <r>
    <x v="4"/>
    <n v="3"/>
    <s v="RTK"/>
    <x v="2"/>
    <n v="3"/>
    <x v="41"/>
    <s v="ThirdQuartile"/>
    <n v="3"/>
    <x v="0"/>
    <s v="Y59"/>
    <x v="0"/>
    <n v="323"/>
    <x v="1"/>
  </r>
  <r>
    <x v="4"/>
    <n v="3"/>
    <s v="RNA"/>
    <x v="3"/>
    <n v="4"/>
    <x v="42"/>
    <s v="FourthQuartile"/>
    <n v="4"/>
    <x v="0"/>
    <s v="Y60"/>
    <x v="3"/>
    <n v="253"/>
    <x v="1"/>
  </r>
  <r>
    <x v="4"/>
    <n v="3"/>
    <s v="RA9"/>
    <x v="0"/>
    <n v="1"/>
    <x v="44"/>
    <s v="TopQuartile"/>
    <n v="1"/>
    <x v="0"/>
    <s v="Y58"/>
    <x v="5"/>
    <n v="388"/>
    <x v="2"/>
  </r>
  <r>
    <x v="4"/>
    <n v="3"/>
    <s v="RXP"/>
    <x v="0"/>
    <n v="1"/>
    <x v="45"/>
    <s v="SecondQuartile"/>
    <n v="2"/>
    <x v="2"/>
    <s v="Y63"/>
    <x v="2"/>
    <n v="439"/>
    <x v="2"/>
  </r>
  <r>
    <x v="4"/>
    <n v="3"/>
    <s v="RXQ"/>
    <x v="0"/>
    <n v="1"/>
    <x v="43"/>
    <s v="TopQuartile"/>
    <n v="1"/>
    <x v="0"/>
    <s v="Y59"/>
    <x v="0"/>
    <n v="434"/>
    <x v="2"/>
  </r>
  <r>
    <x v="4"/>
    <n v="3"/>
    <s v="RLQ"/>
    <x v="1"/>
    <n v="2"/>
    <x v="46"/>
    <s v="SecondQuartile"/>
    <n v="2"/>
    <x v="0"/>
    <s v="Y60"/>
    <x v="3"/>
    <n v="229"/>
    <x v="2"/>
  </r>
  <r>
    <x v="4"/>
    <n v="3"/>
    <s v="R1F"/>
    <x v="1"/>
    <n v="2"/>
    <x v="48"/>
    <s v="SecondQuartile"/>
    <n v="2"/>
    <x v="0"/>
    <s v="Y59"/>
    <x v="0"/>
    <n v="470"/>
    <x v="2"/>
  </r>
  <r>
    <x v="4"/>
    <n v="3"/>
    <s v="RH5"/>
    <x v="2"/>
    <n v="3"/>
    <x v="47"/>
    <s v="ThirdQuartile"/>
    <n v="3"/>
    <x v="0"/>
    <s v="Y58"/>
    <x v="5"/>
    <n v="184"/>
    <x v="2"/>
  </r>
  <r>
    <x v="4"/>
    <n v="3"/>
    <s v="RKE"/>
    <x v="3"/>
    <n v="4"/>
    <x v="49"/>
    <s v="FourthQuartile"/>
    <n v="4"/>
    <x v="0"/>
    <s v="Y56"/>
    <x v="1"/>
    <n v="220"/>
    <x v="2"/>
  </r>
  <r>
    <x v="4"/>
    <n v="3"/>
    <s v="RCF"/>
    <x v="0"/>
    <n v="1"/>
    <x v="51"/>
    <s v="TopQuartile"/>
    <n v="1"/>
    <x v="0"/>
    <s v="Y63"/>
    <x v="2"/>
    <n v="423"/>
    <x v="3"/>
  </r>
  <r>
    <x v="4"/>
    <n v="3"/>
    <s v="RFF"/>
    <x v="0"/>
    <n v="1"/>
    <x v="50"/>
    <s v="TopQuartile"/>
    <n v="1"/>
    <x v="0"/>
    <s v="Y63"/>
    <x v="2"/>
    <n v="163"/>
    <x v="3"/>
  </r>
  <r>
    <x v="4"/>
    <n v="3"/>
    <s v="RFR"/>
    <x v="0"/>
    <n v="1"/>
    <x v="55"/>
    <s v="TopQuartile"/>
    <n v="1"/>
    <x v="0"/>
    <s v="Y63"/>
    <x v="2"/>
    <n v="165"/>
    <x v="3"/>
  </r>
  <r>
    <x v="4"/>
    <n v="3"/>
    <s v="RJN"/>
    <x v="0"/>
    <n v="1"/>
    <x v="52"/>
    <s v="TopQuartile"/>
    <n v="1"/>
    <x v="0"/>
    <s v="Y62"/>
    <x v="6"/>
    <n v="209"/>
    <x v="3"/>
  </r>
  <r>
    <x v="4"/>
    <n v="3"/>
    <s v="RCX"/>
    <x v="0"/>
    <n v="1"/>
    <x v="54"/>
    <s v="TopQuartile"/>
    <n v="1"/>
    <x v="0"/>
    <s v="Y61"/>
    <x v="4"/>
    <n v="426"/>
    <x v="3"/>
  </r>
  <r>
    <x v="4"/>
    <n v="3"/>
    <s v="RFS"/>
    <x v="0"/>
    <n v="1"/>
    <x v="53"/>
    <s v="TopQuartile"/>
    <n v="1"/>
    <x v="0"/>
    <s v="Y60"/>
    <x v="3"/>
    <n v="166"/>
    <x v="3"/>
  </r>
  <r>
    <x v="4"/>
    <n v="3"/>
    <s v="RJR"/>
    <x v="0"/>
    <n v="1"/>
    <x v="58"/>
    <s v="TopQuartile"/>
    <n v="1"/>
    <x v="0"/>
    <s v="Y62"/>
    <x v="6"/>
    <n v="210"/>
    <x v="3"/>
  </r>
  <r>
    <x v="4"/>
    <n v="3"/>
    <s v="RN7"/>
    <x v="1"/>
    <n v="2"/>
    <x v="56"/>
    <s v="TopQuartile"/>
    <n v="1"/>
    <x v="1"/>
    <s v="Y59"/>
    <x v="0"/>
    <n v="252"/>
    <x v="3"/>
  </r>
  <r>
    <x v="4"/>
    <n v="3"/>
    <s v="RNQ"/>
    <x v="1"/>
    <n v="2"/>
    <x v="59"/>
    <s v="SecondQuartile"/>
    <n v="2"/>
    <x v="0"/>
    <s v="Y60"/>
    <x v="3"/>
    <n v="264"/>
    <x v="3"/>
  </r>
  <r>
    <x v="4"/>
    <n v="3"/>
    <s v="RCD"/>
    <x v="1"/>
    <n v="2"/>
    <x v="57"/>
    <s v="SecondQuartile"/>
    <n v="2"/>
    <x v="0"/>
    <s v="Y63"/>
    <x v="2"/>
    <n v="421"/>
    <x v="3"/>
  </r>
  <r>
    <x v="4"/>
    <n v="3"/>
    <s v="RBT"/>
    <x v="2"/>
    <n v="3"/>
    <x v="60"/>
    <s v="ThirdQuartile"/>
    <n v="3"/>
    <x v="0"/>
    <s v="Y62"/>
    <x v="6"/>
    <n v="412"/>
    <x v="3"/>
  </r>
  <r>
    <x v="4"/>
    <n v="3"/>
    <s v="RAS"/>
    <x v="2"/>
    <n v="3"/>
    <x v="64"/>
    <s v="ThirdQuartile"/>
    <n v="3"/>
    <x v="0"/>
    <s v="Y56"/>
    <x v="1"/>
    <n v="394"/>
    <x v="3"/>
  </r>
  <r>
    <x v="4"/>
    <n v="3"/>
    <s v="RNZ"/>
    <x v="2"/>
    <n v="3"/>
    <x v="61"/>
    <s v="ThirdQuartile"/>
    <n v="3"/>
    <x v="0"/>
    <s v="Y58"/>
    <x v="5"/>
    <n v="269"/>
    <x v="3"/>
  </r>
  <r>
    <x v="4"/>
    <n v="3"/>
    <s v="RMP"/>
    <x v="2"/>
    <n v="3"/>
    <x v="63"/>
    <s v="ThirdQuartile"/>
    <n v="3"/>
    <x v="0"/>
    <s v="Y62"/>
    <x v="6"/>
    <n v="245"/>
    <x v="3"/>
  </r>
  <r>
    <x v="4"/>
    <n v="3"/>
    <s v="RBK"/>
    <x v="2"/>
    <n v="3"/>
    <x v="62"/>
    <s v="ThirdQuartile"/>
    <n v="3"/>
    <x v="0"/>
    <s v="Y60"/>
    <x v="3"/>
    <n v="407"/>
    <x v="3"/>
  </r>
  <r>
    <x v="4"/>
    <n v="3"/>
    <s v="RLT"/>
    <x v="2"/>
    <n v="3"/>
    <x v="65"/>
    <s v="ThirdQuartile"/>
    <n v="3"/>
    <x v="0"/>
    <s v="Y60"/>
    <x v="3"/>
    <n v="230"/>
    <x v="3"/>
  </r>
  <r>
    <x v="4"/>
    <n v="3"/>
    <s v="RQW"/>
    <x v="2"/>
    <n v="3"/>
    <x v="66"/>
    <s v="ThirdQuartile"/>
    <n v="3"/>
    <x v="0"/>
    <s v="Y61"/>
    <x v="4"/>
    <n v="292"/>
    <x v="3"/>
  </r>
  <r>
    <x v="4"/>
    <n v="3"/>
    <s v="RBD"/>
    <x v="3"/>
    <n v="4"/>
    <x v="67"/>
    <s v="FourthQuartile"/>
    <n v="4"/>
    <x v="0"/>
    <s v="Y58"/>
    <x v="5"/>
    <n v="405"/>
    <x v="3"/>
  </r>
  <r>
    <x v="4"/>
    <n v="3"/>
    <s v="RGR"/>
    <x v="3"/>
    <n v="4"/>
    <x v="68"/>
    <s v="FourthQuartile"/>
    <n v="4"/>
    <x v="0"/>
    <s v="Y61"/>
    <x v="4"/>
    <n v="179"/>
    <x v="3"/>
  </r>
  <r>
    <x v="4"/>
    <n v="3"/>
    <s v="RET"/>
    <x v="0"/>
    <n v="1"/>
    <x v="75"/>
    <s v="TopQuartile"/>
    <n v="1"/>
    <x v="0"/>
    <s v="Y62"/>
    <x v="6"/>
    <n v="160"/>
    <x v="4"/>
  </r>
  <r>
    <x v="4"/>
    <n v="3"/>
    <s v="RP4"/>
    <x v="0"/>
    <n v="1"/>
    <x v="72"/>
    <s v="TopQuartile"/>
    <n v="1"/>
    <x v="0"/>
    <s v="Y56"/>
    <x v="1"/>
    <n v="271"/>
    <x v="4"/>
  </r>
  <r>
    <x v="4"/>
    <n v="3"/>
    <s v="RGM"/>
    <x v="0"/>
    <n v="1"/>
    <x v="69"/>
    <s v="TopQuartile"/>
    <n v="1"/>
    <x v="0"/>
    <s v="Y61"/>
    <x v="4"/>
    <n v="175"/>
    <x v="4"/>
  </r>
  <r>
    <x v="4"/>
    <n v="3"/>
    <s v="RPC"/>
    <x v="0"/>
    <n v="1"/>
    <x v="70"/>
    <s v="SecondQuartile"/>
    <n v="2"/>
    <x v="2"/>
    <s v="Y59"/>
    <x v="0"/>
    <n v="276"/>
    <x v="4"/>
  </r>
  <r>
    <x v="4"/>
    <n v="3"/>
    <s v="RBS"/>
    <x v="0"/>
    <n v="1"/>
    <x v="73"/>
    <s v="SecondQuartile"/>
    <n v="2"/>
    <x v="2"/>
    <s v="Y62"/>
    <x v="6"/>
    <n v="411"/>
    <x v="4"/>
  </r>
  <r>
    <x v="4"/>
    <n v="3"/>
    <s v="REN"/>
    <x v="0"/>
    <n v="1"/>
    <x v="74"/>
    <s v="TopQuartile"/>
    <n v="1"/>
    <x v="0"/>
    <s v="Y62"/>
    <x v="6"/>
    <n v="158"/>
    <x v="4"/>
  </r>
  <r>
    <x v="4"/>
    <n v="3"/>
    <s v="RL1"/>
    <x v="1"/>
    <n v="2"/>
    <x v="80"/>
    <s v="SecondQuartile"/>
    <n v="2"/>
    <x v="0"/>
    <s v="Y60"/>
    <x v="3"/>
    <n v="224"/>
    <x v="4"/>
  </r>
  <r>
    <x v="4"/>
    <n v="3"/>
    <s v="RBV"/>
    <x v="1"/>
    <n v="2"/>
    <x v="76"/>
    <s v="SecondQuartile"/>
    <n v="2"/>
    <x v="0"/>
    <s v="Y62"/>
    <x v="6"/>
    <n v="413"/>
    <x v="4"/>
  </r>
  <r>
    <x v="4"/>
    <n v="3"/>
    <s v="RRJ"/>
    <x v="1"/>
    <n v="2"/>
    <x v="71"/>
    <s v="SecondQuartile"/>
    <n v="2"/>
    <x v="0"/>
    <s v="Y60"/>
    <x v="3"/>
    <n v="303"/>
    <x v="4"/>
  </r>
  <r>
    <x v="4"/>
    <n v="3"/>
    <s v="REP"/>
    <x v="2"/>
    <n v="3"/>
    <x v="79"/>
    <s v="ThirdQuartile"/>
    <n v="3"/>
    <x v="0"/>
    <s v="Y62"/>
    <x v="6"/>
    <n v="159"/>
    <x v="4"/>
  </r>
  <r>
    <x v="4"/>
    <n v="3"/>
    <s v="RP6"/>
    <x v="2"/>
    <n v="3"/>
    <x v="78"/>
    <s v="ThirdQuartile"/>
    <n v="3"/>
    <x v="0"/>
    <s v="Y56"/>
    <x v="1"/>
    <n v="273"/>
    <x v="4"/>
  </r>
  <r>
    <x v="4"/>
    <n v="3"/>
    <s v="RPY"/>
    <x v="2"/>
    <n v="3"/>
    <x v="77"/>
    <s v="ThirdQuartile"/>
    <n v="3"/>
    <x v="0"/>
    <s v="Y56"/>
    <x v="1"/>
    <n v="282"/>
    <x v="4"/>
  </r>
  <r>
    <x v="4"/>
    <n v="3"/>
    <s v="RCU"/>
    <x v="2"/>
    <n v="3"/>
    <x v="82"/>
    <s v="ThirdQuartile"/>
    <n v="3"/>
    <x v="0"/>
    <s v="Y63"/>
    <x v="2"/>
    <n v="425"/>
    <x v="4"/>
  </r>
  <r>
    <x v="4"/>
    <n v="3"/>
    <s v="RQ3"/>
    <x v="3"/>
    <n v="4"/>
    <x v="81"/>
    <s v="FourthQuartile"/>
    <n v="4"/>
    <x v="0"/>
    <s v="Y60"/>
    <x v="3"/>
    <n v="284"/>
    <x v="4"/>
  </r>
  <r>
    <x v="4"/>
    <n v="3"/>
    <s v="RAN"/>
    <x v="3"/>
    <n v="4"/>
    <x v="83"/>
    <s v="FourthQuartile"/>
    <n v="4"/>
    <x v="0"/>
    <s v="Y56"/>
    <x v="1"/>
    <n v="392"/>
    <x v="4"/>
  </r>
  <r>
    <x v="4"/>
    <n v="3"/>
    <s v="RBQ"/>
    <x v="3"/>
    <n v="4"/>
    <x v="84"/>
    <s v="FourthQuartile"/>
    <n v="4"/>
    <x v="0"/>
    <s v="Y62"/>
    <x v="6"/>
    <n v="410"/>
    <x v="4"/>
  </r>
  <r>
    <x v="4"/>
    <n v="3"/>
    <s v="RTG"/>
    <x v="0"/>
    <n v="1"/>
    <x v="86"/>
    <s v="TopQuartile"/>
    <n v="1"/>
    <x v="0"/>
    <s v="Y60"/>
    <x v="3"/>
    <n v="320"/>
    <x v="5"/>
  </r>
  <r>
    <x v="4"/>
    <n v="3"/>
    <s v="RAE"/>
    <x v="0"/>
    <n v="1"/>
    <x v="85"/>
    <s v="TopQuartile"/>
    <n v="1"/>
    <x v="0"/>
    <s v="Y63"/>
    <x v="2"/>
    <n v="389"/>
    <x v="5"/>
  </r>
  <r>
    <x v="4"/>
    <n v="3"/>
    <s v="RGP"/>
    <x v="0"/>
    <n v="1"/>
    <x v="115"/>
    <s v="TopQuartile"/>
    <n v="1"/>
    <x v="0"/>
    <s v="Y61"/>
    <x v="4"/>
    <n v="177"/>
    <x v="5"/>
  </r>
  <r>
    <x v="4"/>
    <n v="3"/>
    <s v="RBL"/>
    <x v="0"/>
    <n v="1"/>
    <x v="88"/>
    <s v="TopQuartile"/>
    <n v="1"/>
    <x v="0"/>
    <s v="Y62"/>
    <x v="6"/>
    <n v="408"/>
    <x v="5"/>
  </r>
  <r>
    <x v="4"/>
    <n v="3"/>
    <s v="RGT"/>
    <x v="0"/>
    <n v="1"/>
    <x v="87"/>
    <s v="SecondQuartile"/>
    <n v="2"/>
    <x v="2"/>
    <s v="Y61"/>
    <x v="4"/>
    <n v="180"/>
    <x v="5"/>
  </r>
  <r>
    <x v="4"/>
    <n v="3"/>
    <s v="RHM"/>
    <x v="0"/>
    <n v="1"/>
    <x v="91"/>
    <s v="TopQuartile"/>
    <n v="1"/>
    <x v="0"/>
    <s v="Y59"/>
    <x v="0"/>
    <n v="188"/>
    <x v="5"/>
  </r>
  <r>
    <x v="4"/>
    <n v="3"/>
    <s v="RXN"/>
    <x v="0"/>
    <n v="1"/>
    <x v="89"/>
    <s v="TopQuartile"/>
    <n v="1"/>
    <x v="0"/>
    <s v="Y62"/>
    <x v="6"/>
    <n v="438"/>
    <x v="5"/>
  </r>
  <r>
    <x v="4"/>
    <n v="3"/>
    <s v="RF4"/>
    <x v="0"/>
    <n v="1"/>
    <x v="93"/>
    <s v="SecondQuartile"/>
    <n v="2"/>
    <x v="2"/>
    <s v="Y56"/>
    <x v="1"/>
    <n v="162"/>
    <x v="5"/>
  </r>
  <r>
    <x v="4"/>
    <n v="3"/>
    <s v="RJC"/>
    <x v="1"/>
    <n v="2"/>
    <x v="94"/>
    <s v="SecondQuartile"/>
    <n v="2"/>
    <x v="0"/>
    <s v="Y60"/>
    <x v="3"/>
    <n v="203"/>
    <x v="5"/>
  </r>
  <r>
    <x v="4"/>
    <n v="3"/>
    <s v="RHQ"/>
    <x v="1"/>
    <n v="2"/>
    <x v="96"/>
    <s v="SecondQuartile"/>
    <n v="2"/>
    <x v="0"/>
    <s v="Y63"/>
    <x v="2"/>
    <n v="190"/>
    <x v="5"/>
  </r>
  <r>
    <x v="4"/>
    <n v="3"/>
    <s v="RM3"/>
    <x v="1"/>
    <n v="2"/>
    <x v="92"/>
    <s v="SecondQuartile"/>
    <n v="2"/>
    <x v="0"/>
    <s v="Y62"/>
    <x v="6"/>
    <n v="236"/>
    <x v="5"/>
  </r>
  <r>
    <x v="4"/>
    <n v="3"/>
    <s v="RTX"/>
    <x v="1"/>
    <n v="2"/>
    <x v="97"/>
    <s v="SecondQuartile"/>
    <n v="2"/>
    <x v="0"/>
    <s v="Y62"/>
    <x v="6"/>
    <n v="331"/>
    <x v="5"/>
  </r>
  <r>
    <x v="4"/>
    <n v="3"/>
    <s v="RTD"/>
    <x v="1"/>
    <n v="2"/>
    <x v="90"/>
    <s v="SecondQuartile"/>
    <n v="2"/>
    <x v="0"/>
    <s v="Y63"/>
    <x v="2"/>
    <n v="317"/>
    <x v="5"/>
  </r>
  <r>
    <x v="4"/>
    <n v="3"/>
    <s v="RQX"/>
    <x v="1"/>
    <n v="2"/>
    <x v="99"/>
    <s v="SecondQuartile"/>
    <n v="2"/>
    <x v="0"/>
    <s v="Y56"/>
    <x v="1"/>
    <n v="293"/>
    <x v="5"/>
  </r>
  <r>
    <x v="4"/>
    <n v="3"/>
    <s v="RBN"/>
    <x v="1"/>
    <n v="2"/>
    <x v="95"/>
    <s v="SecondQuartile"/>
    <n v="2"/>
    <x v="0"/>
    <s v="Y62"/>
    <x v="6"/>
    <n v="96"/>
    <x v="5"/>
  </r>
  <r>
    <x v="4"/>
    <n v="3"/>
    <s v="RBN"/>
    <x v="1"/>
    <n v="2"/>
    <x v="95"/>
    <s v="SecondQuartile"/>
    <n v="2"/>
    <x v="0"/>
    <s v="Y62"/>
    <x v="6"/>
    <n v="409"/>
    <x v="5"/>
  </r>
  <r>
    <x v="4"/>
    <n v="3"/>
    <s v="RYR"/>
    <x v="1"/>
    <n v="2"/>
    <x v="98"/>
    <s v="SecondQuartile"/>
    <n v="2"/>
    <x v="0"/>
    <s v="Y59"/>
    <x v="0"/>
    <n v="279"/>
    <x v="5"/>
  </r>
  <r>
    <x v="4"/>
    <n v="3"/>
    <s v="RWE"/>
    <x v="1"/>
    <n v="2"/>
    <x v="106"/>
    <s v="SecondQuartile"/>
    <n v="2"/>
    <x v="0"/>
    <s v="Y60"/>
    <x v="3"/>
    <n v="358"/>
    <x v="5"/>
  </r>
  <r>
    <x v="4"/>
    <n v="3"/>
    <s v="RAL"/>
    <x v="1"/>
    <n v="2"/>
    <x v="100"/>
    <s v="SecondQuartile"/>
    <n v="2"/>
    <x v="0"/>
    <s v="Y56"/>
    <x v="1"/>
    <n v="391"/>
    <x v="5"/>
  </r>
  <r>
    <x v="4"/>
    <n v="3"/>
    <s v="RWA"/>
    <x v="1"/>
    <n v="2"/>
    <x v="103"/>
    <s v="ThirdQuartile"/>
    <n v="3"/>
    <x v="2"/>
    <s v="Y63"/>
    <x v="2"/>
    <n v="356"/>
    <x v="5"/>
  </r>
  <r>
    <x v="4"/>
    <n v="3"/>
    <s v="RVV"/>
    <x v="1"/>
    <n v="2"/>
    <x v="102"/>
    <s v="ThirdQuartile"/>
    <n v="3"/>
    <x v="2"/>
    <s v="Y59"/>
    <x v="0"/>
    <n v="344"/>
    <x v="5"/>
  </r>
  <r>
    <x v="4"/>
    <n v="3"/>
    <s v="RTR"/>
    <x v="2"/>
    <n v="3"/>
    <x v="113"/>
    <s v="SecondQuartile"/>
    <n v="2"/>
    <x v="1"/>
    <s v="Y63"/>
    <x v="2"/>
    <n v="328"/>
    <x v="5"/>
  </r>
  <r>
    <x v="4"/>
    <n v="3"/>
    <s v="RKB"/>
    <x v="2"/>
    <n v="3"/>
    <x v="105"/>
    <s v="ThirdQuartile"/>
    <n v="3"/>
    <x v="0"/>
    <s v="Y60"/>
    <x v="3"/>
    <n v="218"/>
    <x v="5"/>
  </r>
  <r>
    <x v="4"/>
    <n v="3"/>
    <s v="RVR"/>
    <x v="2"/>
    <n v="3"/>
    <x v="108"/>
    <s v="ThirdQuartile"/>
    <n v="3"/>
    <x v="0"/>
    <s v="Y56"/>
    <x v="1"/>
    <n v="343"/>
    <x v="5"/>
  </r>
  <r>
    <x v="4"/>
    <n v="3"/>
    <s v="R1H"/>
    <x v="2"/>
    <n v="3"/>
    <x v="110"/>
    <s v="ThirdQuartile"/>
    <n v="3"/>
    <x v="0"/>
    <s v="Y56"/>
    <x v="1"/>
    <n v="259"/>
    <x v="5"/>
  </r>
  <r>
    <x v="4"/>
    <n v="3"/>
    <s v="RJ7"/>
    <x v="2"/>
    <n v="3"/>
    <x v="109"/>
    <s v="ThirdQuartile"/>
    <n v="3"/>
    <x v="0"/>
    <s v="Y56"/>
    <x v="1"/>
    <n v="200"/>
    <x v="5"/>
  </r>
  <r>
    <x v="4"/>
    <n v="3"/>
    <s v="RWG"/>
    <x v="2"/>
    <n v="3"/>
    <x v="116"/>
    <s v="ThirdQuartile"/>
    <n v="3"/>
    <x v="0"/>
    <s v="Y61"/>
    <x v="4"/>
    <n v="360"/>
    <x v="5"/>
  </r>
  <r>
    <x v="4"/>
    <n v="3"/>
    <s v="RWW"/>
    <x v="2"/>
    <n v="3"/>
    <x v="114"/>
    <s v="SecondQuartile"/>
    <n v="2"/>
    <x v="1"/>
    <s v="Y62"/>
    <x v="6"/>
    <n v="370"/>
    <x v="5"/>
  </r>
  <r>
    <x v="4"/>
    <n v="3"/>
    <s v="RD8"/>
    <x v="2"/>
    <n v="3"/>
    <x v="107"/>
    <s v="ThirdQuartile"/>
    <n v="3"/>
    <x v="0"/>
    <s v="Y61"/>
    <x v="4"/>
    <n v="430"/>
    <x v="5"/>
  </r>
  <r>
    <x v="4"/>
    <n v="3"/>
    <s v="RAP"/>
    <x v="2"/>
    <n v="3"/>
    <x v="111"/>
    <s v="ThirdQuartile"/>
    <n v="3"/>
    <x v="0"/>
    <s v="Y56"/>
    <x v="1"/>
    <n v="393"/>
    <x v="5"/>
  </r>
  <r>
    <x v="4"/>
    <n v="3"/>
    <s v="RRV"/>
    <x v="2"/>
    <n v="3"/>
    <x v="104"/>
    <s v="ThirdQuartile"/>
    <n v="3"/>
    <x v="0"/>
    <s v="Y56"/>
    <x v="1"/>
    <n v="309"/>
    <x v="5"/>
  </r>
  <r>
    <x v="4"/>
    <n v="3"/>
    <s v="RR8"/>
    <x v="2"/>
    <n v="3"/>
    <x v="118"/>
    <s v="ThirdQuartile"/>
    <n v="3"/>
    <x v="0"/>
    <s v="Y63"/>
    <x v="2"/>
    <n v="298"/>
    <x v="5"/>
  </r>
  <r>
    <x v="4"/>
    <n v="3"/>
    <s v="RK9"/>
    <x v="2"/>
    <n v="3"/>
    <x v="120"/>
    <s v="ThirdQuartile"/>
    <n v="3"/>
    <x v="0"/>
    <s v="Y58"/>
    <x v="5"/>
    <n v="216"/>
    <x v="5"/>
  </r>
  <r>
    <x v="4"/>
    <n v="3"/>
    <s v="RXL"/>
    <x v="2"/>
    <n v="3"/>
    <x v="119"/>
    <s v="ThirdQuartile"/>
    <n v="3"/>
    <x v="0"/>
    <s v="Y62"/>
    <x v="6"/>
    <n v="382"/>
    <x v="5"/>
  </r>
  <r>
    <x v="4"/>
    <n v="3"/>
    <s v="RXF"/>
    <x v="2"/>
    <n v="3"/>
    <x v="112"/>
    <s v="ThirdQuartile"/>
    <n v="3"/>
    <x v="0"/>
    <s v="Y63"/>
    <x v="2"/>
    <n v="377"/>
    <x v="5"/>
  </r>
  <r>
    <x v="4"/>
    <n v="3"/>
    <s v="R1K"/>
    <x v="2"/>
    <n v="3"/>
    <x v="121"/>
    <s v="FourthQuartile"/>
    <n v="4"/>
    <x v="2"/>
    <s v="Y56"/>
    <x v="1"/>
    <n v="337"/>
    <x v="5"/>
  </r>
  <r>
    <x v="4"/>
    <n v="3"/>
    <s v="REM"/>
    <x v="2"/>
    <n v="3"/>
    <x v="122"/>
    <s v="ThirdQuartile"/>
    <n v="3"/>
    <x v="0"/>
    <s v="Y62"/>
    <x v="6"/>
    <n v="287"/>
    <x v="5"/>
  </r>
  <r>
    <x v="4"/>
    <n v="3"/>
    <s v="RJZ"/>
    <x v="2"/>
    <n v="3"/>
    <x v="117"/>
    <s v="FourthQuartile"/>
    <n v="4"/>
    <x v="2"/>
    <s v="Y56"/>
    <x v="1"/>
    <n v="213"/>
    <x v="5"/>
  </r>
  <r>
    <x v="4"/>
    <n v="3"/>
    <s v="R0A"/>
    <x v="2"/>
    <n v="3"/>
    <x v="123"/>
    <s v="ThirdQuartile"/>
    <n v="3"/>
    <x v="0"/>
    <s v="Y62"/>
    <x v="6"/>
    <n v="349"/>
    <x v="5"/>
  </r>
  <r>
    <x v="4"/>
    <n v="3"/>
    <s v="RJ1"/>
    <x v="3"/>
    <n v="4"/>
    <x v="124"/>
    <s v="FourthQuartile"/>
    <n v="4"/>
    <x v="0"/>
    <s v="Y56"/>
    <x v="1"/>
    <n v="196"/>
    <x v="5"/>
  </r>
  <r>
    <x v="4"/>
    <n v="3"/>
    <s v="RP5"/>
    <x v="3"/>
    <n v="4"/>
    <x v="101"/>
    <s v="FourthQuartile"/>
    <n v="4"/>
    <x v="0"/>
    <s v="Y63"/>
    <x v="2"/>
    <n v="272"/>
    <x v="5"/>
  </r>
  <r>
    <x v="4"/>
    <n v="3"/>
    <s v="RTH"/>
    <x v="3"/>
    <n v="4"/>
    <x v="125"/>
    <s v="FourthQuartile"/>
    <n v="4"/>
    <x v="0"/>
    <s v="Y59"/>
    <x v="0"/>
    <n v="321"/>
    <x v="5"/>
  </r>
  <r>
    <x v="4"/>
    <n v="3"/>
    <s v="RRK"/>
    <x v="3"/>
    <n v="4"/>
    <x v="126"/>
    <s v="FourthQuartile"/>
    <n v="4"/>
    <x v="0"/>
    <s v="Y60"/>
    <x v="3"/>
    <n v="304"/>
    <x v="5"/>
  </r>
  <r>
    <x v="4"/>
    <n v="3"/>
    <s v="RA7"/>
    <x v="3"/>
    <n v="4"/>
    <x v="127"/>
    <s v="FourthQuartile"/>
    <n v="4"/>
    <x v="0"/>
    <s v="Y58"/>
    <x v="5"/>
    <n v="387"/>
    <x v="5"/>
  </r>
  <r>
    <x v="4"/>
    <n v="3"/>
    <s v="RJE"/>
    <x v="3"/>
    <n v="4"/>
    <x v="129"/>
    <s v="FourthQuartile"/>
    <n v="4"/>
    <x v="0"/>
    <s v="Y60"/>
    <x v="3"/>
    <n v="205"/>
    <x v="5"/>
  </r>
  <r>
    <x v="4"/>
    <n v="3"/>
    <s v="RCB"/>
    <x v="3"/>
    <n v="4"/>
    <x v="128"/>
    <s v="FourthQuartile"/>
    <n v="4"/>
    <x v="0"/>
    <s v="Y63"/>
    <x v="2"/>
    <n v="419"/>
    <x v="5"/>
  </r>
  <r>
    <x v="4"/>
    <n v="3"/>
    <s v="RYJ"/>
    <x v="3"/>
    <n v="4"/>
    <x v="130"/>
    <s v="FourthQuartile"/>
    <n v="4"/>
    <x v="0"/>
    <s v="Y56"/>
    <x v="1"/>
    <n v="290"/>
    <x v="5"/>
  </r>
  <r>
    <x v="4"/>
    <n v="3"/>
    <s v="RQM"/>
    <x v="3"/>
    <n v="4"/>
    <x v="131"/>
    <s v="FourthQuartile"/>
    <n v="4"/>
    <x v="0"/>
    <s v="Y56"/>
    <x v="1"/>
    <n v="289"/>
    <x v="5"/>
  </r>
  <r>
    <x v="4"/>
    <n v="3"/>
    <s v="R0D"/>
    <x v="3"/>
    <n v="4"/>
    <x v="132"/>
    <s v="FourthQuartile"/>
    <n v="4"/>
    <x v="0"/>
    <s v="Y58"/>
    <x v="5"/>
    <n v="153"/>
    <x v="5"/>
  </r>
  <r>
    <x v="4"/>
    <n v="3"/>
    <s v="RX1"/>
    <x v="3"/>
    <n v="4"/>
    <x v="133"/>
    <s v="FourthQuartile"/>
    <n v="4"/>
    <x v="0"/>
    <s v="Y60"/>
    <x v="3"/>
    <n v="164"/>
    <x v="5"/>
  </r>
  <r>
    <x v="4"/>
    <n v="3"/>
    <s v="RM1"/>
    <x v="3"/>
    <n v="4"/>
    <x v="134"/>
    <s v="FourthQuartile"/>
    <n v="4"/>
    <x v="0"/>
    <s v="Y61"/>
    <x v="4"/>
    <n v="234"/>
    <x v="5"/>
  </r>
  <r>
    <x v="4"/>
    <n v="3"/>
    <s v="RYA"/>
    <x v="1"/>
    <n v="2"/>
    <x v="136"/>
    <s v="SecondQuartile"/>
    <n v="2"/>
    <x v="0"/>
    <s v="Y60"/>
    <x v="3"/>
    <n v="217"/>
    <x v="6"/>
  </r>
  <r>
    <x v="4"/>
    <n v="3"/>
    <s v="RYD"/>
    <x v="2"/>
    <n v="3"/>
    <x v="135"/>
    <s v="ThirdQuartile"/>
    <n v="3"/>
    <x v="0"/>
    <s v="Y59"/>
    <x v="0"/>
    <n v="278"/>
    <x v="6"/>
  </r>
  <r>
    <x v="4"/>
    <n v="3"/>
    <s v="RYE"/>
    <x v="2"/>
    <n v="3"/>
    <x v="137"/>
    <s v="ThirdQuartile"/>
    <n v="3"/>
    <x v="0"/>
    <s v="Y59"/>
    <x v="0"/>
    <n v="195"/>
    <x v="6"/>
  </r>
  <r>
    <x v="4"/>
    <n v="3"/>
    <s v="RX6"/>
    <x v="3"/>
    <n v="4"/>
    <x v="138"/>
    <s v="ThirdQuartile"/>
    <n v="3"/>
    <x v="1"/>
    <s v="Y63"/>
    <x v="2"/>
    <n v="340"/>
    <x v="6"/>
  </r>
  <r>
    <x v="4"/>
    <n v="3"/>
    <s v="RX8"/>
    <x v="3"/>
    <n v="4"/>
    <x v="139"/>
    <s v="FourthQuartile"/>
    <n v="4"/>
    <x v="0"/>
    <s v="Y63"/>
    <x v="2"/>
    <n v="174"/>
    <x v="6"/>
  </r>
  <r>
    <x v="4"/>
    <n v="3"/>
    <s v="RYC"/>
    <x v="3"/>
    <n v="4"/>
    <x v="140"/>
    <s v="FourthQuartile"/>
    <n v="4"/>
    <x v="0"/>
    <s v="Y61"/>
    <x v="4"/>
    <n v="247"/>
    <x v="6"/>
  </r>
  <r>
    <x v="4"/>
    <n v="3"/>
    <s v="RYF"/>
    <x v="3"/>
    <n v="4"/>
    <x v="143"/>
    <s v="FourthQuartile"/>
    <n v="4"/>
    <x v="0"/>
    <s v="Y58"/>
    <x v="5"/>
    <n v="202"/>
    <x v="6"/>
  </r>
  <r>
    <x v="4"/>
    <n v="3"/>
    <s v="RX7"/>
    <x v="3"/>
    <n v="4"/>
    <x v="142"/>
    <s v="ThirdQuartile"/>
    <n v="3"/>
    <x v="1"/>
    <s v="Y62"/>
    <x v="6"/>
    <n v="242"/>
    <x v="6"/>
  </r>
  <r>
    <x v="4"/>
    <n v="3"/>
    <s v="RRU"/>
    <x v="3"/>
    <n v="4"/>
    <x v="141"/>
    <s v="FourthQuartile"/>
    <n v="4"/>
    <x v="0"/>
    <s v="Y56"/>
    <x v="1"/>
    <n v="308"/>
    <x v="6"/>
  </r>
  <r>
    <x v="4"/>
    <n v="3"/>
    <s v="RX9"/>
    <x v="3"/>
    <n v="4"/>
    <x v="144"/>
    <s v="FourthQuartile"/>
    <n v="4"/>
    <x v="0"/>
    <s v="Y60"/>
    <x v="3"/>
    <n v="335"/>
    <x v="6"/>
  </r>
  <r>
    <x v="4"/>
    <n v="3"/>
    <s v="TAD"/>
    <x v="1"/>
    <n v="2"/>
    <x v="145"/>
    <s v="SecondQuartile"/>
    <n v="2"/>
    <x v="0"/>
    <s v="Y63"/>
    <x v="2"/>
    <n v="453"/>
    <x v="7"/>
  </r>
  <r>
    <x v="4"/>
    <n v="3"/>
    <s v="TAH"/>
    <x v="1"/>
    <n v="2"/>
    <x v="146"/>
    <s v="SecondQuartile"/>
    <n v="2"/>
    <x v="0"/>
    <s v="Y63"/>
    <x v="2"/>
    <n v="457"/>
    <x v="7"/>
  </r>
  <r>
    <x v="4"/>
    <n v="3"/>
    <s v="TAF"/>
    <x v="3"/>
    <n v="4"/>
    <x v="147"/>
    <s v="FourthQuartile"/>
    <n v="4"/>
    <x v="0"/>
    <s v="Y56"/>
    <x v="1"/>
    <n v="455"/>
    <x v="7"/>
  </r>
  <r>
    <x v="4"/>
    <n v="3"/>
    <s v="0DF"/>
    <x v="0"/>
    <n v="1"/>
    <x v="149"/>
    <s v="TopQuartile"/>
    <n v="1"/>
    <x v="0"/>
    <s v="QZZ"/>
    <x v="7"/>
    <n v="891"/>
    <x v="8"/>
  </r>
  <r>
    <x v="4"/>
    <n v="3"/>
    <s v="0CX"/>
    <x v="0"/>
    <n v="1"/>
    <x v="150"/>
    <s v="TopQuartile"/>
    <n v="1"/>
    <x v="0"/>
    <s v="QZZ"/>
    <x v="7"/>
    <n v="877"/>
    <x v="8"/>
  </r>
  <r>
    <x v="4"/>
    <n v="3"/>
    <s v="0DE"/>
    <x v="1"/>
    <n v="2"/>
    <x v="151"/>
    <s v="SecondQuartile"/>
    <n v="2"/>
    <x v="0"/>
    <s v="QZZ"/>
    <x v="7"/>
    <n v="880"/>
    <x v="8"/>
  </r>
  <r>
    <x v="4"/>
    <n v="3"/>
    <s v="0AR"/>
    <x v="3"/>
    <n v="4"/>
    <x v="148"/>
    <s v="FourthQuartile"/>
    <n v="4"/>
    <x v="0"/>
    <s v="QZZ"/>
    <x v="7"/>
    <n v="869"/>
    <x v="8"/>
  </r>
  <r>
    <x v="4"/>
    <n v="3"/>
    <s v="R1C"/>
    <x v="0"/>
    <n v="1"/>
    <x v="152"/>
    <s v="TopQuartile"/>
    <n v="1"/>
    <x v="0"/>
    <s v="Y59"/>
    <x v="0"/>
    <n v="449"/>
    <x v="9"/>
  </r>
  <r>
    <x v="4"/>
    <n v="3"/>
    <s v="NQ7"/>
    <x v="0"/>
    <n v="1"/>
    <x v="153"/>
    <s v="TopQuartile"/>
    <n v="1"/>
    <x v="0"/>
    <s v="Y59"/>
    <x v="0"/>
    <n v="813"/>
    <x v="9"/>
  </r>
  <r>
    <x v="4"/>
    <n v="3"/>
    <s v="R1D"/>
    <x v="0"/>
    <n v="1"/>
    <x v="160"/>
    <s v="TopQuartile"/>
    <n v="1"/>
    <x v="0"/>
    <s v="Y60"/>
    <x v="3"/>
    <n v="825"/>
    <x v="9"/>
  </r>
  <r>
    <x v="4"/>
    <n v="3"/>
    <s v="RYY"/>
    <x v="0"/>
    <n v="1"/>
    <x v="154"/>
    <s v="TopQuartile"/>
    <n v="1"/>
    <x v="0"/>
    <s v="Y59"/>
    <x v="0"/>
    <n v="846"/>
    <x v="9"/>
  </r>
  <r>
    <x v="4"/>
    <n v="3"/>
    <s v="NQA"/>
    <x v="0"/>
    <n v="1"/>
    <x v="161"/>
    <s v="TopQuartile"/>
    <n v="1"/>
    <x v="0"/>
    <s v="Y61"/>
    <x v="4"/>
    <n v="828"/>
    <x v="9"/>
  </r>
  <r>
    <x v="4"/>
    <n v="3"/>
    <s v="8J318"/>
    <x v="0"/>
    <n v="1"/>
    <x v="157"/>
    <s v="TopQuartile"/>
    <n v="1"/>
    <x v="0"/>
    <s v="Y63"/>
    <x v="2"/>
    <n v="98"/>
    <x v="9"/>
  </r>
  <r>
    <x v="4"/>
    <n v="3"/>
    <s v="RY5"/>
    <x v="1"/>
    <n v="2"/>
    <x v="156"/>
    <s v="SecondQuartile"/>
    <n v="2"/>
    <x v="0"/>
    <s v="Y60"/>
    <x v="3"/>
    <n v="818"/>
    <x v="9"/>
  </r>
  <r>
    <x v="4"/>
    <n v="3"/>
    <s v="RDR"/>
    <x v="1"/>
    <n v="2"/>
    <x v="158"/>
    <s v="SecondQuartile"/>
    <n v="2"/>
    <x v="0"/>
    <s v="Y59"/>
    <x v="0"/>
    <n v="150"/>
    <x v="9"/>
  </r>
  <r>
    <x v="4"/>
    <n v="3"/>
    <s v="NNV"/>
    <x v="1"/>
    <n v="2"/>
    <x v="165"/>
    <s v="SecondQuartile"/>
    <n v="2"/>
    <x v="0"/>
    <s v="Y56"/>
    <x v="1"/>
    <n v="811"/>
    <x v="9"/>
  </r>
  <r>
    <x v="4"/>
    <n v="3"/>
    <s v="NL3"/>
    <x v="1"/>
    <n v="2"/>
    <x v="164"/>
    <s v="SecondQuartile"/>
    <n v="2"/>
    <x v="0"/>
    <s v="Y63"/>
    <x v="2"/>
    <n v="814"/>
    <x v="9"/>
  </r>
  <r>
    <x v="4"/>
    <n v="3"/>
    <s v="RY7"/>
    <x v="1"/>
    <n v="2"/>
    <x v="159"/>
    <s v="SecondQuartile"/>
    <n v="2"/>
    <x v="0"/>
    <s v="Y62"/>
    <x v="6"/>
    <n v="844"/>
    <x v="9"/>
  </r>
  <r>
    <x v="4"/>
    <n v="3"/>
    <s v="NQL"/>
    <x v="1"/>
    <n v="2"/>
    <x v="166"/>
    <s v="SecondQuartile"/>
    <n v="2"/>
    <x v="0"/>
    <s v="Y63"/>
    <x v="2"/>
    <n v="816"/>
    <x v="9"/>
  </r>
  <r>
    <x v="4"/>
    <n v="3"/>
    <s v="NAX"/>
    <x v="1"/>
    <n v="2"/>
    <x v="163"/>
    <s v="SecondQuartile"/>
    <n v="2"/>
    <x v="0"/>
    <s v="Y61"/>
    <x v="4"/>
    <n v="849"/>
    <x v="9"/>
  </r>
  <r>
    <x v="4"/>
    <n v="3"/>
    <s v="RY9"/>
    <x v="1"/>
    <n v="2"/>
    <x v="168"/>
    <s v="SecondQuartile"/>
    <n v="2"/>
    <x v="0"/>
    <s v="Y56"/>
    <x v="1"/>
    <n v="779"/>
    <x v="9"/>
  </r>
  <r>
    <x v="4"/>
    <n v="3"/>
    <s v="AXG"/>
    <x v="1"/>
    <n v="2"/>
    <x v="155"/>
    <s v="TopQuartile"/>
    <n v="1"/>
    <x v="1"/>
    <s v="Y58"/>
    <x v="5"/>
    <n v="85"/>
    <x v="9"/>
  </r>
  <r>
    <x v="4"/>
    <n v="3"/>
    <s v="R1A"/>
    <x v="1"/>
    <n v="2"/>
    <x v="170"/>
    <s v="SecondQuartile"/>
    <n v="2"/>
    <x v="0"/>
    <s v="Y60"/>
    <x v="3"/>
    <n v="798"/>
    <x v="9"/>
  </r>
  <r>
    <x v="4"/>
    <n v="3"/>
    <s v="NNF"/>
    <x v="2"/>
    <n v="3"/>
    <x v="173"/>
    <s v="ThirdQuartile"/>
    <n v="3"/>
    <x v="0"/>
    <s v="Y63"/>
    <x v="2"/>
    <n v="810"/>
    <x v="9"/>
  </r>
  <r>
    <x v="4"/>
    <n v="3"/>
    <s v="RYV"/>
    <x v="2"/>
    <n v="3"/>
    <x v="171"/>
    <s v="ThirdQuartile"/>
    <n v="3"/>
    <x v="0"/>
    <s v="Y61"/>
    <x v="4"/>
    <n v="448"/>
    <x v="9"/>
  </r>
  <r>
    <x v="4"/>
    <n v="3"/>
    <s v="RY8"/>
    <x v="2"/>
    <n v="3"/>
    <x v="172"/>
    <s v="ThirdQuartile"/>
    <n v="3"/>
    <x v="0"/>
    <s v="Y60"/>
    <x v="3"/>
    <n v="842"/>
    <x v="9"/>
  </r>
  <r>
    <x v="4"/>
    <n v="3"/>
    <s v="RY3"/>
    <x v="2"/>
    <n v="3"/>
    <x v="169"/>
    <s v="ThirdQuartile"/>
    <n v="3"/>
    <x v="0"/>
    <s v="Y61"/>
    <x v="4"/>
    <n v="839"/>
    <x v="9"/>
  </r>
  <r>
    <x v="4"/>
    <n v="3"/>
    <s v="RY4"/>
    <x v="2"/>
    <n v="3"/>
    <x v="167"/>
    <s v="ThirdQuartile"/>
    <n v="3"/>
    <x v="0"/>
    <s v="Y61"/>
    <x v="4"/>
    <n v="812"/>
    <x v="9"/>
  </r>
  <r>
    <x v="4"/>
    <n v="3"/>
    <s v="RY2"/>
    <x v="2"/>
    <n v="3"/>
    <x v="174"/>
    <s v="ThirdQuartile"/>
    <n v="3"/>
    <x v="0"/>
    <s v="Y62"/>
    <x v="6"/>
    <n v="835"/>
    <x v="9"/>
  </r>
  <r>
    <x v="4"/>
    <n v="3"/>
    <s v="NR3"/>
    <x v="2"/>
    <n v="3"/>
    <x v="175"/>
    <s v="ThirdQuartile"/>
    <n v="3"/>
    <x v="0"/>
    <s v="Y60"/>
    <x v="3"/>
    <n v="826"/>
    <x v="9"/>
  </r>
  <r>
    <x v="4"/>
    <n v="3"/>
    <s v="NL1"/>
    <x v="2"/>
    <n v="3"/>
    <x v="162"/>
    <s v="ThirdQuartile"/>
    <n v="3"/>
    <x v="0"/>
    <s v="Y63"/>
    <x v="2"/>
    <n v="847"/>
    <x v="9"/>
  </r>
  <r>
    <x v="4"/>
    <n v="3"/>
    <s v="NL8"/>
    <x v="2"/>
    <n v="3"/>
    <x v="177"/>
    <s v="ThirdQuartile"/>
    <n v="3"/>
    <x v="0"/>
    <s v="Y63"/>
    <x v="2"/>
    <n v="845"/>
    <x v="9"/>
  </r>
  <r>
    <x v="4"/>
    <n v="3"/>
    <s v="RYW"/>
    <x v="2"/>
    <n v="3"/>
    <x v="176"/>
    <s v="ThirdQuartile"/>
    <n v="3"/>
    <x v="0"/>
    <s v="Y60"/>
    <x v="3"/>
    <n v="820"/>
    <x v="9"/>
  </r>
  <r>
    <x v="4"/>
    <n v="3"/>
    <s v="NQV"/>
    <x v="2"/>
    <n v="3"/>
    <x v="178"/>
    <s v="ThirdQuartile"/>
    <n v="3"/>
    <x v="0"/>
    <s v="Y56"/>
    <x v="1"/>
    <n v="848"/>
    <x v="9"/>
  </r>
  <r>
    <x v="4"/>
    <n v="3"/>
    <s v="RY6"/>
    <x v="3"/>
    <n v="4"/>
    <x v="180"/>
    <s v="FourthQuartile"/>
    <n v="4"/>
    <x v="0"/>
    <s v="Y63"/>
    <x v="2"/>
    <n v="833"/>
    <x v="9"/>
  </r>
  <r>
    <x v="4"/>
    <n v="3"/>
    <s v="NDJ"/>
    <x v="3"/>
    <n v="4"/>
    <x v="185"/>
    <s v="FourthQuartile"/>
    <n v="4"/>
    <x v="0"/>
    <s v="Y59"/>
    <x v="0"/>
    <n v="78"/>
    <x v="9"/>
  </r>
  <r>
    <x v="4"/>
    <n v="3"/>
    <s v="RYX"/>
    <x v="3"/>
    <n v="4"/>
    <x v="179"/>
    <s v="FourthQuartile"/>
    <n v="4"/>
    <x v="0"/>
    <s v="Y56"/>
    <x v="1"/>
    <n v="824"/>
    <x v="9"/>
  </r>
  <r>
    <x v="4"/>
    <n v="3"/>
    <s v="NLX"/>
    <x v="3"/>
    <n v="4"/>
    <x v="181"/>
    <s v="FourthQuartile"/>
    <n v="4"/>
    <x v="0"/>
    <s v="Y58"/>
    <x v="5"/>
    <n v="83"/>
    <x v="9"/>
  </r>
  <r>
    <x v="4"/>
    <n v="3"/>
    <s v="NR5"/>
    <x v="3"/>
    <n v="4"/>
    <x v="183"/>
    <s v="FourthQuartile"/>
    <n v="4"/>
    <x v="0"/>
    <s v="Y58"/>
    <x v="5"/>
    <n v="832"/>
    <x v="9"/>
  </r>
  <r>
    <x v="4"/>
    <n v="3"/>
    <s v="RYK"/>
    <x v="3"/>
    <n v="4"/>
    <x v="184"/>
    <s v="FourthQuartile"/>
    <n v="4"/>
    <x v="0"/>
    <s v="Y60"/>
    <x v="3"/>
    <n v="445"/>
    <x v="9"/>
  </r>
  <r>
    <x v="4"/>
    <n v="3"/>
    <s v="NTV"/>
    <x v="3"/>
    <n v="4"/>
    <x v="182"/>
    <s v="FourthQuartile"/>
    <n v="4"/>
    <x v="0"/>
    <s v="Y59"/>
    <x v="0"/>
    <n v="74"/>
    <x v="9"/>
  </r>
  <r>
    <x v="4"/>
    <n v="3"/>
    <s v="NRR"/>
    <x v="3"/>
    <n v="4"/>
    <x v="186"/>
    <s v="FourthQuartile"/>
    <n v="4"/>
    <x v="0"/>
    <s v="Y61"/>
    <x v="4"/>
    <n v="829"/>
    <x v="9"/>
  </r>
  <r>
    <x v="4"/>
    <n v="3"/>
    <s v="QNC"/>
    <x v="0"/>
    <n v="1"/>
    <x v="196"/>
    <s v="TopQuartile"/>
    <n v="1"/>
    <x v="0"/>
    <s v="Y60"/>
    <x v="3"/>
    <n v="66"/>
    <x v="10"/>
  </r>
  <r>
    <x v="4"/>
    <n v="3"/>
    <s v="QUY"/>
    <x v="0"/>
    <n v="1"/>
    <x v="189"/>
    <s v="TopQuartile"/>
    <n v="1"/>
    <x v="0"/>
    <s v="Y58"/>
    <x v="5"/>
    <n v="461"/>
    <x v="10"/>
  </r>
  <r>
    <x v="4"/>
    <n v="3"/>
    <s v="QNX"/>
    <x v="0"/>
    <n v="1"/>
    <x v="187"/>
    <s v="TopQuartile"/>
    <n v="1"/>
    <x v="0"/>
    <s v="Y59"/>
    <x v="0"/>
    <n v="146"/>
    <x v="10"/>
  </r>
  <r>
    <x v="4"/>
    <n v="3"/>
    <s v="QOX"/>
    <x v="0"/>
    <n v="1"/>
    <x v="193"/>
    <s v="TopQuartile"/>
    <n v="1"/>
    <x v="0"/>
    <s v="Y58"/>
    <x v="5"/>
    <n v="983"/>
    <x v="10"/>
  </r>
  <r>
    <x v="4"/>
    <n v="3"/>
    <s v="QYG"/>
    <x v="0"/>
    <n v="1"/>
    <x v="191"/>
    <s v="TopQuartile"/>
    <n v="1"/>
    <x v="0"/>
    <s v="Y62"/>
    <x v="6"/>
    <n v="493"/>
    <x v="10"/>
  </r>
  <r>
    <x v="4"/>
    <n v="3"/>
    <s v="QGH"/>
    <x v="0"/>
    <n v="1"/>
    <x v="190"/>
    <s v="TopQuartile"/>
    <n v="1"/>
    <x v="0"/>
    <s v="Y60"/>
    <x v="3"/>
    <n v="106"/>
    <x v="10"/>
  </r>
  <r>
    <x v="4"/>
    <n v="3"/>
    <s v="QU9"/>
    <x v="0"/>
    <n v="1"/>
    <x v="192"/>
    <s v="TopQuartile"/>
    <n v="1"/>
    <x v="0"/>
    <s v="Y59"/>
    <x v="0"/>
    <n v="482"/>
    <x v="10"/>
  </r>
  <r>
    <x v="4"/>
    <n v="3"/>
    <s v="QPM"/>
    <x v="0"/>
    <n v="1"/>
    <x v="195"/>
    <s v="TopQuartile"/>
    <n v="1"/>
    <x v="0"/>
    <s v="Y60"/>
    <x v="3"/>
    <n v="86"/>
    <x v="10"/>
  </r>
  <r>
    <x v="4"/>
    <n v="3"/>
    <s v="QJM"/>
    <x v="0"/>
    <n v="1"/>
    <x v="199"/>
    <s v="TopQuartile"/>
    <n v="1"/>
    <x v="0"/>
    <s v="Y60"/>
    <x v="3"/>
    <n v="116"/>
    <x v="10"/>
  </r>
  <r>
    <x v="4"/>
    <n v="3"/>
    <s v="QSL"/>
    <x v="0"/>
    <n v="1"/>
    <x v="197"/>
    <s v="TopQuartile"/>
    <n v="1"/>
    <x v="0"/>
    <s v="Y58"/>
    <x v="5"/>
    <n v="462"/>
    <x v="10"/>
  </r>
  <r>
    <x v="4"/>
    <n v="3"/>
    <s v="QJK"/>
    <x v="0"/>
    <n v="1"/>
    <x v="198"/>
    <s v="TopQuartile"/>
    <n v="1"/>
    <x v="0"/>
    <s v="Y58"/>
    <x v="5"/>
    <n v="144"/>
    <x v="10"/>
  </r>
  <r>
    <x v="4"/>
    <n v="3"/>
    <s v="QR1"/>
    <x v="0"/>
    <n v="1"/>
    <x v="188"/>
    <s v="TopQuartile"/>
    <n v="1"/>
    <x v="0"/>
    <s v="Y58"/>
    <x v="5"/>
    <n v="843"/>
    <x v="10"/>
  </r>
  <r>
    <x v="4"/>
    <n v="3"/>
    <s v="QRL"/>
    <x v="0"/>
    <n v="1"/>
    <x v="202"/>
    <s v="TopQuartile"/>
    <n v="1"/>
    <x v="0"/>
    <s v="Y59"/>
    <x v="0"/>
    <n v="104"/>
    <x v="10"/>
  </r>
  <r>
    <x v="4"/>
    <n v="3"/>
    <s v="QMM"/>
    <x v="0"/>
    <n v="1"/>
    <x v="209"/>
    <s v="TopQuartile"/>
    <n v="1"/>
    <x v="0"/>
    <s v="Y61"/>
    <x v="4"/>
    <n v="137"/>
    <x v="10"/>
  </r>
  <r>
    <x v="4"/>
    <n v="3"/>
    <s v="QK1"/>
    <x v="1"/>
    <n v="2"/>
    <x v="204"/>
    <s v="TopQuartile"/>
    <n v="1"/>
    <x v="1"/>
    <s v="Y60"/>
    <x v="3"/>
    <n v="994"/>
    <x v="10"/>
  </r>
  <r>
    <x v="4"/>
    <n v="3"/>
    <s v="QHG"/>
    <x v="1"/>
    <n v="2"/>
    <x v="194"/>
    <s v="SecondQuartile"/>
    <n v="2"/>
    <x v="0"/>
    <s v="Y61"/>
    <x v="4"/>
    <n v="465"/>
    <x v="10"/>
  </r>
  <r>
    <x v="4"/>
    <n v="3"/>
    <s v="QWU"/>
    <x v="1"/>
    <n v="2"/>
    <x v="206"/>
    <s v="SecondQuartile"/>
    <n v="2"/>
    <x v="0"/>
    <s v="Y60"/>
    <x v="3"/>
    <n v="105"/>
    <x v="10"/>
  </r>
  <r>
    <x v="4"/>
    <n v="3"/>
    <s v="QKK"/>
    <x v="1"/>
    <n v="2"/>
    <x v="205"/>
    <s v="SecondQuartile"/>
    <n v="2"/>
    <x v="0"/>
    <s v="Y56"/>
    <x v="1"/>
    <n v="487"/>
    <x v="10"/>
  </r>
  <r>
    <x v="4"/>
    <n v="3"/>
    <s v="QNQ"/>
    <x v="1"/>
    <n v="2"/>
    <x v="200"/>
    <s v="SecondQuartile"/>
    <n v="2"/>
    <x v="0"/>
    <s v="Y59"/>
    <x v="0"/>
    <n v="495"/>
    <x v="10"/>
  </r>
  <r>
    <x v="4"/>
    <n v="3"/>
    <s v="QF7"/>
    <x v="1"/>
    <n v="2"/>
    <x v="201"/>
    <s v="SecondQuartile"/>
    <n v="2"/>
    <x v="0"/>
    <s v="Y63"/>
    <x v="2"/>
    <n v="133"/>
    <x v="10"/>
  </r>
  <r>
    <x v="4"/>
    <n v="3"/>
    <s v="QT6"/>
    <x v="1"/>
    <n v="2"/>
    <x v="210"/>
    <s v="SecondQuartile"/>
    <n v="2"/>
    <x v="0"/>
    <s v="Y58"/>
    <x v="5"/>
    <n v="471"/>
    <x v="10"/>
  </r>
  <r>
    <x v="4"/>
    <n v="3"/>
    <s v="QHL"/>
    <x v="1"/>
    <n v="2"/>
    <x v="207"/>
    <s v="SecondQuartile"/>
    <n v="2"/>
    <x v="0"/>
    <s v="Y60"/>
    <x v="3"/>
    <n v="529"/>
    <x v="10"/>
  </r>
  <r>
    <x v="4"/>
    <n v="3"/>
    <s v="QJ2"/>
    <x v="1"/>
    <n v="2"/>
    <x v="211"/>
    <s v="SecondQuartile"/>
    <n v="2"/>
    <x v="0"/>
    <s v="Y60"/>
    <x v="3"/>
    <n v="996"/>
    <x v="10"/>
  </r>
  <r>
    <x v="4"/>
    <n v="3"/>
    <s v="QT1"/>
    <x v="1"/>
    <n v="2"/>
    <x v="208"/>
    <s v="ThirdQuartile"/>
    <n v="3"/>
    <x v="2"/>
    <s v="Y60"/>
    <x v="3"/>
    <n v="111"/>
    <x v="10"/>
  </r>
  <r>
    <x v="4"/>
    <n v="3"/>
    <s v="QOC"/>
    <x v="2"/>
    <n v="3"/>
    <x v="203"/>
    <s v="ThirdQuartile"/>
    <n v="3"/>
    <x v="0"/>
    <s v="Y60"/>
    <x v="3"/>
    <n v="942"/>
    <x v="10"/>
  </r>
  <r>
    <x v="4"/>
    <n v="3"/>
    <s v="QWE"/>
    <x v="2"/>
    <n v="3"/>
    <x v="215"/>
    <s v="ThirdQuartile"/>
    <n v="3"/>
    <x v="0"/>
    <s v="Y56"/>
    <x v="1"/>
    <n v="491"/>
    <x v="10"/>
  </r>
  <r>
    <x v="4"/>
    <n v="3"/>
    <s v="QMJ"/>
    <x v="2"/>
    <n v="3"/>
    <x v="213"/>
    <s v="ThirdQuartile"/>
    <n v="3"/>
    <x v="0"/>
    <s v="Y56"/>
    <x v="1"/>
    <n v="985"/>
    <x v="10"/>
  </r>
  <r>
    <x v="4"/>
    <n v="3"/>
    <s v="QRV"/>
    <x v="2"/>
    <n v="3"/>
    <x v="212"/>
    <s v="ThirdQuartile"/>
    <n v="3"/>
    <x v="0"/>
    <s v="Y56"/>
    <x v="1"/>
    <n v="807"/>
    <x v="10"/>
  </r>
  <r>
    <x v="4"/>
    <n v="3"/>
    <s v="QH8"/>
    <x v="2"/>
    <n v="3"/>
    <x v="221"/>
    <s v="ThirdQuartile"/>
    <n v="3"/>
    <x v="0"/>
    <s v="Y61"/>
    <x v="4"/>
    <n v="708"/>
    <x v="10"/>
  </r>
  <r>
    <x v="4"/>
    <n v="3"/>
    <s v="QMF"/>
    <x v="3"/>
    <n v="4"/>
    <x v="220"/>
    <s v="ThirdQuartile"/>
    <n v="3"/>
    <x v="1"/>
    <s v="Y56"/>
    <x v="1"/>
    <n v="161"/>
    <x v="10"/>
  </r>
  <r>
    <x v="4"/>
    <n v="3"/>
    <s v="QE1"/>
    <x v="3"/>
    <n v="4"/>
    <x v="216"/>
    <s v="FourthQuartile"/>
    <n v="4"/>
    <x v="0"/>
    <s v="Y62"/>
    <x v="6"/>
    <n v="125"/>
    <x v="10"/>
  </r>
  <r>
    <x v="4"/>
    <n v="3"/>
    <s v="QXU"/>
    <x v="3"/>
    <n v="4"/>
    <x v="219"/>
    <s v="FourthQuartile"/>
    <n v="4"/>
    <x v="0"/>
    <s v="Y59"/>
    <x v="0"/>
    <n v="256"/>
    <x v="10"/>
  </r>
  <r>
    <x v="4"/>
    <n v="3"/>
    <s v="QUA"/>
    <x v="3"/>
    <n v="4"/>
    <x v="222"/>
    <s v="FourthQuartile"/>
    <n v="4"/>
    <x v="0"/>
    <s v="Y60"/>
    <x v="3"/>
    <n v="118"/>
    <x v="10"/>
  </r>
  <r>
    <x v="4"/>
    <n v="3"/>
    <s v="QM7"/>
    <x v="3"/>
    <n v="4"/>
    <x v="223"/>
    <s v="FourthQuartile"/>
    <n v="4"/>
    <x v="0"/>
    <s v="Y61"/>
    <x v="4"/>
    <n v="468"/>
    <x v="10"/>
  </r>
  <r>
    <x v="4"/>
    <n v="3"/>
    <s v="QHM"/>
    <x v="3"/>
    <n v="4"/>
    <x v="217"/>
    <s v="FourthQuartile"/>
    <n v="4"/>
    <x v="0"/>
    <s v="Y63"/>
    <x v="2"/>
    <n v="134"/>
    <x v="10"/>
  </r>
  <r>
    <x v="4"/>
    <n v="3"/>
    <s v="QOP"/>
    <x v="3"/>
    <n v="4"/>
    <x v="218"/>
    <s v="FourthQuartile"/>
    <n v="4"/>
    <x v="0"/>
    <s v="Y62"/>
    <x v="6"/>
    <n v="896"/>
    <x v="10"/>
  </r>
  <r>
    <x v="4"/>
    <n v="3"/>
    <s v="QJG"/>
    <x v="3"/>
    <n v="4"/>
    <x v="226"/>
    <s v="FourthQuartile"/>
    <n v="4"/>
    <x v="0"/>
    <s v="Y61"/>
    <x v="4"/>
    <n v="710"/>
    <x v="10"/>
  </r>
  <r>
    <x v="4"/>
    <n v="3"/>
    <s v="QVV"/>
    <x v="3"/>
    <n v="4"/>
    <x v="225"/>
    <s v="FourthQuartile"/>
    <n v="4"/>
    <x v="0"/>
    <s v="Y58"/>
    <x v="5"/>
    <n v="467"/>
    <x v="10"/>
  </r>
  <r>
    <x v="4"/>
    <n v="3"/>
    <s v="QWO"/>
    <x v="3"/>
    <n v="4"/>
    <x v="224"/>
    <s v="FourthQuartile"/>
    <n v="4"/>
    <x v="0"/>
    <s v="Y63"/>
    <x v="2"/>
    <n v="475"/>
    <x v="10"/>
  </r>
  <r>
    <x v="4"/>
    <n v="3"/>
    <s v="QKS"/>
    <x v="3"/>
    <n v="4"/>
    <x v="214"/>
    <s v="FourthQuartile"/>
    <n v="4"/>
    <x v="0"/>
    <s v="Y59"/>
    <x v="0"/>
    <n v="95"/>
    <x v="10"/>
  </r>
  <r>
    <x v="4"/>
    <n v="3"/>
    <s v="QOQ"/>
    <x v="3"/>
    <n v="4"/>
    <x v="227"/>
    <s v="FourthQuartile"/>
    <n v="4"/>
    <x v="0"/>
    <s v="Y63"/>
    <x v="2"/>
    <n v="857"/>
    <x v="10"/>
  </r>
  <r>
    <x v="4"/>
    <n v="3"/>
    <s v="QUE"/>
    <x v="3"/>
    <n v="4"/>
    <x v="228"/>
    <s v="FourthQuartile"/>
    <n v="4"/>
    <x v="0"/>
    <s v="Y61"/>
    <x v="4"/>
    <n v="644"/>
    <x v="10"/>
  </r>
  <r>
    <x v="4"/>
    <n v="3"/>
    <s v="RJ8"/>
    <x v="0"/>
    <n v="1"/>
    <x v="229"/>
    <s v="TopQuartile"/>
    <n v="1"/>
    <x v="0"/>
    <s v="Y58"/>
    <x v="5"/>
    <n v="201"/>
    <x v="11"/>
  </r>
  <r>
    <x v="4"/>
    <n v="3"/>
    <s v="RP7"/>
    <x v="0"/>
    <n v="1"/>
    <x v="230"/>
    <s v="TopQuartile"/>
    <n v="1"/>
    <x v="0"/>
    <s v="Y60"/>
    <x v="3"/>
    <n v="274"/>
    <x v="11"/>
  </r>
  <r>
    <x v="4"/>
    <n v="3"/>
    <s v="RGD"/>
    <x v="0"/>
    <n v="1"/>
    <x v="232"/>
    <s v="TopQuartile"/>
    <n v="1"/>
    <x v="0"/>
    <s v="Y63"/>
    <x v="2"/>
    <n v="173"/>
    <x v="11"/>
  </r>
  <r>
    <x v="4"/>
    <n v="3"/>
    <s v="RX4"/>
    <x v="0"/>
    <n v="1"/>
    <x v="233"/>
    <s v="TopQuartile"/>
    <n v="1"/>
    <x v="0"/>
    <s v="Y63"/>
    <x v="2"/>
    <n v="263"/>
    <x v="11"/>
  </r>
  <r>
    <x v="4"/>
    <n v="3"/>
    <s v="RX2"/>
    <x v="0"/>
    <n v="1"/>
    <x v="231"/>
    <s v="TopQuartile"/>
    <n v="1"/>
    <x v="0"/>
    <s v="Y59"/>
    <x v="0"/>
    <n v="354"/>
    <x v="11"/>
  </r>
  <r>
    <x v="4"/>
    <n v="3"/>
    <s v="RVN"/>
    <x v="0"/>
    <n v="1"/>
    <x v="238"/>
    <s v="TopQuartile"/>
    <n v="1"/>
    <x v="0"/>
    <s v="Y58"/>
    <x v="5"/>
    <n v="342"/>
    <x v="11"/>
  </r>
  <r>
    <x v="4"/>
    <n v="3"/>
    <s v="RWV"/>
    <x v="0"/>
    <n v="1"/>
    <x v="237"/>
    <s v="TopQuartile"/>
    <n v="1"/>
    <x v="0"/>
    <s v="Y58"/>
    <x v="5"/>
    <n v="369"/>
    <x v="11"/>
  </r>
  <r>
    <x v="4"/>
    <n v="3"/>
    <s v="RXA"/>
    <x v="0"/>
    <n v="1"/>
    <x v="235"/>
    <s v="TopQuartile"/>
    <n v="1"/>
    <x v="0"/>
    <s v="Y62"/>
    <x v="6"/>
    <n v="373"/>
    <x v="11"/>
  </r>
  <r>
    <x v="4"/>
    <n v="3"/>
    <s v="RV3"/>
    <x v="0"/>
    <n v="1"/>
    <x v="245"/>
    <s v="TopQuartile"/>
    <n v="1"/>
    <x v="0"/>
    <s v="Y56"/>
    <x v="1"/>
    <n v="333"/>
    <x v="11"/>
  </r>
  <r>
    <x v="4"/>
    <n v="3"/>
    <s v="RXG"/>
    <x v="0"/>
    <n v="1"/>
    <x v="239"/>
    <s v="TopQuartile"/>
    <n v="1"/>
    <x v="0"/>
    <s v="Y63"/>
    <x v="2"/>
    <n v="378"/>
    <x v="11"/>
  </r>
  <r>
    <x v="4"/>
    <n v="3"/>
    <s v="RV9"/>
    <x v="0"/>
    <n v="1"/>
    <x v="242"/>
    <s v="TopQuartile"/>
    <n v="1"/>
    <x v="0"/>
    <s v="Y63"/>
    <x v="2"/>
    <n v="338"/>
    <x v="11"/>
  </r>
  <r>
    <x v="4"/>
    <n v="3"/>
    <s v="RQY"/>
    <x v="0"/>
    <n v="1"/>
    <x v="244"/>
    <s v="TopQuartile"/>
    <n v="1"/>
    <x v="0"/>
    <s v="Y56"/>
    <x v="1"/>
    <n v="294"/>
    <x v="11"/>
  </r>
  <r>
    <x v="4"/>
    <n v="3"/>
    <s v="RW4"/>
    <x v="0"/>
    <n v="1"/>
    <x v="243"/>
    <s v="TopQuartile"/>
    <n v="1"/>
    <x v="0"/>
    <s v="Y62"/>
    <x v="6"/>
    <n v="350"/>
    <x v="11"/>
  </r>
  <r>
    <x v="4"/>
    <n v="3"/>
    <s v="RDY"/>
    <x v="0"/>
    <n v="1"/>
    <x v="247"/>
    <s v="TopQuartile"/>
    <n v="1"/>
    <x v="0"/>
    <s v="Y58"/>
    <x v="5"/>
    <n v="152"/>
    <x v="11"/>
  </r>
  <r>
    <x v="4"/>
    <n v="3"/>
    <s v="RWK"/>
    <x v="1"/>
    <n v="2"/>
    <x v="260"/>
    <s v="SecondQuartile"/>
    <n v="2"/>
    <x v="0"/>
    <s v="Y56"/>
    <x v="1"/>
    <n v="363"/>
    <x v="11"/>
  </r>
  <r>
    <x v="4"/>
    <n v="3"/>
    <s v="RW1"/>
    <x v="1"/>
    <n v="2"/>
    <x v="255"/>
    <s v="SecondQuartile"/>
    <n v="2"/>
    <x v="0"/>
    <s v="Y59"/>
    <x v="0"/>
    <n v="348"/>
    <x v="11"/>
  </r>
  <r>
    <x v="4"/>
    <n v="3"/>
    <s v="RMY"/>
    <x v="1"/>
    <n v="2"/>
    <x v="259"/>
    <s v="SecondQuartile"/>
    <n v="2"/>
    <x v="0"/>
    <s v="Y61"/>
    <x v="4"/>
    <n v="246"/>
    <x v="11"/>
  </r>
  <r>
    <x v="4"/>
    <n v="3"/>
    <s v="RX3"/>
    <x v="1"/>
    <n v="2"/>
    <x v="241"/>
    <s v="SecondQuartile"/>
    <n v="2"/>
    <x v="0"/>
    <s v="Y63"/>
    <x v="2"/>
    <n v="346"/>
    <x v="11"/>
  </r>
  <r>
    <x v="4"/>
    <n v="3"/>
    <s v="RRP"/>
    <x v="1"/>
    <n v="2"/>
    <x v="250"/>
    <s v="SecondQuartile"/>
    <n v="2"/>
    <x v="0"/>
    <s v="Y56"/>
    <x v="1"/>
    <n v="306"/>
    <x v="11"/>
  </r>
  <r>
    <x v="4"/>
    <n v="3"/>
    <s v="RTQ"/>
    <x v="1"/>
    <n v="2"/>
    <x v="240"/>
    <s v="SecondQuartile"/>
    <n v="2"/>
    <x v="0"/>
    <s v="Y58"/>
    <x v="5"/>
    <n v="327"/>
    <x v="11"/>
  </r>
  <r>
    <x v="4"/>
    <n v="3"/>
    <s v="RXV"/>
    <x v="1"/>
    <n v="2"/>
    <x v="251"/>
    <s v="SecondQuartile"/>
    <n v="2"/>
    <x v="0"/>
    <s v="Y62"/>
    <x v="6"/>
    <n v="437"/>
    <x v="11"/>
  </r>
  <r>
    <x v="4"/>
    <n v="3"/>
    <s v="RKL"/>
    <x v="1"/>
    <n v="2"/>
    <x v="252"/>
    <s v="SecondQuartile"/>
    <n v="2"/>
    <x v="0"/>
    <s v="Y56"/>
    <x v="1"/>
    <n v="222"/>
    <x v="11"/>
  </r>
  <r>
    <x v="4"/>
    <n v="3"/>
    <s v="RWR"/>
    <x v="1"/>
    <n v="2"/>
    <x v="246"/>
    <s v="SecondQuartile"/>
    <n v="2"/>
    <x v="0"/>
    <s v="Y61"/>
    <x v="4"/>
    <n v="367"/>
    <x v="11"/>
  </r>
  <r>
    <x v="4"/>
    <n v="3"/>
    <s v="RP1"/>
    <x v="1"/>
    <n v="2"/>
    <x v="256"/>
    <s v="SecondQuartile"/>
    <n v="2"/>
    <x v="0"/>
    <s v="Y60"/>
    <x v="3"/>
    <n v="270"/>
    <x v="11"/>
  </r>
  <r>
    <x v="4"/>
    <n v="3"/>
    <s v="RT5"/>
    <x v="1"/>
    <n v="2"/>
    <x v="262"/>
    <s v="SecondQuartile"/>
    <n v="2"/>
    <x v="0"/>
    <s v="Y60"/>
    <x v="3"/>
    <n v="313"/>
    <x v="11"/>
  </r>
  <r>
    <x v="4"/>
    <n v="3"/>
    <s v="RLY"/>
    <x v="1"/>
    <n v="2"/>
    <x v="254"/>
    <s v="SecondQuartile"/>
    <n v="2"/>
    <x v="0"/>
    <s v="Y60"/>
    <x v="3"/>
    <n v="232"/>
    <x v="11"/>
  </r>
  <r>
    <x v="4"/>
    <n v="3"/>
    <s v="RT2"/>
    <x v="1"/>
    <n v="2"/>
    <x v="236"/>
    <s v="SecondQuartile"/>
    <n v="2"/>
    <x v="0"/>
    <s v="Y62"/>
    <x v="6"/>
    <n v="311"/>
    <x v="11"/>
  </r>
  <r>
    <x v="4"/>
    <n v="3"/>
    <s v="RXM"/>
    <x v="2"/>
    <n v="3"/>
    <x v="258"/>
    <s v="ThirdQuartile"/>
    <n v="3"/>
    <x v="0"/>
    <s v="Y60"/>
    <x v="3"/>
    <n v="383"/>
    <x v="11"/>
  </r>
  <r>
    <x v="4"/>
    <n v="3"/>
    <s v="RXE"/>
    <x v="2"/>
    <n v="3"/>
    <x v="234"/>
    <s v="ThirdQuartile"/>
    <n v="3"/>
    <x v="0"/>
    <s v="Y63"/>
    <x v="2"/>
    <n v="376"/>
    <x v="11"/>
  </r>
  <r>
    <x v="4"/>
    <n v="3"/>
    <s v="RRE"/>
    <x v="2"/>
    <n v="3"/>
    <x v="253"/>
    <s v="ThirdQuartile"/>
    <n v="3"/>
    <x v="0"/>
    <s v="Y60"/>
    <x v="3"/>
    <n v="301"/>
    <x v="11"/>
  </r>
  <r>
    <x v="4"/>
    <n v="3"/>
    <s v="RPG"/>
    <x v="2"/>
    <n v="3"/>
    <x v="261"/>
    <s v="ThirdQuartile"/>
    <n v="3"/>
    <x v="0"/>
    <s v="Y56"/>
    <x v="1"/>
    <n v="277"/>
    <x v="11"/>
  </r>
  <r>
    <x v="4"/>
    <n v="3"/>
    <s v="RHA"/>
    <x v="2"/>
    <n v="3"/>
    <x v="248"/>
    <s v="ThirdQuartile"/>
    <n v="3"/>
    <x v="0"/>
    <s v="Y60"/>
    <x v="3"/>
    <n v="186"/>
    <x v="11"/>
  </r>
  <r>
    <x v="4"/>
    <n v="3"/>
    <s v="R1L"/>
    <x v="2"/>
    <n v="3"/>
    <x v="249"/>
    <s v="ThirdQuartile"/>
    <n v="3"/>
    <x v="0"/>
    <s v="Y61"/>
    <x v="4"/>
    <n v="364"/>
    <x v="11"/>
  </r>
  <r>
    <x v="4"/>
    <n v="3"/>
    <s v="RNK"/>
    <x v="2"/>
    <n v="3"/>
    <x v="268"/>
    <s v="ThirdQuartile"/>
    <n v="3"/>
    <x v="0"/>
    <s v="Y56"/>
    <x v="1"/>
    <n v="260"/>
    <x v="11"/>
  </r>
  <r>
    <x v="4"/>
    <n v="3"/>
    <s v="RWX"/>
    <x v="2"/>
    <n v="3"/>
    <x v="257"/>
    <s v="ThirdQuartile"/>
    <n v="3"/>
    <x v="0"/>
    <s v="Y59"/>
    <x v="0"/>
    <n v="371"/>
    <x v="11"/>
  </r>
  <r>
    <x v="4"/>
    <n v="3"/>
    <s v="RXY"/>
    <x v="3"/>
    <n v="4"/>
    <x v="263"/>
    <s v="FourthQuartile"/>
    <n v="4"/>
    <x v="0"/>
    <s v="Y59"/>
    <x v="0"/>
    <n v="380"/>
    <x v="11"/>
  </r>
  <r>
    <x v="4"/>
    <n v="3"/>
    <s v="RXX"/>
    <x v="3"/>
    <n v="4"/>
    <x v="266"/>
    <s v="FourthQuartile"/>
    <n v="4"/>
    <x v="0"/>
    <s v="Y59"/>
    <x v="0"/>
    <n v="325"/>
    <x v="11"/>
  </r>
  <r>
    <x v="4"/>
    <n v="3"/>
    <s v="RNU"/>
    <x v="3"/>
    <n v="4"/>
    <x v="265"/>
    <s v="FourthQuartile"/>
    <n v="4"/>
    <x v="0"/>
    <s v="Y59"/>
    <x v="0"/>
    <n v="267"/>
    <x v="11"/>
  </r>
  <r>
    <x v="4"/>
    <n v="3"/>
    <s v="RV5"/>
    <x v="3"/>
    <n v="4"/>
    <x v="267"/>
    <s v="FourthQuartile"/>
    <n v="4"/>
    <x v="0"/>
    <s v="Y56"/>
    <x v="1"/>
    <n v="334"/>
    <x v="11"/>
  </r>
  <r>
    <x v="4"/>
    <n v="3"/>
    <s v="RT1"/>
    <x v="3"/>
    <n v="4"/>
    <x v="264"/>
    <s v="FourthQuartile"/>
    <n v="4"/>
    <x v="0"/>
    <s v="Y61"/>
    <x v="4"/>
    <n v="310"/>
    <x v="11"/>
  </r>
  <r>
    <x v="4"/>
    <n v="3"/>
    <s v="RAT"/>
    <x v="3"/>
    <n v="4"/>
    <x v="269"/>
    <s v="FourthQuartile"/>
    <n v="4"/>
    <x v="0"/>
    <s v="Y56"/>
    <x v="1"/>
    <n v="395"/>
    <x v="11"/>
  </r>
  <r>
    <x v="4"/>
    <n v="3"/>
    <s v="TAJ"/>
    <x v="3"/>
    <n v="4"/>
    <x v="270"/>
    <s v="FourthQuartile"/>
    <n v="4"/>
    <x v="0"/>
    <s v="Y60"/>
    <x v="3"/>
    <n v="285"/>
    <x v="11"/>
  </r>
  <r>
    <x v="4"/>
    <n v="3"/>
    <s v="RW5"/>
    <x v="3"/>
    <n v="4"/>
    <x v="271"/>
    <s v="FourthQuartile"/>
    <n v="4"/>
    <x v="0"/>
    <s v="Y62"/>
    <x v="6"/>
    <n v="351"/>
    <x v="11"/>
  </r>
  <r>
    <x v="4"/>
    <n v="3"/>
    <s v="RYG"/>
    <x v="3"/>
    <n v="4"/>
    <x v="272"/>
    <s v="FourthQuartile"/>
    <n v="4"/>
    <x v="0"/>
    <s v="Y60"/>
    <x v="3"/>
    <n v="444"/>
    <x v="11"/>
  </r>
  <r>
    <x v="4"/>
    <n v="3"/>
    <s v="RXT"/>
    <x v="3"/>
    <n v="4"/>
    <x v="273"/>
    <s v="FourthQuartile"/>
    <n v="4"/>
    <x v="0"/>
    <s v="Y60"/>
    <x v="3"/>
    <n v="436"/>
    <x v="11"/>
  </r>
  <r>
    <x v="4"/>
    <n v="3"/>
    <s v="T1480"/>
    <x v="0"/>
    <n v="1"/>
    <x v="275"/>
    <s v="TopQuartile"/>
    <n v="1"/>
    <x v="0"/>
    <s v="QZZ"/>
    <x v="7"/>
    <n v="980"/>
    <x v="12"/>
  </r>
  <r>
    <x v="4"/>
    <n v="3"/>
    <s v="X80"/>
    <x v="1"/>
    <n v="2"/>
    <x v="274"/>
    <s v="TopQuartile"/>
    <n v="1"/>
    <x v="1"/>
    <s v="QZZ"/>
    <x v="7"/>
    <n v="907"/>
    <x v="12"/>
  </r>
  <r>
    <x v="4"/>
    <n v="3"/>
    <s v="T1460"/>
    <x v="1"/>
    <n v="2"/>
    <x v="276"/>
    <s v="SecondQuartile"/>
    <n v="2"/>
    <x v="0"/>
    <s v="QZZ"/>
    <x v="7"/>
    <n v="918"/>
    <x v="12"/>
  </r>
  <r>
    <x v="4"/>
    <n v="3"/>
    <s v="T1450"/>
    <x v="1"/>
    <n v="2"/>
    <x v="277"/>
    <s v="SecondQuartile"/>
    <n v="2"/>
    <x v="0"/>
    <s v="QZZ"/>
    <x v="7"/>
    <n v="914"/>
    <x v="12"/>
  </r>
  <r>
    <x v="4"/>
    <n v="3"/>
    <s v="DEQ"/>
    <x v="1"/>
    <n v="2"/>
    <x v="278"/>
    <s v="SecondQuartile"/>
    <n v="2"/>
    <x v="0"/>
    <s v="Y56"/>
    <x v="1"/>
    <n v="44"/>
    <x v="12"/>
  </r>
  <r>
    <x v="4"/>
    <n v="3"/>
    <s v="Z1E5K"/>
    <x v="2"/>
    <n v="3"/>
    <x v="279"/>
    <s v="ThirdQuartile"/>
    <n v="3"/>
    <x v="0"/>
    <s v="QZZ"/>
    <x v="7"/>
    <n v="65"/>
    <x v="12"/>
  </r>
  <r>
    <x v="4"/>
    <n v="3"/>
    <s v="T1540"/>
    <x v="2"/>
    <n v="3"/>
    <x v="280"/>
    <s v="ThirdQuartile"/>
    <n v="3"/>
    <x v="0"/>
    <s v="QZZ"/>
    <x v="7"/>
    <n v="76"/>
    <x v="12"/>
  </r>
  <r>
    <x v="4"/>
    <n v="3"/>
    <s v="X24"/>
    <x v="3"/>
    <n v="4"/>
    <x v="281"/>
    <s v="FourthQuartile"/>
    <n v="4"/>
    <x v="0"/>
    <s v="QZZ"/>
    <x v="7"/>
    <n v="990"/>
    <x v="12"/>
  </r>
  <r>
    <x v="4"/>
    <n v="3"/>
    <s v="NB7"/>
    <x v="3"/>
    <n v="4"/>
    <x v="283"/>
    <s v="FourthQuartile"/>
    <n v="4"/>
    <x v="0"/>
    <s v="QZZ"/>
    <x v="7"/>
    <n v="441"/>
    <x v="12"/>
  </r>
  <r>
    <x v="4"/>
    <n v="3"/>
    <s v="T1150"/>
    <x v="3"/>
    <n v="4"/>
    <x v="282"/>
    <s v="FourthQuartile"/>
    <n v="4"/>
    <x v="0"/>
    <s v="QZZ"/>
    <x v="7"/>
    <n v="912"/>
    <x v="12"/>
  </r>
  <r>
    <x v="4"/>
    <n v="3"/>
    <s v="8JX76"/>
    <x v="3"/>
    <n v="4"/>
    <x v="284"/>
    <s v="FourthQuartile"/>
    <n v="4"/>
    <x v="0"/>
    <s v="QZZ"/>
    <x v="7"/>
    <n v="71"/>
    <x v="12"/>
  </r>
  <r>
    <x v="5"/>
    <n v="2"/>
    <s v="RXC"/>
    <x v="0"/>
    <n v="1"/>
    <x v="0"/>
    <s v="SecondQuartile"/>
    <n v="2"/>
    <x v="2"/>
    <s v="Y59"/>
    <x v="0"/>
    <n v="374"/>
    <x v="0"/>
  </r>
  <r>
    <x v="5"/>
    <n v="2"/>
    <s v="RWF"/>
    <x v="0"/>
    <n v="1"/>
    <x v="2"/>
    <s v="TopQuartile"/>
    <n v="1"/>
    <x v="0"/>
    <s v="Y59"/>
    <x v="0"/>
    <n v="359"/>
    <x v="0"/>
  </r>
  <r>
    <x v="5"/>
    <n v="2"/>
    <s v="RJ2"/>
    <x v="0"/>
    <n v="1"/>
    <x v="1"/>
    <s v="TopQuartile"/>
    <n v="1"/>
    <x v="0"/>
    <s v="Y56"/>
    <x v="1"/>
    <n v="197"/>
    <x v="0"/>
  </r>
  <r>
    <x v="5"/>
    <n v="2"/>
    <s v="RWY"/>
    <x v="0"/>
    <n v="1"/>
    <x v="10"/>
    <s v="TopQuartile"/>
    <n v="1"/>
    <x v="0"/>
    <s v="Y63"/>
    <x v="2"/>
    <n v="372"/>
    <x v="0"/>
  </r>
  <r>
    <x v="5"/>
    <n v="2"/>
    <s v="RWD"/>
    <x v="0"/>
    <n v="1"/>
    <x v="5"/>
    <s v="TopQuartile"/>
    <n v="1"/>
    <x v="0"/>
    <s v="Y60"/>
    <x v="3"/>
    <n v="357"/>
    <x v="0"/>
  </r>
  <r>
    <x v="5"/>
    <n v="2"/>
    <s v="RTF"/>
    <x v="0"/>
    <n v="1"/>
    <x v="3"/>
    <s v="TopQuartile"/>
    <n v="1"/>
    <x v="0"/>
    <s v="Y63"/>
    <x v="2"/>
    <n v="319"/>
    <x v="0"/>
  </r>
  <r>
    <x v="5"/>
    <n v="2"/>
    <s v="RDE"/>
    <x v="1"/>
    <n v="2"/>
    <x v="6"/>
    <s v="SecondQuartile"/>
    <n v="2"/>
    <x v="0"/>
    <s v="Y61"/>
    <x v="4"/>
    <n v="432"/>
    <x v="0"/>
  </r>
  <r>
    <x v="5"/>
    <n v="2"/>
    <s v="RHU"/>
    <x v="1"/>
    <n v="2"/>
    <x v="4"/>
    <s v="SecondQuartile"/>
    <n v="2"/>
    <x v="0"/>
    <s v="Y59"/>
    <x v="0"/>
    <n v="192"/>
    <x v="0"/>
  </r>
  <r>
    <x v="5"/>
    <n v="2"/>
    <s v="RAJ"/>
    <x v="2"/>
    <n v="3"/>
    <x v="8"/>
    <s v="SecondQuartile"/>
    <n v="2"/>
    <x v="1"/>
    <s v="Y61"/>
    <x v="4"/>
    <n v="390"/>
    <x v="0"/>
  </r>
  <r>
    <x v="5"/>
    <n v="2"/>
    <s v="RL4"/>
    <x v="2"/>
    <n v="3"/>
    <x v="7"/>
    <s v="ThirdQuartile"/>
    <n v="3"/>
    <x v="0"/>
    <s v="Y60"/>
    <x v="3"/>
    <n v="225"/>
    <x v="0"/>
  </r>
  <r>
    <x v="5"/>
    <n v="2"/>
    <s v="RVJ"/>
    <x v="2"/>
    <n v="3"/>
    <x v="13"/>
    <s v="ThirdQuartile"/>
    <n v="3"/>
    <x v="0"/>
    <s v="Y58"/>
    <x v="5"/>
    <n v="339"/>
    <x v="0"/>
  </r>
  <r>
    <x v="5"/>
    <n v="2"/>
    <s v="RDU"/>
    <x v="2"/>
    <n v="3"/>
    <x v="12"/>
    <s v="ThirdQuartile"/>
    <n v="3"/>
    <x v="0"/>
    <s v="Y59"/>
    <x v="0"/>
    <n v="151"/>
    <x v="0"/>
  </r>
  <r>
    <x v="5"/>
    <n v="2"/>
    <s v="R0B"/>
    <x v="2"/>
    <n v="3"/>
    <x v="15"/>
    <s v="ThirdQuartile"/>
    <n v="3"/>
    <x v="0"/>
    <s v="Y63"/>
    <x v="2"/>
    <n v="155"/>
    <x v="0"/>
  </r>
  <r>
    <x v="5"/>
    <n v="2"/>
    <s v="RWP"/>
    <x v="2"/>
    <n v="3"/>
    <x v="14"/>
    <s v="ThirdQuartile"/>
    <n v="3"/>
    <x v="0"/>
    <s v="Y60"/>
    <x v="3"/>
    <n v="365"/>
    <x v="0"/>
  </r>
  <r>
    <x v="5"/>
    <n v="2"/>
    <s v="RWH"/>
    <x v="3"/>
    <n v="4"/>
    <x v="9"/>
    <s v="FourthQuartile"/>
    <n v="4"/>
    <x v="0"/>
    <s v="Y61"/>
    <x v="4"/>
    <n v="361"/>
    <x v="0"/>
  </r>
  <r>
    <x v="5"/>
    <n v="2"/>
    <s v="RXR"/>
    <x v="3"/>
    <n v="4"/>
    <x v="17"/>
    <s v="ThirdQuartile"/>
    <n v="3"/>
    <x v="1"/>
    <s v="Y62"/>
    <x v="6"/>
    <n v="435"/>
    <x v="0"/>
  </r>
  <r>
    <x v="5"/>
    <n v="2"/>
    <s v="RH8"/>
    <x v="3"/>
    <n v="4"/>
    <x v="18"/>
    <s v="FourthQuartile"/>
    <n v="4"/>
    <x v="0"/>
    <s v="Y58"/>
    <x v="5"/>
    <n v="185"/>
    <x v="0"/>
  </r>
  <r>
    <x v="5"/>
    <n v="2"/>
    <s v="RGN"/>
    <x v="3"/>
    <n v="4"/>
    <x v="11"/>
    <s v="FourthQuartile"/>
    <n v="4"/>
    <x v="0"/>
    <s v="Y61"/>
    <x v="4"/>
    <n v="176"/>
    <x v="0"/>
  </r>
  <r>
    <x v="5"/>
    <n v="2"/>
    <s v="RN5"/>
    <x v="3"/>
    <n v="4"/>
    <x v="19"/>
    <s v="FourthQuartile"/>
    <n v="4"/>
    <x v="0"/>
    <s v="Y59"/>
    <x v="0"/>
    <n v="251"/>
    <x v="0"/>
  </r>
  <r>
    <x v="5"/>
    <n v="2"/>
    <s v="RHW"/>
    <x v="3"/>
    <n v="4"/>
    <x v="20"/>
    <s v="FourthQuartile"/>
    <n v="4"/>
    <x v="0"/>
    <s v="Y59"/>
    <x v="0"/>
    <n v="193"/>
    <x v="0"/>
  </r>
  <r>
    <x v="5"/>
    <n v="2"/>
    <s v="RTE"/>
    <x v="3"/>
    <n v="4"/>
    <x v="16"/>
    <s v="FourthQuartile"/>
    <n v="4"/>
    <x v="0"/>
    <s v="Y58"/>
    <x v="5"/>
    <n v="318"/>
    <x v="0"/>
  </r>
  <r>
    <x v="5"/>
    <n v="2"/>
    <s v="RXK"/>
    <x v="3"/>
    <n v="4"/>
    <x v="21"/>
    <s v="FourthQuartile"/>
    <n v="4"/>
    <x v="0"/>
    <s v="Y60"/>
    <x v="3"/>
    <n v="381"/>
    <x v="0"/>
  </r>
  <r>
    <x v="5"/>
    <n v="2"/>
    <s v="REF"/>
    <x v="3"/>
    <n v="4"/>
    <x v="22"/>
    <s v="FourthQuartile"/>
    <n v="4"/>
    <x v="0"/>
    <s v="Y58"/>
    <x v="5"/>
    <n v="156"/>
    <x v="0"/>
  </r>
  <r>
    <x v="5"/>
    <n v="2"/>
    <s v="RXW"/>
    <x v="0"/>
    <n v="1"/>
    <x v="23"/>
    <s v="TopQuartile"/>
    <n v="1"/>
    <x v="0"/>
    <s v="Y60"/>
    <x v="3"/>
    <n v="223"/>
    <x v="1"/>
  </r>
  <r>
    <x v="5"/>
    <n v="2"/>
    <s v="RR7"/>
    <x v="0"/>
    <n v="1"/>
    <x v="25"/>
    <s v="TopQuartile"/>
    <n v="1"/>
    <x v="0"/>
    <s v="Y63"/>
    <x v="2"/>
    <n v="297"/>
    <x v="1"/>
  </r>
  <r>
    <x v="5"/>
    <n v="2"/>
    <s v="RJL"/>
    <x v="0"/>
    <n v="1"/>
    <x v="27"/>
    <s v="TopQuartile"/>
    <n v="1"/>
    <x v="0"/>
    <s v="Y63"/>
    <x v="2"/>
    <n v="208"/>
    <x v="1"/>
  </r>
  <r>
    <x v="5"/>
    <n v="2"/>
    <s v="RMC"/>
    <x v="0"/>
    <n v="1"/>
    <x v="35"/>
    <s v="TopQuartile"/>
    <n v="1"/>
    <x v="0"/>
    <s v="Y62"/>
    <x v="6"/>
    <n v="241"/>
    <x v="1"/>
  </r>
  <r>
    <x v="5"/>
    <n v="2"/>
    <s v="RJ6"/>
    <x v="0"/>
    <n v="1"/>
    <x v="24"/>
    <s v="TopQuartile"/>
    <n v="1"/>
    <x v="0"/>
    <s v="Y56"/>
    <x v="1"/>
    <n v="199"/>
    <x v="1"/>
  </r>
  <r>
    <x v="5"/>
    <n v="2"/>
    <s v="RAX"/>
    <x v="1"/>
    <n v="2"/>
    <x v="29"/>
    <s v="SecondQuartile"/>
    <n v="2"/>
    <x v="0"/>
    <s v="Y56"/>
    <x v="1"/>
    <n v="396"/>
    <x v="1"/>
  </r>
  <r>
    <x v="5"/>
    <n v="2"/>
    <s v="RTP"/>
    <x v="1"/>
    <n v="2"/>
    <x v="32"/>
    <s v="SecondQuartile"/>
    <n v="2"/>
    <x v="0"/>
    <s v="Y59"/>
    <x v="0"/>
    <n v="326"/>
    <x v="1"/>
  </r>
  <r>
    <x v="5"/>
    <n v="2"/>
    <s v="RK5"/>
    <x v="1"/>
    <n v="2"/>
    <x v="26"/>
    <s v="SecondQuartile"/>
    <n v="2"/>
    <x v="0"/>
    <s v="Y60"/>
    <x v="3"/>
    <n v="214"/>
    <x v="1"/>
  </r>
  <r>
    <x v="5"/>
    <n v="2"/>
    <s v="RD1"/>
    <x v="1"/>
    <n v="2"/>
    <x v="28"/>
    <s v="SecondQuartile"/>
    <n v="2"/>
    <x v="0"/>
    <s v="Y58"/>
    <x v="5"/>
    <n v="427"/>
    <x v="1"/>
  </r>
  <r>
    <x v="5"/>
    <n v="2"/>
    <s v="RNS"/>
    <x v="1"/>
    <n v="2"/>
    <x v="31"/>
    <s v="SecondQuartile"/>
    <n v="2"/>
    <x v="0"/>
    <s v="Y60"/>
    <x v="3"/>
    <n v="265"/>
    <x v="1"/>
  </r>
  <r>
    <x v="5"/>
    <n v="2"/>
    <s v="RWJ"/>
    <x v="1"/>
    <n v="2"/>
    <x v="36"/>
    <s v="SecondQuartile"/>
    <n v="2"/>
    <x v="0"/>
    <s v="Y62"/>
    <x v="6"/>
    <n v="362"/>
    <x v="1"/>
  </r>
  <r>
    <x v="5"/>
    <n v="2"/>
    <s v="RVW"/>
    <x v="1"/>
    <n v="2"/>
    <x v="30"/>
    <s v="ThirdQuartile"/>
    <n v="3"/>
    <x v="2"/>
    <s v="Y63"/>
    <x v="2"/>
    <n v="345"/>
    <x v="1"/>
  </r>
  <r>
    <x v="5"/>
    <n v="2"/>
    <s v="RPA"/>
    <x v="1"/>
    <n v="2"/>
    <x v="34"/>
    <s v="SecondQuartile"/>
    <n v="2"/>
    <x v="0"/>
    <s v="Y59"/>
    <x v="0"/>
    <n v="275"/>
    <x v="1"/>
  </r>
  <r>
    <x v="5"/>
    <n v="2"/>
    <s v="RNN"/>
    <x v="1"/>
    <n v="2"/>
    <x v="37"/>
    <s v="SecondQuartile"/>
    <n v="2"/>
    <x v="0"/>
    <s v="Y63"/>
    <x v="2"/>
    <n v="262"/>
    <x v="1"/>
  </r>
  <r>
    <x v="5"/>
    <n v="2"/>
    <s v="RC9"/>
    <x v="2"/>
    <n v="3"/>
    <x v="38"/>
    <s v="ThirdQuartile"/>
    <n v="3"/>
    <x v="0"/>
    <s v="Y61"/>
    <x v="4"/>
    <n v="418"/>
    <x v="1"/>
  </r>
  <r>
    <x v="5"/>
    <n v="2"/>
    <s v="RA2"/>
    <x v="2"/>
    <n v="3"/>
    <x v="33"/>
    <s v="ThirdQuartile"/>
    <n v="3"/>
    <x v="0"/>
    <s v="Y59"/>
    <x v="0"/>
    <n v="384"/>
    <x v="1"/>
  </r>
  <r>
    <x v="5"/>
    <n v="2"/>
    <s v="RN3"/>
    <x v="2"/>
    <n v="3"/>
    <x v="39"/>
    <s v="ThirdQuartile"/>
    <n v="3"/>
    <x v="0"/>
    <s v="Y58"/>
    <x v="5"/>
    <n v="249"/>
    <x v="1"/>
  </r>
  <r>
    <x v="5"/>
    <n v="2"/>
    <s v="RRF"/>
    <x v="2"/>
    <n v="3"/>
    <x v="40"/>
    <s v="ThirdQuartile"/>
    <n v="3"/>
    <x v="0"/>
    <s v="Y62"/>
    <x v="6"/>
    <n v="302"/>
    <x v="1"/>
  </r>
  <r>
    <x v="5"/>
    <n v="2"/>
    <s v="RTK"/>
    <x v="2"/>
    <n v="3"/>
    <x v="41"/>
    <s v="ThirdQuartile"/>
    <n v="3"/>
    <x v="0"/>
    <s v="Y59"/>
    <x v="0"/>
    <n v="323"/>
    <x v="1"/>
  </r>
  <r>
    <x v="5"/>
    <n v="2"/>
    <s v="RNA"/>
    <x v="3"/>
    <n v="4"/>
    <x v="42"/>
    <s v="FourthQuartile"/>
    <n v="4"/>
    <x v="0"/>
    <s v="Y60"/>
    <x v="3"/>
    <n v="253"/>
    <x v="1"/>
  </r>
  <r>
    <x v="5"/>
    <n v="2"/>
    <s v="RA9"/>
    <x v="0"/>
    <n v="1"/>
    <x v="44"/>
    <s v="TopQuartile"/>
    <n v="1"/>
    <x v="0"/>
    <s v="Y58"/>
    <x v="5"/>
    <n v="388"/>
    <x v="2"/>
  </r>
  <r>
    <x v="5"/>
    <n v="2"/>
    <s v="RXQ"/>
    <x v="0"/>
    <n v="1"/>
    <x v="43"/>
    <s v="TopQuartile"/>
    <n v="1"/>
    <x v="0"/>
    <s v="Y59"/>
    <x v="0"/>
    <n v="434"/>
    <x v="2"/>
  </r>
  <r>
    <x v="5"/>
    <n v="2"/>
    <s v="RXP"/>
    <x v="1"/>
    <n v="2"/>
    <x v="45"/>
    <s v="TopQuartile"/>
    <n v="1"/>
    <x v="1"/>
    <s v="Y63"/>
    <x v="2"/>
    <n v="439"/>
    <x v="2"/>
  </r>
  <r>
    <x v="5"/>
    <n v="2"/>
    <s v="RLQ"/>
    <x v="1"/>
    <n v="2"/>
    <x v="46"/>
    <s v="SecondQuartile"/>
    <n v="2"/>
    <x v="0"/>
    <s v="Y60"/>
    <x v="3"/>
    <n v="229"/>
    <x v="2"/>
  </r>
  <r>
    <x v="5"/>
    <n v="2"/>
    <s v="R1F"/>
    <x v="1"/>
    <n v="2"/>
    <x v="48"/>
    <s v="ThirdQuartile"/>
    <n v="3"/>
    <x v="2"/>
    <s v="Y59"/>
    <x v="0"/>
    <n v="470"/>
    <x v="2"/>
  </r>
  <r>
    <x v="5"/>
    <n v="2"/>
    <s v="RH5"/>
    <x v="2"/>
    <n v="3"/>
    <x v="47"/>
    <s v="ThirdQuartile"/>
    <n v="3"/>
    <x v="0"/>
    <s v="Y58"/>
    <x v="5"/>
    <n v="184"/>
    <x v="2"/>
  </r>
  <r>
    <x v="5"/>
    <n v="2"/>
    <s v="RKE"/>
    <x v="3"/>
    <n v="4"/>
    <x v="49"/>
    <s v="FourthQuartile"/>
    <n v="4"/>
    <x v="0"/>
    <s v="Y56"/>
    <x v="1"/>
    <n v="220"/>
    <x v="2"/>
  </r>
  <r>
    <x v="5"/>
    <n v="2"/>
    <s v="RFF"/>
    <x v="0"/>
    <n v="1"/>
    <x v="50"/>
    <s v="TopQuartile"/>
    <n v="1"/>
    <x v="0"/>
    <s v="Y63"/>
    <x v="2"/>
    <n v="163"/>
    <x v="3"/>
  </r>
  <r>
    <x v="5"/>
    <n v="2"/>
    <s v="RFR"/>
    <x v="0"/>
    <n v="1"/>
    <x v="55"/>
    <s v="TopQuartile"/>
    <n v="1"/>
    <x v="0"/>
    <s v="Y63"/>
    <x v="2"/>
    <n v="165"/>
    <x v="3"/>
  </r>
  <r>
    <x v="5"/>
    <n v="2"/>
    <s v="RJN"/>
    <x v="0"/>
    <n v="1"/>
    <x v="52"/>
    <s v="TopQuartile"/>
    <n v="1"/>
    <x v="0"/>
    <s v="Y62"/>
    <x v="6"/>
    <n v="209"/>
    <x v="3"/>
  </r>
  <r>
    <x v="5"/>
    <n v="2"/>
    <s v="RCF"/>
    <x v="0"/>
    <n v="1"/>
    <x v="51"/>
    <s v="TopQuartile"/>
    <n v="1"/>
    <x v="0"/>
    <s v="Y63"/>
    <x v="2"/>
    <n v="423"/>
    <x v="3"/>
  </r>
  <r>
    <x v="5"/>
    <n v="2"/>
    <s v="RCX"/>
    <x v="0"/>
    <n v="1"/>
    <x v="54"/>
    <s v="TopQuartile"/>
    <n v="1"/>
    <x v="0"/>
    <s v="Y61"/>
    <x v="4"/>
    <n v="426"/>
    <x v="3"/>
  </r>
  <r>
    <x v="5"/>
    <n v="2"/>
    <s v="RFS"/>
    <x v="0"/>
    <n v="1"/>
    <x v="53"/>
    <s v="TopQuartile"/>
    <n v="1"/>
    <x v="0"/>
    <s v="Y60"/>
    <x v="3"/>
    <n v="166"/>
    <x v="3"/>
  </r>
  <r>
    <x v="5"/>
    <n v="2"/>
    <s v="RN7"/>
    <x v="0"/>
    <n v="1"/>
    <x v="56"/>
    <s v="TopQuartile"/>
    <n v="1"/>
    <x v="0"/>
    <s v="Y59"/>
    <x v="0"/>
    <n v="252"/>
    <x v="3"/>
  </r>
  <r>
    <x v="5"/>
    <n v="2"/>
    <s v="RJR"/>
    <x v="0"/>
    <n v="1"/>
    <x v="58"/>
    <s v="TopQuartile"/>
    <n v="1"/>
    <x v="0"/>
    <s v="Y62"/>
    <x v="6"/>
    <n v="210"/>
    <x v="3"/>
  </r>
  <r>
    <x v="5"/>
    <n v="2"/>
    <s v="RNQ"/>
    <x v="1"/>
    <n v="2"/>
    <x v="59"/>
    <s v="SecondQuartile"/>
    <n v="2"/>
    <x v="0"/>
    <s v="Y60"/>
    <x v="3"/>
    <n v="264"/>
    <x v="3"/>
  </r>
  <r>
    <x v="5"/>
    <n v="2"/>
    <s v="RCD"/>
    <x v="1"/>
    <n v="2"/>
    <x v="57"/>
    <s v="SecondQuartile"/>
    <n v="2"/>
    <x v="0"/>
    <s v="Y63"/>
    <x v="2"/>
    <n v="421"/>
    <x v="3"/>
  </r>
  <r>
    <x v="5"/>
    <n v="2"/>
    <s v="RAS"/>
    <x v="2"/>
    <n v="3"/>
    <x v="64"/>
    <s v="ThirdQuartile"/>
    <n v="3"/>
    <x v="0"/>
    <s v="Y56"/>
    <x v="1"/>
    <n v="394"/>
    <x v="3"/>
  </r>
  <r>
    <x v="5"/>
    <n v="2"/>
    <s v="RMP"/>
    <x v="2"/>
    <n v="3"/>
    <x v="63"/>
    <s v="ThirdQuartile"/>
    <n v="3"/>
    <x v="0"/>
    <s v="Y62"/>
    <x v="6"/>
    <n v="245"/>
    <x v="3"/>
  </r>
  <r>
    <x v="5"/>
    <n v="2"/>
    <s v="RNZ"/>
    <x v="2"/>
    <n v="3"/>
    <x v="61"/>
    <s v="ThirdQuartile"/>
    <n v="3"/>
    <x v="0"/>
    <s v="Y58"/>
    <x v="5"/>
    <n v="269"/>
    <x v="3"/>
  </r>
  <r>
    <x v="5"/>
    <n v="2"/>
    <s v="RBT"/>
    <x v="2"/>
    <n v="3"/>
    <x v="60"/>
    <s v="ThirdQuartile"/>
    <n v="3"/>
    <x v="0"/>
    <s v="Y62"/>
    <x v="6"/>
    <n v="412"/>
    <x v="3"/>
  </r>
  <r>
    <x v="5"/>
    <n v="2"/>
    <s v="RLT"/>
    <x v="2"/>
    <n v="3"/>
    <x v="65"/>
    <s v="ThirdQuartile"/>
    <n v="3"/>
    <x v="0"/>
    <s v="Y60"/>
    <x v="3"/>
    <n v="230"/>
    <x v="3"/>
  </r>
  <r>
    <x v="5"/>
    <n v="2"/>
    <s v="RBK"/>
    <x v="2"/>
    <n v="3"/>
    <x v="62"/>
    <s v="ThirdQuartile"/>
    <n v="3"/>
    <x v="0"/>
    <s v="Y60"/>
    <x v="3"/>
    <n v="407"/>
    <x v="3"/>
  </r>
  <r>
    <x v="5"/>
    <n v="2"/>
    <s v="RQW"/>
    <x v="2"/>
    <n v="3"/>
    <x v="66"/>
    <s v="FourthQuartile"/>
    <n v="4"/>
    <x v="2"/>
    <s v="Y61"/>
    <x v="4"/>
    <n v="292"/>
    <x v="3"/>
  </r>
  <r>
    <x v="5"/>
    <n v="2"/>
    <s v="RBD"/>
    <x v="3"/>
    <n v="4"/>
    <x v="67"/>
    <s v="FourthQuartile"/>
    <n v="4"/>
    <x v="0"/>
    <s v="Y58"/>
    <x v="5"/>
    <n v="405"/>
    <x v="3"/>
  </r>
  <r>
    <x v="5"/>
    <n v="2"/>
    <s v="RGR"/>
    <x v="3"/>
    <n v="4"/>
    <x v="68"/>
    <s v="FourthQuartile"/>
    <n v="4"/>
    <x v="0"/>
    <s v="Y61"/>
    <x v="4"/>
    <n v="179"/>
    <x v="3"/>
  </r>
  <r>
    <x v="5"/>
    <n v="2"/>
    <s v="RET"/>
    <x v="0"/>
    <n v="1"/>
    <x v="75"/>
    <s v="TopQuartile"/>
    <n v="1"/>
    <x v="0"/>
    <s v="Y62"/>
    <x v="6"/>
    <n v="160"/>
    <x v="4"/>
  </r>
  <r>
    <x v="5"/>
    <n v="2"/>
    <s v="RP4"/>
    <x v="0"/>
    <n v="1"/>
    <x v="72"/>
    <s v="TopQuartile"/>
    <n v="1"/>
    <x v="0"/>
    <s v="Y56"/>
    <x v="1"/>
    <n v="271"/>
    <x v="4"/>
  </r>
  <r>
    <x v="5"/>
    <n v="2"/>
    <s v="RGM"/>
    <x v="0"/>
    <n v="1"/>
    <x v="69"/>
    <s v="TopQuartile"/>
    <n v="1"/>
    <x v="0"/>
    <s v="Y61"/>
    <x v="4"/>
    <n v="175"/>
    <x v="4"/>
  </r>
  <r>
    <x v="5"/>
    <n v="2"/>
    <s v="REN"/>
    <x v="0"/>
    <n v="1"/>
    <x v="74"/>
    <s v="TopQuartile"/>
    <n v="1"/>
    <x v="0"/>
    <s v="Y62"/>
    <x v="6"/>
    <n v="158"/>
    <x v="4"/>
  </r>
  <r>
    <x v="5"/>
    <n v="2"/>
    <s v="RL1"/>
    <x v="1"/>
    <n v="2"/>
    <x v="80"/>
    <s v="SecondQuartile"/>
    <n v="2"/>
    <x v="0"/>
    <s v="Y60"/>
    <x v="3"/>
    <n v="224"/>
    <x v="4"/>
  </r>
  <r>
    <x v="5"/>
    <n v="2"/>
    <s v="RPC"/>
    <x v="1"/>
    <n v="2"/>
    <x v="70"/>
    <s v="TopQuartile"/>
    <n v="1"/>
    <x v="1"/>
    <s v="Y59"/>
    <x v="0"/>
    <n v="276"/>
    <x v="4"/>
  </r>
  <r>
    <x v="5"/>
    <n v="2"/>
    <s v="RBS"/>
    <x v="1"/>
    <n v="2"/>
    <x v="73"/>
    <s v="SecondQuartile"/>
    <n v="2"/>
    <x v="0"/>
    <s v="Y62"/>
    <x v="6"/>
    <n v="411"/>
    <x v="4"/>
  </r>
  <r>
    <x v="5"/>
    <n v="2"/>
    <s v="RRJ"/>
    <x v="1"/>
    <n v="2"/>
    <x v="71"/>
    <s v="SecondQuartile"/>
    <n v="2"/>
    <x v="0"/>
    <s v="Y60"/>
    <x v="3"/>
    <n v="303"/>
    <x v="4"/>
  </r>
  <r>
    <x v="5"/>
    <n v="2"/>
    <s v="RBV"/>
    <x v="1"/>
    <n v="2"/>
    <x v="76"/>
    <s v="SecondQuartile"/>
    <n v="2"/>
    <x v="0"/>
    <s v="Y62"/>
    <x v="6"/>
    <n v="413"/>
    <x v="4"/>
  </r>
  <r>
    <x v="5"/>
    <n v="2"/>
    <s v="REP"/>
    <x v="2"/>
    <n v="3"/>
    <x v="79"/>
    <s v="ThirdQuartile"/>
    <n v="3"/>
    <x v="0"/>
    <s v="Y62"/>
    <x v="6"/>
    <n v="159"/>
    <x v="4"/>
  </r>
  <r>
    <x v="5"/>
    <n v="2"/>
    <s v="RP6"/>
    <x v="2"/>
    <n v="3"/>
    <x v="78"/>
    <s v="SecondQuartile"/>
    <n v="2"/>
    <x v="1"/>
    <s v="Y56"/>
    <x v="1"/>
    <n v="273"/>
    <x v="4"/>
  </r>
  <r>
    <x v="5"/>
    <n v="2"/>
    <s v="RPY"/>
    <x v="2"/>
    <n v="3"/>
    <x v="77"/>
    <s v="ThirdQuartile"/>
    <n v="3"/>
    <x v="0"/>
    <s v="Y56"/>
    <x v="1"/>
    <n v="282"/>
    <x v="4"/>
  </r>
  <r>
    <x v="5"/>
    <n v="2"/>
    <s v="RCU"/>
    <x v="2"/>
    <n v="3"/>
    <x v="82"/>
    <s v="ThirdQuartile"/>
    <n v="3"/>
    <x v="0"/>
    <s v="Y63"/>
    <x v="2"/>
    <n v="425"/>
    <x v="4"/>
  </r>
  <r>
    <x v="5"/>
    <n v="2"/>
    <s v="RQ3"/>
    <x v="3"/>
    <n v="4"/>
    <x v="81"/>
    <s v="FourthQuartile"/>
    <n v="4"/>
    <x v="0"/>
    <s v="Y60"/>
    <x v="3"/>
    <n v="284"/>
    <x v="4"/>
  </r>
  <r>
    <x v="5"/>
    <n v="2"/>
    <s v="RAN"/>
    <x v="3"/>
    <n v="4"/>
    <x v="83"/>
    <s v="FourthQuartile"/>
    <n v="4"/>
    <x v="0"/>
    <s v="Y56"/>
    <x v="1"/>
    <n v="392"/>
    <x v="4"/>
  </r>
  <r>
    <x v="5"/>
    <n v="2"/>
    <s v="RBQ"/>
    <x v="3"/>
    <n v="4"/>
    <x v="84"/>
    <s v="FourthQuartile"/>
    <n v="4"/>
    <x v="0"/>
    <s v="Y62"/>
    <x v="6"/>
    <n v="410"/>
    <x v="4"/>
  </r>
  <r>
    <x v="5"/>
    <n v="2"/>
    <s v="RGP"/>
    <x v="0"/>
    <n v="1"/>
    <x v="115"/>
    <s v="TopQuartile"/>
    <n v="1"/>
    <x v="0"/>
    <s v="Y61"/>
    <x v="4"/>
    <n v="177"/>
    <x v="5"/>
  </r>
  <r>
    <x v="5"/>
    <n v="2"/>
    <s v="RBL"/>
    <x v="0"/>
    <n v="1"/>
    <x v="88"/>
    <s v="TopQuartile"/>
    <n v="1"/>
    <x v="0"/>
    <s v="Y62"/>
    <x v="6"/>
    <n v="408"/>
    <x v="5"/>
  </r>
  <r>
    <x v="5"/>
    <n v="2"/>
    <s v="RXN"/>
    <x v="0"/>
    <n v="1"/>
    <x v="89"/>
    <s v="TopQuartile"/>
    <n v="1"/>
    <x v="0"/>
    <s v="Y62"/>
    <x v="6"/>
    <n v="438"/>
    <x v="5"/>
  </r>
  <r>
    <x v="5"/>
    <n v="2"/>
    <s v="RTG"/>
    <x v="0"/>
    <n v="1"/>
    <x v="86"/>
    <s v="TopQuartile"/>
    <n v="1"/>
    <x v="0"/>
    <s v="Y60"/>
    <x v="3"/>
    <n v="320"/>
    <x v="5"/>
  </r>
  <r>
    <x v="5"/>
    <n v="2"/>
    <s v="RAE"/>
    <x v="0"/>
    <n v="1"/>
    <x v="85"/>
    <s v="TopQuartile"/>
    <n v="1"/>
    <x v="0"/>
    <s v="Y63"/>
    <x v="2"/>
    <n v="389"/>
    <x v="5"/>
  </r>
  <r>
    <x v="5"/>
    <n v="2"/>
    <s v="RHM"/>
    <x v="0"/>
    <n v="1"/>
    <x v="91"/>
    <s v="TopQuartile"/>
    <n v="1"/>
    <x v="0"/>
    <s v="Y59"/>
    <x v="0"/>
    <n v="188"/>
    <x v="5"/>
  </r>
  <r>
    <x v="5"/>
    <n v="2"/>
    <s v="RGT"/>
    <x v="1"/>
    <n v="2"/>
    <x v="87"/>
    <s v="SecondQuartile"/>
    <n v="2"/>
    <x v="0"/>
    <s v="Y61"/>
    <x v="4"/>
    <n v="180"/>
    <x v="5"/>
  </r>
  <r>
    <x v="5"/>
    <n v="2"/>
    <s v="RHQ"/>
    <x v="1"/>
    <n v="2"/>
    <x v="96"/>
    <s v="TopQuartile"/>
    <n v="1"/>
    <x v="1"/>
    <s v="Y63"/>
    <x v="2"/>
    <n v="190"/>
    <x v="5"/>
  </r>
  <r>
    <x v="5"/>
    <n v="2"/>
    <s v="RF4"/>
    <x v="1"/>
    <n v="2"/>
    <x v="93"/>
    <s v="SecondQuartile"/>
    <n v="2"/>
    <x v="0"/>
    <s v="Y56"/>
    <x v="1"/>
    <n v="162"/>
    <x v="5"/>
  </r>
  <r>
    <x v="5"/>
    <n v="2"/>
    <s v="RJC"/>
    <x v="1"/>
    <n v="2"/>
    <x v="94"/>
    <s v="TopQuartile"/>
    <n v="1"/>
    <x v="1"/>
    <s v="Y60"/>
    <x v="3"/>
    <n v="203"/>
    <x v="5"/>
  </r>
  <r>
    <x v="5"/>
    <n v="2"/>
    <s v="RTX"/>
    <x v="1"/>
    <n v="2"/>
    <x v="97"/>
    <s v="SecondQuartile"/>
    <n v="2"/>
    <x v="0"/>
    <s v="Y62"/>
    <x v="6"/>
    <n v="331"/>
    <x v="5"/>
  </r>
  <r>
    <x v="5"/>
    <n v="2"/>
    <s v="RM3"/>
    <x v="1"/>
    <n v="2"/>
    <x v="92"/>
    <s v="SecondQuartile"/>
    <n v="2"/>
    <x v="0"/>
    <s v="Y62"/>
    <x v="6"/>
    <n v="236"/>
    <x v="5"/>
  </r>
  <r>
    <x v="5"/>
    <n v="2"/>
    <s v="RAL"/>
    <x v="1"/>
    <n v="2"/>
    <x v="100"/>
    <s v="SecondQuartile"/>
    <n v="2"/>
    <x v="0"/>
    <s v="Y56"/>
    <x v="1"/>
    <n v="391"/>
    <x v="5"/>
  </r>
  <r>
    <x v="5"/>
    <n v="2"/>
    <s v="RYR"/>
    <x v="1"/>
    <n v="2"/>
    <x v="98"/>
    <s v="SecondQuartile"/>
    <n v="2"/>
    <x v="0"/>
    <s v="Y59"/>
    <x v="0"/>
    <n v="279"/>
    <x v="5"/>
  </r>
  <r>
    <x v="5"/>
    <n v="2"/>
    <s v="RQX"/>
    <x v="1"/>
    <n v="2"/>
    <x v="99"/>
    <s v="SecondQuartile"/>
    <n v="2"/>
    <x v="0"/>
    <s v="Y56"/>
    <x v="1"/>
    <n v="293"/>
    <x v="5"/>
  </r>
  <r>
    <x v="5"/>
    <n v="2"/>
    <s v="RWW"/>
    <x v="1"/>
    <n v="2"/>
    <x v="114"/>
    <s v="SecondQuartile"/>
    <n v="2"/>
    <x v="0"/>
    <s v="Y62"/>
    <x v="6"/>
    <n v="370"/>
    <x v="5"/>
  </r>
  <r>
    <x v="5"/>
    <n v="2"/>
    <s v="RBN"/>
    <x v="1"/>
    <n v="2"/>
    <x v="95"/>
    <s v="SecondQuartile"/>
    <n v="2"/>
    <x v="0"/>
    <s v="Y62"/>
    <x v="6"/>
    <n v="96"/>
    <x v="5"/>
  </r>
  <r>
    <x v="5"/>
    <n v="2"/>
    <s v="RBN"/>
    <x v="1"/>
    <n v="2"/>
    <x v="95"/>
    <s v="SecondQuartile"/>
    <n v="2"/>
    <x v="0"/>
    <s v="Y62"/>
    <x v="6"/>
    <n v="347"/>
    <x v="5"/>
  </r>
  <r>
    <x v="5"/>
    <n v="2"/>
    <s v="RBN"/>
    <x v="1"/>
    <n v="2"/>
    <x v="95"/>
    <s v="SecondQuartile"/>
    <n v="2"/>
    <x v="0"/>
    <s v="Y62"/>
    <x v="6"/>
    <n v="409"/>
    <x v="5"/>
  </r>
  <r>
    <x v="5"/>
    <n v="2"/>
    <s v="RTD"/>
    <x v="1"/>
    <n v="2"/>
    <x v="90"/>
    <s v="SecondQuartile"/>
    <n v="2"/>
    <x v="0"/>
    <s v="Y63"/>
    <x v="2"/>
    <n v="317"/>
    <x v="5"/>
  </r>
  <r>
    <x v="5"/>
    <n v="2"/>
    <s v="RWE"/>
    <x v="1"/>
    <n v="2"/>
    <x v="106"/>
    <s v="SecondQuartile"/>
    <n v="2"/>
    <x v="0"/>
    <s v="Y60"/>
    <x v="3"/>
    <n v="358"/>
    <x v="5"/>
  </r>
  <r>
    <x v="5"/>
    <n v="2"/>
    <s v="RTR"/>
    <x v="1"/>
    <n v="2"/>
    <x v="113"/>
    <s v="SecondQuartile"/>
    <n v="2"/>
    <x v="0"/>
    <s v="Y63"/>
    <x v="2"/>
    <n v="328"/>
    <x v="5"/>
  </r>
  <r>
    <x v="5"/>
    <n v="2"/>
    <s v="RVV"/>
    <x v="2"/>
    <n v="3"/>
    <x v="102"/>
    <s v="SecondQuartile"/>
    <n v="2"/>
    <x v="1"/>
    <s v="Y59"/>
    <x v="0"/>
    <n v="344"/>
    <x v="5"/>
  </r>
  <r>
    <x v="5"/>
    <n v="2"/>
    <s v="RWA"/>
    <x v="2"/>
    <n v="3"/>
    <x v="103"/>
    <s v="ThirdQuartile"/>
    <n v="3"/>
    <x v="0"/>
    <s v="Y63"/>
    <x v="2"/>
    <n v="356"/>
    <x v="5"/>
  </r>
  <r>
    <x v="5"/>
    <n v="2"/>
    <s v="RKB"/>
    <x v="2"/>
    <n v="3"/>
    <x v="105"/>
    <s v="ThirdQuartile"/>
    <n v="3"/>
    <x v="0"/>
    <s v="Y60"/>
    <x v="3"/>
    <n v="218"/>
    <x v="5"/>
  </r>
  <r>
    <x v="5"/>
    <n v="2"/>
    <s v="RVR"/>
    <x v="2"/>
    <n v="3"/>
    <x v="108"/>
    <s v="ThirdQuartile"/>
    <n v="3"/>
    <x v="0"/>
    <s v="Y56"/>
    <x v="1"/>
    <n v="343"/>
    <x v="5"/>
  </r>
  <r>
    <x v="5"/>
    <n v="2"/>
    <s v="RAP"/>
    <x v="2"/>
    <n v="3"/>
    <x v="111"/>
    <s v="ThirdQuartile"/>
    <n v="3"/>
    <x v="0"/>
    <s v="Y56"/>
    <x v="1"/>
    <n v="393"/>
    <x v="5"/>
  </r>
  <r>
    <x v="5"/>
    <n v="2"/>
    <s v="R1H"/>
    <x v="2"/>
    <n v="3"/>
    <x v="110"/>
    <s v="ThirdQuartile"/>
    <n v="3"/>
    <x v="0"/>
    <s v="Y56"/>
    <x v="1"/>
    <n v="259"/>
    <x v="5"/>
  </r>
  <r>
    <x v="5"/>
    <n v="2"/>
    <s v="RWG"/>
    <x v="2"/>
    <n v="3"/>
    <x v="116"/>
    <s v="ThirdQuartile"/>
    <n v="3"/>
    <x v="0"/>
    <s v="Y61"/>
    <x v="4"/>
    <n v="360"/>
    <x v="5"/>
  </r>
  <r>
    <x v="5"/>
    <n v="2"/>
    <s v="RJ7"/>
    <x v="2"/>
    <n v="3"/>
    <x v="109"/>
    <s v="ThirdQuartile"/>
    <n v="3"/>
    <x v="0"/>
    <s v="Y56"/>
    <x v="1"/>
    <n v="200"/>
    <x v="5"/>
  </r>
  <r>
    <x v="5"/>
    <n v="2"/>
    <s v="RD8"/>
    <x v="2"/>
    <n v="3"/>
    <x v="107"/>
    <s v="ThirdQuartile"/>
    <n v="3"/>
    <x v="0"/>
    <s v="Y61"/>
    <x v="4"/>
    <n v="430"/>
    <x v="5"/>
  </r>
  <r>
    <x v="5"/>
    <n v="2"/>
    <s v="RRV"/>
    <x v="2"/>
    <n v="3"/>
    <x v="104"/>
    <s v="ThirdQuartile"/>
    <n v="3"/>
    <x v="0"/>
    <s v="Y56"/>
    <x v="1"/>
    <n v="309"/>
    <x v="5"/>
  </r>
  <r>
    <x v="5"/>
    <n v="2"/>
    <s v="RR8"/>
    <x v="2"/>
    <n v="3"/>
    <x v="118"/>
    <s v="ThirdQuartile"/>
    <n v="3"/>
    <x v="0"/>
    <s v="Y63"/>
    <x v="2"/>
    <n v="298"/>
    <x v="5"/>
  </r>
  <r>
    <x v="5"/>
    <n v="2"/>
    <s v="RXL"/>
    <x v="2"/>
    <n v="3"/>
    <x v="119"/>
    <s v="ThirdQuartile"/>
    <n v="3"/>
    <x v="0"/>
    <s v="Y62"/>
    <x v="6"/>
    <n v="382"/>
    <x v="5"/>
  </r>
  <r>
    <x v="5"/>
    <n v="2"/>
    <s v="RK9"/>
    <x v="2"/>
    <n v="3"/>
    <x v="120"/>
    <s v="ThirdQuartile"/>
    <n v="3"/>
    <x v="0"/>
    <s v="Y58"/>
    <x v="5"/>
    <n v="216"/>
    <x v="5"/>
  </r>
  <r>
    <x v="5"/>
    <n v="2"/>
    <s v="RXF"/>
    <x v="2"/>
    <n v="3"/>
    <x v="112"/>
    <s v="ThirdQuartile"/>
    <n v="3"/>
    <x v="0"/>
    <s v="Y63"/>
    <x v="2"/>
    <n v="377"/>
    <x v="5"/>
  </r>
  <r>
    <x v="5"/>
    <n v="2"/>
    <s v="REM"/>
    <x v="2"/>
    <n v="3"/>
    <x v="122"/>
    <s v="ThirdQuartile"/>
    <n v="3"/>
    <x v="0"/>
    <s v="Y62"/>
    <x v="6"/>
    <n v="287"/>
    <x v="5"/>
  </r>
  <r>
    <x v="5"/>
    <n v="2"/>
    <s v="R0A"/>
    <x v="2"/>
    <n v="3"/>
    <x v="123"/>
    <s v="FourthQuartile"/>
    <n v="4"/>
    <x v="2"/>
    <s v="Y62"/>
    <x v="6"/>
    <n v="349"/>
    <x v="5"/>
  </r>
  <r>
    <x v="5"/>
    <n v="2"/>
    <s v="RJ1"/>
    <x v="3"/>
    <n v="4"/>
    <x v="124"/>
    <s v="FourthQuartile"/>
    <n v="4"/>
    <x v="0"/>
    <s v="Y56"/>
    <x v="1"/>
    <n v="196"/>
    <x v="5"/>
  </r>
  <r>
    <x v="5"/>
    <n v="2"/>
    <s v="R1K"/>
    <x v="3"/>
    <n v="4"/>
    <x v="121"/>
    <s v="ThirdQuartile"/>
    <n v="3"/>
    <x v="1"/>
    <s v="Y56"/>
    <x v="1"/>
    <n v="337"/>
    <x v="5"/>
  </r>
  <r>
    <x v="5"/>
    <n v="2"/>
    <s v="RP5"/>
    <x v="3"/>
    <n v="4"/>
    <x v="101"/>
    <s v="FourthQuartile"/>
    <n v="4"/>
    <x v="0"/>
    <s v="Y63"/>
    <x v="2"/>
    <n v="272"/>
    <x v="5"/>
  </r>
  <r>
    <x v="5"/>
    <n v="2"/>
    <s v="RTH"/>
    <x v="3"/>
    <n v="4"/>
    <x v="125"/>
    <s v="FourthQuartile"/>
    <n v="4"/>
    <x v="0"/>
    <s v="Y59"/>
    <x v="0"/>
    <n v="321"/>
    <x v="5"/>
  </r>
  <r>
    <x v="5"/>
    <n v="2"/>
    <s v="RRK"/>
    <x v="3"/>
    <n v="4"/>
    <x v="126"/>
    <s v="FourthQuartile"/>
    <n v="4"/>
    <x v="0"/>
    <s v="Y60"/>
    <x v="3"/>
    <n v="304"/>
    <x v="5"/>
  </r>
  <r>
    <x v="5"/>
    <n v="2"/>
    <s v="RJZ"/>
    <x v="3"/>
    <n v="4"/>
    <x v="117"/>
    <s v="FourthQuartile"/>
    <n v="4"/>
    <x v="0"/>
    <s v="Y56"/>
    <x v="1"/>
    <n v="213"/>
    <x v="5"/>
  </r>
  <r>
    <x v="5"/>
    <n v="2"/>
    <s v="RA7"/>
    <x v="3"/>
    <n v="4"/>
    <x v="127"/>
    <s v="FourthQuartile"/>
    <n v="4"/>
    <x v="0"/>
    <s v="Y58"/>
    <x v="5"/>
    <n v="387"/>
    <x v="5"/>
  </r>
  <r>
    <x v="5"/>
    <n v="2"/>
    <s v="RJE"/>
    <x v="3"/>
    <n v="4"/>
    <x v="129"/>
    <s v="FourthQuartile"/>
    <n v="4"/>
    <x v="0"/>
    <s v="Y60"/>
    <x v="3"/>
    <n v="205"/>
    <x v="5"/>
  </r>
  <r>
    <x v="5"/>
    <n v="2"/>
    <s v="RCB"/>
    <x v="3"/>
    <n v="4"/>
    <x v="128"/>
    <s v="FourthQuartile"/>
    <n v="4"/>
    <x v="0"/>
    <s v="Y63"/>
    <x v="2"/>
    <n v="419"/>
    <x v="5"/>
  </r>
  <r>
    <x v="5"/>
    <n v="2"/>
    <s v="RYJ"/>
    <x v="3"/>
    <n v="4"/>
    <x v="130"/>
    <s v="FourthQuartile"/>
    <n v="4"/>
    <x v="0"/>
    <s v="Y56"/>
    <x v="1"/>
    <n v="290"/>
    <x v="5"/>
  </r>
  <r>
    <x v="5"/>
    <n v="2"/>
    <s v="RQM"/>
    <x v="3"/>
    <n v="4"/>
    <x v="131"/>
    <s v="FourthQuartile"/>
    <n v="4"/>
    <x v="0"/>
    <s v="Y56"/>
    <x v="1"/>
    <n v="289"/>
    <x v="5"/>
  </r>
  <r>
    <x v="5"/>
    <n v="2"/>
    <s v="R0D"/>
    <x v="3"/>
    <n v="4"/>
    <x v="132"/>
    <s v="FourthQuartile"/>
    <n v="4"/>
    <x v="0"/>
    <s v="Y58"/>
    <x v="5"/>
    <n v="153"/>
    <x v="5"/>
  </r>
  <r>
    <x v="5"/>
    <n v="2"/>
    <s v="RM1"/>
    <x v="3"/>
    <n v="4"/>
    <x v="134"/>
    <s v="FourthQuartile"/>
    <n v="4"/>
    <x v="0"/>
    <s v="Y61"/>
    <x v="4"/>
    <n v="234"/>
    <x v="5"/>
  </r>
  <r>
    <x v="5"/>
    <n v="2"/>
    <s v="RX1"/>
    <x v="3"/>
    <n v="4"/>
    <x v="133"/>
    <s v="FourthQuartile"/>
    <n v="4"/>
    <x v="0"/>
    <s v="Y60"/>
    <x v="3"/>
    <n v="164"/>
    <x v="5"/>
  </r>
  <r>
    <x v="5"/>
    <n v="2"/>
    <s v="RYA"/>
    <x v="1"/>
    <n v="2"/>
    <x v="136"/>
    <s v="SecondQuartile"/>
    <n v="2"/>
    <x v="0"/>
    <s v="Y60"/>
    <x v="3"/>
    <n v="217"/>
    <x v="6"/>
  </r>
  <r>
    <x v="5"/>
    <n v="2"/>
    <s v="RYE"/>
    <x v="2"/>
    <n v="3"/>
    <x v="137"/>
    <s v="ThirdQuartile"/>
    <n v="3"/>
    <x v="0"/>
    <s v="Y59"/>
    <x v="0"/>
    <n v="195"/>
    <x v="6"/>
  </r>
  <r>
    <x v="5"/>
    <n v="2"/>
    <s v="RYD"/>
    <x v="2"/>
    <n v="3"/>
    <x v="135"/>
    <s v="ThirdQuartile"/>
    <n v="3"/>
    <x v="0"/>
    <s v="Y59"/>
    <x v="0"/>
    <n v="278"/>
    <x v="6"/>
  </r>
  <r>
    <x v="5"/>
    <n v="2"/>
    <s v="RX7"/>
    <x v="2"/>
    <n v="3"/>
    <x v="142"/>
    <s v="ThirdQuartile"/>
    <n v="3"/>
    <x v="0"/>
    <s v="Y62"/>
    <x v="6"/>
    <n v="242"/>
    <x v="6"/>
  </r>
  <r>
    <x v="5"/>
    <n v="2"/>
    <s v="RX6"/>
    <x v="2"/>
    <n v="3"/>
    <x v="138"/>
    <s v="ThirdQuartile"/>
    <n v="3"/>
    <x v="0"/>
    <s v="Y63"/>
    <x v="2"/>
    <n v="340"/>
    <x v="6"/>
  </r>
  <r>
    <x v="5"/>
    <n v="2"/>
    <s v="RX8"/>
    <x v="3"/>
    <n v="4"/>
    <x v="139"/>
    <s v="FourthQuartile"/>
    <n v="4"/>
    <x v="0"/>
    <s v="Y63"/>
    <x v="2"/>
    <n v="174"/>
    <x v="6"/>
  </r>
  <r>
    <x v="5"/>
    <n v="2"/>
    <s v="RYC"/>
    <x v="3"/>
    <n v="4"/>
    <x v="140"/>
    <s v="FourthQuartile"/>
    <n v="4"/>
    <x v="0"/>
    <s v="Y61"/>
    <x v="4"/>
    <n v="247"/>
    <x v="6"/>
  </r>
  <r>
    <x v="5"/>
    <n v="2"/>
    <s v="RYF"/>
    <x v="3"/>
    <n v="4"/>
    <x v="143"/>
    <s v="FourthQuartile"/>
    <n v="4"/>
    <x v="0"/>
    <s v="Y58"/>
    <x v="5"/>
    <n v="202"/>
    <x v="6"/>
  </r>
  <r>
    <x v="5"/>
    <n v="2"/>
    <s v="RRU"/>
    <x v="3"/>
    <n v="4"/>
    <x v="141"/>
    <s v="FourthQuartile"/>
    <n v="4"/>
    <x v="0"/>
    <s v="Y56"/>
    <x v="1"/>
    <n v="308"/>
    <x v="6"/>
  </r>
  <r>
    <x v="5"/>
    <n v="2"/>
    <s v="RX9"/>
    <x v="3"/>
    <n v="4"/>
    <x v="144"/>
    <s v="FourthQuartile"/>
    <n v="4"/>
    <x v="0"/>
    <s v="Y60"/>
    <x v="3"/>
    <n v="335"/>
    <x v="6"/>
  </r>
  <r>
    <x v="5"/>
    <n v="2"/>
    <s v="TAD"/>
    <x v="1"/>
    <n v="2"/>
    <x v="145"/>
    <s v="ThirdQuartile"/>
    <n v="3"/>
    <x v="2"/>
    <s v="Y63"/>
    <x v="2"/>
    <n v="453"/>
    <x v="7"/>
  </r>
  <r>
    <x v="5"/>
    <n v="2"/>
    <s v="TAH"/>
    <x v="1"/>
    <n v="2"/>
    <x v="146"/>
    <s v="SecondQuartile"/>
    <n v="2"/>
    <x v="0"/>
    <s v="Y63"/>
    <x v="2"/>
    <n v="457"/>
    <x v="7"/>
  </r>
  <r>
    <x v="5"/>
    <n v="2"/>
    <s v="TAF"/>
    <x v="3"/>
    <n v="4"/>
    <x v="147"/>
    <s v="ThirdQuartile"/>
    <n v="3"/>
    <x v="1"/>
    <s v="Y56"/>
    <x v="1"/>
    <n v="455"/>
    <x v="7"/>
  </r>
  <r>
    <x v="5"/>
    <n v="2"/>
    <s v="0DF"/>
    <x v="0"/>
    <n v="1"/>
    <x v="149"/>
    <s v="TopQuartile"/>
    <n v="1"/>
    <x v="0"/>
    <s v="QZZ"/>
    <x v="7"/>
    <n v="891"/>
    <x v="8"/>
  </r>
  <r>
    <x v="5"/>
    <n v="2"/>
    <s v="0CX"/>
    <x v="0"/>
    <n v="1"/>
    <x v="150"/>
    <s v="TopQuartile"/>
    <n v="1"/>
    <x v="0"/>
    <s v="QZZ"/>
    <x v="7"/>
    <n v="877"/>
    <x v="8"/>
  </r>
  <r>
    <x v="5"/>
    <n v="2"/>
    <s v="0DE"/>
    <x v="1"/>
    <n v="2"/>
    <x v="151"/>
    <s v="SecondQuartile"/>
    <n v="2"/>
    <x v="0"/>
    <s v="QZZ"/>
    <x v="7"/>
    <n v="880"/>
    <x v="8"/>
  </r>
  <r>
    <x v="5"/>
    <n v="2"/>
    <s v="0AR"/>
    <x v="3"/>
    <n v="4"/>
    <x v="148"/>
    <s v="FourthQuartile"/>
    <n v="4"/>
    <x v="0"/>
    <s v="QZZ"/>
    <x v="7"/>
    <n v="869"/>
    <x v="8"/>
  </r>
  <r>
    <x v="5"/>
    <n v="2"/>
    <s v="R1D"/>
    <x v="0"/>
    <n v="1"/>
    <x v="160"/>
    <s v="TopQuartile"/>
    <n v="1"/>
    <x v="0"/>
    <s v="Y60"/>
    <x v="3"/>
    <n v="825"/>
    <x v="9"/>
  </r>
  <r>
    <x v="5"/>
    <n v="2"/>
    <s v="R1C"/>
    <x v="0"/>
    <n v="1"/>
    <x v="152"/>
    <s v="TopQuartile"/>
    <n v="1"/>
    <x v="0"/>
    <s v="Y59"/>
    <x v="0"/>
    <n v="449"/>
    <x v="9"/>
  </r>
  <r>
    <x v="5"/>
    <n v="2"/>
    <s v="AXG"/>
    <x v="0"/>
    <n v="1"/>
    <x v="155"/>
    <s v="TopQuartile"/>
    <n v="1"/>
    <x v="0"/>
    <s v="Y58"/>
    <x v="5"/>
    <n v="85"/>
    <x v="9"/>
  </r>
  <r>
    <x v="5"/>
    <n v="2"/>
    <s v="RYY"/>
    <x v="0"/>
    <n v="1"/>
    <x v="154"/>
    <s v="TopQuartile"/>
    <n v="1"/>
    <x v="0"/>
    <s v="Y59"/>
    <x v="0"/>
    <n v="846"/>
    <x v="9"/>
  </r>
  <r>
    <x v="5"/>
    <n v="2"/>
    <s v="NQ7"/>
    <x v="0"/>
    <n v="1"/>
    <x v="153"/>
    <s v="TopQuartile"/>
    <n v="1"/>
    <x v="0"/>
    <s v="Y59"/>
    <x v="0"/>
    <n v="813"/>
    <x v="9"/>
  </r>
  <r>
    <x v="5"/>
    <n v="2"/>
    <s v="8J318"/>
    <x v="0"/>
    <n v="1"/>
    <x v="157"/>
    <s v="TopQuartile"/>
    <n v="1"/>
    <x v="0"/>
    <s v="Y63"/>
    <x v="2"/>
    <n v="98"/>
    <x v="9"/>
  </r>
  <r>
    <x v="5"/>
    <n v="2"/>
    <s v="NQA"/>
    <x v="0"/>
    <n v="1"/>
    <x v="161"/>
    <s v="TopQuartile"/>
    <n v="1"/>
    <x v="0"/>
    <s v="Y61"/>
    <x v="4"/>
    <n v="828"/>
    <x v="9"/>
  </r>
  <r>
    <x v="5"/>
    <n v="2"/>
    <s v="RY5"/>
    <x v="1"/>
    <n v="2"/>
    <x v="156"/>
    <s v="SecondQuartile"/>
    <n v="2"/>
    <x v="0"/>
    <s v="Y60"/>
    <x v="3"/>
    <n v="818"/>
    <x v="9"/>
  </r>
  <r>
    <x v="5"/>
    <n v="2"/>
    <s v="RDR"/>
    <x v="1"/>
    <n v="2"/>
    <x v="158"/>
    <s v="SecondQuartile"/>
    <n v="2"/>
    <x v="0"/>
    <s v="Y59"/>
    <x v="0"/>
    <n v="150"/>
    <x v="9"/>
  </r>
  <r>
    <x v="5"/>
    <n v="2"/>
    <s v="NAX"/>
    <x v="1"/>
    <n v="2"/>
    <x v="163"/>
    <s v="SecondQuartile"/>
    <n v="2"/>
    <x v="0"/>
    <s v="Y61"/>
    <x v="4"/>
    <n v="849"/>
    <x v="9"/>
  </r>
  <r>
    <x v="5"/>
    <n v="2"/>
    <s v="NQL"/>
    <x v="1"/>
    <n v="2"/>
    <x v="166"/>
    <s v="SecondQuartile"/>
    <n v="2"/>
    <x v="0"/>
    <s v="Y63"/>
    <x v="2"/>
    <n v="816"/>
    <x v="9"/>
  </r>
  <r>
    <x v="5"/>
    <n v="2"/>
    <s v="NL3"/>
    <x v="1"/>
    <n v="2"/>
    <x v="164"/>
    <s v="SecondQuartile"/>
    <n v="2"/>
    <x v="0"/>
    <s v="Y63"/>
    <x v="2"/>
    <n v="814"/>
    <x v="9"/>
  </r>
  <r>
    <x v="5"/>
    <n v="2"/>
    <s v="RY7"/>
    <x v="1"/>
    <n v="2"/>
    <x v="159"/>
    <s v="SecondQuartile"/>
    <n v="2"/>
    <x v="0"/>
    <s v="Y62"/>
    <x v="6"/>
    <n v="844"/>
    <x v="9"/>
  </r>
  <r>
    <x v="5"/>
    <n v="2"/>
    <s v="RY9"/>
    <x v="1"/>
    <n v="2"/>
    <x v="168"/>
    <s v="SecondQuartile"/>
    <n v="2"/>
    <x v="0"/>
    <s v="Y56"/>
    <x v="1"/>
    <n v="779"/>
    <x v="9"/>
  </r>
  <r>
    <x v="5"/>
    <n v="2"/>
    <s v="R1A"/>
    <x v="1"/>
    <n v="2"/>
    <x v="170"/>
    <s v="SecondQuartile"/>
    <n v="2"/>
    <x v="0"/>
    <s v="Y60"/>
    <x v="3"/>
    <n v="798"/>
    <x v="9"/>
  </r>
  <r>
    <x v="5"/>
    <n v="2"/>
    <s v="NNV"/>
    <x v="1"/>
    <n v="2"/>
    <x v="165"/>
    <s v="TopQuartile"/>
    <n v="1"/>
    <x v="1"/>
    <s v="Y56"/>
    <x v="1"/>
    <n v="811"/>
    <x v="9"/>
  </r>
  <r>
    <x v="5"/>
    <n v="2"/>
    <s v="RY4"/>
    <x v="2"/>
    <n v="3"/>
    <x v="167"/>
    <s v="ThirdQuartile"/>
    <n v="3"/>
    <x v="0"/>
    <s v="Y61"/>
    <x v="4"/>
    <n v="812"/>
    <x v="9"/>
  </r>
  <r>
    <x v="5"/>
    <n v="2"/>
    <s v="RYV"/>
    <x v="2"/>
    <n v="3"/>
    <x v="171"/>
    <s v="ThirdQuartile"/>
    <n v="3"/>
    <x v="0"/>
    <s v="Y61"/>
    <x v="4"/>
    <n v="448"/>
    <x v="9"/>
  </r>
  <r>
    <x v="5"/>
    <n v="2"/>
    <s v="RY3"/>
    <x v="2"/>
    <n v="3"/>
    <x v="169"/>
    <s v="SecondQuartile"/>
    <n v="2"/>
    <x v="1"/>
    <s v="Y61"/>
    <x v="4"/>
    <n v="839"/>
    <x v="9"/>
  </r>
  <r>
    <x v="5"/>
    <n v="2"/>
    <s v="RY2"/>
    <x v="2"/>
    <n v="3"/>
    <x v="174"/>
    <s v="ThirdQuartile"/>
    <n v="3"/>
    <x v="0"/>
    <s v="Y62"/>
    <x v="6"/>
    <n v="835"/>
    <x v="9"/>
  </r>
  <r>
    <x v="5"/>
    <n v="2"/>
    <s v="RY8"/>
    <x v="2"/>
    <n v="3"/>
    <x v="172"/>
    <s v="ThirdQuartile"/>
    <n v="3"/>
    <x v="0"/>
    <s v="Y60"/>
    <x v="3"/>
    <n v="842"/>
    <x v="9"/>
  </r>
  <r>
    <x v="5"/>
    <n v="2"/>
    <s v="NR3"/>
    <x v="2"/>
    <n v="3"/>
    <x v="175"/>
    <s v="ThirdQuartile"/>
    <n v="3"/>
    <x v="0"/>
    <s v="Y60"/>
    <x v="3"/>
    <n v="826"/>
    <x v="9"/>
  </r>
  <r>
    <x v="5"/>
    <n v="2"/>
    <s v="NNF"/>
    <x v="2"/>
    <n v="3"/>
    <x v="173"/>
    <s v="ThirdQuartile"/>
    <n v="3"/>
    <x v="0"/>
    <s v="Y63"/>
    <x v="2"/>
    <n v="810"/>
    <x v="9"/>
  </r>
  <r>
    <x v="5"/>
    <n v="2"/>
    <s v="NL1"/>
    <x v="2"/>
    <n v="3"/>
    <x v="162"/>
    <s v="ThirdQuartile"/>
    <n v="3"/>
    <x v="0"/>
    <s v="Y63"/>
    <x v="2"/>
    <n v="847"/>
    <x v="9"/>
  </r>
  <r>
    <x v="5"/>
    <n v="2"/>
    <s v="RYW"/>
    <x v="2"/>
    <n v="3"/>
    <x v="176"/>
    <s v="ThirdQuartile"/>
    <n v="3"/>
    <x v="0"/>
    <s v="Y60"/>
    <x v="3"/>
    <n v="820"/>
    <x v="9"/>
  </r>
  <r>
    <x v="5"/>
    <n v="2"/>
    <s v="NL8"/>
    <x v="2"/>
    <n v="3"/>
    <x v="177"/>
    <s v="ThirdQuartile"/>
    <n v="3"/>
    <x v="0"/>
    <s v="Y63"/>
    <x v="2"/>
    <n v="845"/>
    <x v="9"/>
  </r>
  <r>
    <x v="5"/>
    <n v="2"/>
    <s v="NQV"/>
    <x v="2"/>
    <n v="3"/>
    <x v="178"/>
    <s v="FourthQuartile"/>
    <n v="4"/>
    <x v="2"/>
    <s v="Y56"/>
    <x v="1"/>
    <n v="848"/>
    <x v="9"/>
  </r>
  <r>
    <x v="5"/>
    <n v="2"/>
    <s v="RY6"/>
    <x v="3"/>
    <n v="4"/>
    <x v="180"/>
    <s v="FourthQuartile"/>
    <n v="4"/>
    <x v="0"/>
    <s v="Y63"/>
    <x v="2"/>
    <n v="833"/>
    <x v="9"/>
  </r>
  <r>
    <x v="5"/>
    <n v="2"/>
    <s v="NDJ"/>
    <x v="3"/>
    <n v="4"/>
    <x v="185"/>
    <s v="FourthQuartile"/>
    <n v="4"/>
    <x v="0"/>
    <s v="Y59"/>
    <x v="0"/>
    <n v="78"/>
    <x v="9"/>
  </r>
  <r>
    <x v="5"/>
    <n v="2"/>
    <s v="NLX"/>
    <x v="3"/>
    <n v="4"/>
    <x v="181"/>
    <s v="FourthQuartile"/>
    <n v="4"/>
    <x v="0"/>
    <s v="Y58"/>
    <x v="5"/>
    <n v="83"/>
    <x v="9"/>
  </r>
  <r>
    <x v="5"/>
    <n v="2"/>
    <s v="RYX"/>
    <x v="3"/>
    <n v="4"/>
    <x v="179"/>
    <s v="FourthQuartile"/>
    <n v="4"/>
    <x v="0"/>
    <s v="Y56"/>
    <x v="1"/>
    <n v="824"/>
    <x v="9"/>
  </r>
  <r>
    <x v="5"/>
    <n v="2"/>
    <s v="NR5"/>
    <x v="3"/>
    <n v="4"/>
    <x v="183"/>
    <s v="FourthQuartile"/>
    <n v="4"/>
    <x v="0"/>
    <s v="Y58"/>
    <x v="5"/>
    <n v="832"/>
    <x v="9"/>
  </r>
  <r>
    <x v="5"/>
    <n v="2"/>
    <s v="RYK"/>
    <x v="3"/>
    <n v="4"/>
    <x v="184"/>
    <s v="FourthQuartile"/>
    <n v="4"/>
    <x v="0"/>
    <s v="Y60"/>
    <x v="3"/>
    <n v="445"/>
    <x v="9"/>
  </r>
  <r>
    <x v="5"/>
    <n v="2"/>
    <s v="NTV"/>
    <x v="3"/>
    <n v="4"/>
    <x v="182"/>
    <s v="FourthQuartile"/>
    <n v="4"/>
    <x v="0"/>
    <s v="Y59"/>
    <x v="0"/>
    <n v="74"/>
    <x v="9"/>
  </r>
  <r>
    <x v="5"/>
    <n v="2"/>
    <s v="NRR"/>
    <x v="3"/>
    <n v="4"/>
    <x v="186"/>
    <s v="FourthQuartile"/>
    <n v="4"/>
    <x v="0"/>
    <s v="Y61"/>
    <x v="4"/>
    <n v="829"/>
    <x v="9"/>
  </r>
  <r>
    <x v="5"/>
    <n v="2"/>
    <s v="QUY"/>
    <x v="0"/>
    <n v="1"/>
    <x v="189"/>
    <s v="TopQuartile"/>
    <n v="1"/>
    <x v="0"/>
    <s v="Y58"/>
    <x v="5"/>
    <n v="461"/>
    <x v="10"/>
  </r>
  <r>
    <x v="5"/>
    <n v="2"/>
    <s v="QNX"/>
    <x v="0"/>
    <n v="1"/>
    <x v="187"/>
    <s v="TopQuartile"/>
    <n v="1"/>
    <x v="0"/>
    <s v="Y59"/>
    <x v="0"/>
    <n v="146"/>
    <x v="10"/>
  </r>
  <r>
    <x v="5"/>
    <n v="2"/>
    <s v="QJM"/>
    <x v="0"/>
    <n v="1"/>
    <x v="199"/>
    <s v="TopQuartile"/>
    <n v="1"/>
    <x v="0"/>
    <s v="Y60"/>
    <x v="3"/>
    <n v="116"/>
    <x v="10"/>
  </r>
  <r>
    <x v="5"/>
    <n v="2"/>
    <s v="QU9"/>
    <x v="0"/>
    <n v="1"/>
    <x v="192"/>
    <s v="TopQuartile"/>
    <n v="1"/>
    <x v="0"/>
    <s v="Y59"/>
    <x v="0"/>
    <n v="482"/>
    <x v="10"/>
  </r>
  <r>
    <x v="5"/>
    <n v="2"/>
    <s v="QOX"/>
    <x v="0"/>
    <n v="1"/>
    <x v="193"/>
    <s v="TopQuartile"/>
    <n v="1"/>
    <x v="0"/>
    <s v="Y58"/>
    <x v="5"/>
    <n v="983"/>
    <x v="10"/>
  </r>
  <r>
    <x v="5"/>
    <n v="2"/>
    <s v="QSL"/>
    <x v="0"/>
    <n v="1"/>
    <x v="197"/>
    <s v="ThirdQuartile"/>
    <n v="3"/>
    <x v="2"/>
    <s v="Y58"/>
    <x v="5"/>
    <n v="462"/>
    <x v="10"/>
  </r>
  <r>
    <x v="5"/>
    <n v="2"/>
    <s v="QNC"/>
    <x v="0"/>
    <n v="1"/>
    <x v="196"/>
    <s v="TopQuartile"/>
    <n v="1"/>
    <x v="0"/>
    <s v="Y60"/>
    <x v="3"/>
    <n v="66"/>
    <x v="10"/>
  </r>
  <r>
    <x v="5"/>
    <n v="2"/>
    <s v="QYG"/>
    <x v="0"/>
    <n v="1"/>
    <x v="191"/>
    <s v="SecondQuartile"/>
    <n v="2"/>
    <x v="2"/>
    <s v="Y62"/>
    <x v="6"/>
    <n v="493"/>
    <x v="10"/>
  </r>
  <r>
    <x v="5"/>
    <n v="2"/>
    <s v="QGH"/>
    <x v="0"/>
    <n v="1"/>
    <x v="190"/>
    <s v="TopQuartile"/>
    <n v="1"/>
    <x v="0"/>
    <s v="Y60"/>
    <x v="3"/>
    <n v="106"/>
    <x v="10"/>
  </r>
  <r>
    <x v="5"/>
    <n v="2"/>
    <s v="QJK"/>
    <x v="0"/>
    <n v="1"/>
    <x v="198"/>
    <s v="TopQuartile"/>
    <n v="1"/>
    <x v="0"/>
    <s v="Y58"/>
    <x v="5"/>
    <n v="144"/>
    <x v="10"/>
  </r>
  <r>
    <x v="5"/>
    <n v="2"/>
    <s v="QR1"/>
    <x v="0"/>
    <n v="1"/>
    <x v="188"/>
    <s v="TopQuartile"/>
    <n v="1"/>
    <x v="0"/>
    <s v="Y58"/>
    <x v="5"/>
    <n v="843"/>
    <x v="10"/>
  </r>
  <r>
    <x v="5"/>
    <n v="2"/>
    <s v="QPM"/>
    <x v="0"/>
    <n v="1"/>
    <x v="195"/>
    <s v="TopQuartile"/>
    <n v="1"/>
    <x v="0"/>
    <s v="Y60"/>
    <x v="3"/>
    <n v="86"/>
    <x v="10"/>
  </r>
  <r>
    <x v="5"/>
    <n v="2"/>
    <s v="QRL"/>
    <x v="0"/>
    <n v="1"/>
    <x v="202"/>
    <s v="TopQuartile"/>
    <n v="1"/>
    <x v="0"/>
    <s v="Y59"/>
    <x v="0"/>
    <n v="104"/>
    <x v="10"/>
  </r>
  <r>
    <x v="5"/>
    <n v="2"/>
    <s v="QK1"/>
    <x v="0"/>
    <n v="1"/>
    <x v="204"/>
    <s v="SecondQuartile"/>
    <n v="2"/>
    <x v="2"/>
    <s v="Y60"/>
    <x v="3"/>
    <n v="994"/>
    <x v="10"/>
  </r>
  <r>
    <x v="5"/>
    <n v="2"/>
    <s v="QMM"/>
    <x v="0"/>
    <n v="1"/>
    <x v="209"/>
    <s v="TopQuartile"/>
    <n v="1"/>
    <x v="0"/>
    <s v="Y61"/>
    <x v="4"/>
    <n v="137"/>
    <x v="10"/>
  </r>
  <r>
    <x v="5"/>
    <n v="2"/>
    <s v="QWU"/>
    <x v="1"/>
    <n v="2"/>
    <x v="206"/>
    <s v="SecondQuartile"/>
    <n v="2"/>
    <x v="0"/>
    <s v="Y60"/>
    <x v="3"/>
    <n v="105"/>
    <x v="10"/>
  </r>
  <r>
    <x v="5"/>
    <n v="2"/>
    <s v="QKK"/>
    <x v="1"/>
    <n v="2"/>
    <x v="205"/>
    <s v="SecondQuartile"/>
    <n v="2"/>
    <x v="0"/>
    <s v="Y56"/>
    <x v="1"/>
    <n v="487"/>
    <x v="10"/>
  </r>
  <r>
    <x v="5"/>
    <n v="2"/>
    <s v="QHG"/>
    <x v="1"/>
    <n v="2"/>
    <x v="194"/>
    <s v="SecondQuartile"/>
    <n v="2"/>
    <x v="0"/>
    <s v="Y61"/>
    <x v="4"/>
    <n v="465"/>
    <x v="10"/>
  </r>
  <r>
    <x v="5"/>
    <n v="2"/>
    <s v="QNQ"/>
    <x v="1"/>
    <n v="2"/>
    <x v="200"/>
    <s v="ThirdQuartile"/>
    <n v="3"/>
    <x v="2"/>
    <s v="Y59"/>
    <x v="0"/>
    <n v="495"/>
    <x v="10"/>
  </r>
  <r>
    <x v="5"/>
    <n v="2"/>
    <s v="QT6"/>
    <x v="1"/>
    <n v="2"/>
    <x v="210"/>
    <s v="SecondQuartile"/>
    <n v="2"/>
    <x v="0"/>
    <s v="Y58"/>
    <x v="5"/>
    <n v="471"/>
    <x v="10"/>
  </r>
  <r>
    <x v="5"/>
    <n v="2"/>
    <s v="QHL"/>
    <x v="1"/>
    <n v="2"/>
    <x v="207"/>
    <s v="SecondQuartile"/>
    <n v="2"/>
    <x v="0"/>
    <s v="Y60"/>
    <x v="3"/>
    <n v="529"/>
    <x v="10"/>
  </r>
  <r>
    <x v="5"/>
    <n v="2"/>
    <s v="QF7"/>
    <x v="1"/>
    <n v="2"/>
    <x v="201"/>
    <s v="SecondQuartile"/>
    <n v="2"/>
    <x v="0"/>
    <s v="Y63"/>
    <x v="2"/>
    <n v="133"/>
    <x v="10"/>
  </r>
  <r>
    <x v="5"/>
    <n v="2"/>
    <s v="QJ2"/>
    <x v="1"/>
    <n v="2"/>
    <x v="211"/>
    <s v="SecondQuartile"/>
    <n v="2"/>
    <x v="0"/>
    <s v="Y60"/>
    <x v="3"/>
    <n v="996"/>
    <x v="10"/>
  </r>
  <r>
    <x v="5"/>
    <n v="2"/>
    <s v="QOC"/>
    <x v="2"/>
    <n v="3"/>
    <x v="203"/>
    <s v="ThirdQuartile"/>
    <n v="3"/>
    <x v="0"/>
    <s v="Y60"/>
    <x v="3"/>
    <n v="942"/>
    <x v="10"/>
  </r>
  <r>
    <x v="5"/>
    <n v="2"/>
    <s v="QWE"/>
    <x v="2"/>
    <n v="3"/>
    <x v="215"/>
    <s v="ThirdQuartile"/>
    <n v="3"/>
    <x v="0"/>
    <s v="Y56"/>
    <x v="1"/>
    <n v="491"/>
    <x v="10"/>
  </r>
  <r>
    <x v="5"/>
    <n v="2"/>
    <s v="QMJ"/>
    <x v="2"/>
    <n v="3"/>
    <x v="213"/>
    <s v="ThirdQuartile"/>
    <n v="3"/>
    <x v="0"/>
    <s v="Y56"/>
    <x v="1"/>
    <n v="985"/>
    <x v="10"/>
  </r>
  <r>
    <x v="5"/>
    <n v="2"/>
    <s v="QT1"/>
    <x v="2"/>
    <n v="3"/>
    <x v="208"/>
    <s v="ThirdQuartile"/>
    <n v="3"/>
    <x v="0"/>
    <s v="Y60"/>
    <x v="3"/>
    <n v="111"/>
    <x v="10"/>
  </r>
  <r>
    <x v="5"/>
    <n v="2"/>
    <s v="QRV"/>
    <x v="2"/>
    <n v="3"/>
    <x v="212"/>
    <s v="ThirdQuartile"/>
    <n v="3"/>
    <x v="0"/>
    <s v="Y56"/>
    <x v="1"/>
    <n v="807"/>
    <x v="10"/>
  </r>
  <r>
    <x v="5"/>
    <n v="2"/>
    <s v="QH8"/>
    <x v="2"/>
    <n v="3"/>
    <x v="221"/>
    <s v="TopQuartile"/>
    <n v="1"/>
    <x v="1"/>
    <s v="Y61"/>
    <x v="4"/>
    <n v="708"/>
    <x v="10"/>
  </r>
  <r>
    <x v="5"/>
    <n v="2"/>
    <s v="QMF"/>
    <x v="2"/>
    <n v="3"/>
    <x v="220"/>
    <s v="FourthQuartile"/>
    <n v="4"/>
    <x v="2"/>
    <s v="Y56"/>
    <x v="1"/>
    <n v="161"/>
    <x v="10"/>
  </r>
  <r>
    <x v="5"/>
    <n v="2"/>
    <s v="QE1"/>
    <x v="3"/>
    <n v="4"/>
    <x v="216"/>
    <s v="ThirdQuartile"/>
    <n v="3"/>
    <x v="1"/>
    <s v="Y62"/>
    <x v="6"/>
    <n v="125"/>
    <x v="10"/>
  </r>
  <r>
    <x v="5"/>
    <n v="2"/>
    <s v="QXU"/>
    <x v="3"/>
    <n v="4"/>
    <x v="219"/>
    <s v="FourthQuartile"/>
    <n v="4"/>
    <x v="0"/>
    <s v="Y59"/>
    <x v="0"/>
    <n v="256"/>
    <x v="10"/>
  </r>
  <r>
    <x v="5"/>
    <n v="2"/>
    <s v="QUA"/>
    <x v="3"/>
    <n v="4"/>
    <x v="222"/>
    <s v="FourthQuartile"/>
    <n v="4"/>
    <x v="0"/>
    <s v="Y60"/>
    <x v="3"/>
    <n v="118"/>
    <x v="10"/>
  </r>
  <r>
    <x v="5"/>
    <n v="2"/>
    <s v="QM7"/>
    <x v="3"/>
    <n v="4"/>
    <x v="223"/>
    <s v="FourthQuartile"/>
    <n v="4"/>
    <x v="0"/>
    <s v="Y61"/>
    <x v="4"/>
    <n v="468"/>
    <x v="10"/>
  </r>
  <r>
    <x v="5"/>
    <n v="2"/>
    <s v="QHM"/>
    <x v="3"/>
    <n v="4"/>
    <x v="217"/>
    <s v="FourthQuartile"/>
    <n v="4"/>
    <x v="0"/>
    <s v="Y63"/>
    <x v="2"/>
    <n v="134"/>
    <x v="10"/>
  </r>
  <r>
    <x v="5"/>
    <n v="2"/>
    <s v="QOP"/>
    <x v="3"/>
    <n v="4"/>
    <x v="218"/>
    <s v="FourthQuartile"/>
    <n v="4"/>
    <x v="0"/>
    <s v="Y62"/>
    <x v="6"/>
    <n v="896"/>
    <x v="10"/>
  </r>
  <r>
    <x v="5"/>
    <n v="2"/>
    <s v="QJG"/>
    <x v="3"/>
    <n v="4"/>
    <x v="226"/>
    <s v="FourthQuartile"/>
    <n v="4"/>
    <x v="0"/>
    <s v="Y61"/>
    <x v="4"/>
    <n v="710"/>
    <x v="10"/>
  </r>
  <r>
    <x v="5"/>
    <n v="2"/>
    <s v="QVV"/>
    <x v="3"/>
    <n v="4"/>
    <x v="225"/>
    <s v="FourthQuartile"/>
    <n v="4"/>
    <x v="0"/>
    <s v="Y58"/>
    <x v="5"/>
    <n v="467"/>
    <x v="10"/>
  </r>
  <r>
    <x v="5"/>
    <n v="2"/>
    <s v="QWO"/>
    <x v="3"/>
    <n v="4"/>
    <x v="224"/>
    <s v="FourthQuartile"/>
    <n v="4"/>
    <x v="0"/>
    <s v="Y63"/>
    <x v="2"/>
    <n v="475"/>
    <x v="10"/>
  </r>
  <r>
    <x v="5"/>
    <n v="2"/>
    <s v="QKS"/>
    <x v="3"/>
    <n v="4"/>
    <x v="214"/>
    <s v="FourthQuartile"/>
    <n v="4"/>
    <x v="0"/>
    <s v="Y59"/>
    <x v="0"/>
    <n v="95"/>
    <x v="10"/>
  </r>
  <r>
    <x v="5"/>
    <n v="2"/>
    <s v="QOQ"/>
    <x v="3"/>
    <n v="4"/>
    <x v="227"/>
    <s v="FourthQuartile"/>
    <n v="4"/>
    <x v="0"/>
    <s v="Y63"/>
    <x v="2"/>
    <n v="857"/>
    <x v="10"/>
  </r>
  <r>
    <x v="5"/>
    <n v="2"/>
    <s v="QUE"/>
    <x v="3"/>
    <n v="4"/>
    <x v="228"/>
    <s v="FourthQuartile"/>
    <n v="4"/>
    <x v="0"/>
    <s v="Y61"/>
    <x v="4"/>
    <n v="644"/>
    <x v="10"/>
  </r>
  <r>
    <x v="5"/>
    <n v="2"/>
    <s v="RJ8"/>
    <x v="0"/>
    <n v="1"/>
    <x v="229"/>
    <s v="TopQuartile"/>
    <n v="1"/>
    <x v="0"/>
    <s v="Y58"/>
    <x v="5"/>
    <n v="201"/>
    <x v="11"/>
  </r>
  <r>
    <x v="5"/>
    <n v="2"/>
    <s v="RGD"/>
    <x v="0"/>
    <n v="1"/>
    <x v="232"/>
    <s v="TopQuartile"/>
    <n v="1"/>
    <x v="0"/>
    <s v="Y63"/>
    <x v="2"/>
    <n v="173"/>
    <x v="11"/>
  </r>
  <r>
    <x v="5"/>
    <n v="2"/>
    <s v="RP7"/>
    <x v="0"/>
    <n v="1"/>
    <x v="230"/>
    <s v="TopQuartile"/>
    <n v="1"/>
    <x v="0"/>
    <s v="Y60"/>
    <x v="3"/>
    <n v="274"/>
    <x v="11"/>
  </r>
  <r>
    <x v="5"/>
    <n v="2"/>
    <s v="RX4"/>
    <x v="0"/>
    <n v="1"/>
    <x v="233"/>
    <s v="TopQuartile"/>
    <n v="1"/>
    <x v="0"/>
    <s v="Y63"/>
    <x v="2"/>
    <n v="263"/>
    <x v="11"/>
  </r>
  <r>
    <x v="5"/>
    <n v="2"/>
    <s v="RX2"/>
    <x v="0"/>
    <n v="1"/>
    <x v="231"/>
    <s v="TopQuartile"/>
    <n v="1"/>
    <x v="0"/>
    <s v="Y59"/>
    <x v="0"/>
    <n v="354"/>
    <x v="11"/>
  </r>
  <r>
    <x v="5"/>
    <n v="2"/>
    <s v="RVN"/>
    <x v="0"/>
    <n v="1"/>
    <x v="238"/>
    <s v="TopQuartile"/>
    <n v="1"/>
    <x v="0"/>
    <s v="Y58"/>
    <x v="5"/>
    <n v="342"/>
    <x v="11"/>
  </r>
  <r>
    <x v="5"/>
    <n v="2"/>
    <s v="RXG"/>
    <x v="0"/>
    <n v="1"/>
    <x v="239"/>
    <s v="TopQuartile"/>
    <n v="1"/>
    <x v="0"/>
    <s v="Y63"/>
    <x v="2"/>
    <n v="378"/>
    <x v="11"/>
  </r>
  <r>
    <x v="5"/>
    <n v="2"/>
    <s v="RWV"/>
    <x v="0"/>
    <n v="1"/>
    <x v="237"/>
    <s v="TopQuartile"/>
    <n v="1"/>
    <x v="0"/>
    <s v="Y58"/>
    <x v="5"/>
    <n v="369"/>
    <x v="11"/>
  </r>
  <r>
    <x v="5"/>
    <n v="2"/>
    <s v="RV3"/>
    <x v="0"/>
    <n v="1"/>
    <x v="245"/>
    <s v="TopQuartile"/>
    <n v="1"/>
    <x v="0"/>
    <s v="Y56"/>
    <x v="1"/>
    <n v="333"/>
    <x v="11"/>
  </r>
  <r>
    <x v="5"/>
    <n v="2"/>
    <s v="RXA"/>
    <x v="0"/>
    <n v="1"/>
    <x v="235"/>
    <s v="TopQuartile"/>
    <n v="1"/>
    <x v="0"/>
    <s v="Y62"/>
    <x v="6"/>
    <n v="373"/>
    <x v="11"/>
  </r>
  <r>
    <x v="5"/>
    <n v="2"/>
    <s v="RV9"/>
    <x v="0"/>
    <n v="1"/>
    <x v="242"/>
    <s v="TopQuartile"/>
    <n v="1"/>
    <x v="0"/>
    <s v="Y63"/>
    <x v="2"/>
    <n v="338"/>
    <x v="11"/>
  </r>
  <r>
    <x v="5"/>
    <n v="2"/>
    <s v="RW4"/>
    <x v="0"/>
    <n v="1"/>
    <x v="243"/>
    <s v="SecondQuartile"/>
    <n v="2"/>
    <x v="2"/>
    <s v="Y62"/>
    <x v="6"/>
    <n v="350"/>
    <x v="11"/>
  </r>
  <r>
    <x v="5"/>
    <n v="2"/>
    <s v="RQY"/>
    <x v="0"/>
    <n v="1"/>
    <x v="244"/>
    <s v="TopQuartile"/>
    <n v="1"/>
    <x v="0"/>
    <s v="Y56"/>
    <x v="1"/>
    <n v="294"/>
    <x v="11"/>
  </r>
  <r>
    <x v="5"/>
    <n v="2"/>
    <s v="RDY"/>
    <x v="0"/>
    <n v="1"/>
    <x v="247"/>
    <s v="TopQuartile"/>
    <n v="1"/>
    <x v="0"/>
    <s v="Y58"/>
    <x v="5"/>
    <n v="152"/>
    <x v="11"/>
  </r>
  <r>
    <x v="5"/>
    <n v="2"/>
    <s v="RWK"/>
    <x v="1"/>
    <n v="2"/>
    <x v="260"/>
    <s v="SecondQuartile"/>
    <n v="2"/>
    <x v="0"/>
    <s v="Y56"/>
    <x v="1"/>
    <n v="363"/>
    <x v="11"/>
  </r>
  <r>
    <x v="5"/>
    <n v="2"/>
    <s v="RMY"/>
    <x v="1"/>
    <n v="2"/>
    <x v="259"/>
    <s v="SecondQuartile"/>
    <n v="2"/>
    <x v="0"/>
    <s v="Y61"/>
    <x v="4"/>
    <n v="246"/>
    <x v="11"/>
  </r>
  <r>
    <x v="5"/>
    <n v="2"/>
    <s v="RW1"/>
    <x v="1"/>
    <n v="2"/>
    <x v="255"/>
    <s v="SecondQuartile"/>
    <n v="2"/>
    <x v="0"/>
    <s v="Y59"/>
    <x v="0"/>
    <n v="348"/>
    <x v="11"/>
  </r>
  <r>
    <x v="5"/>
    <n v="2"/>
    <s v="RX3"/>
    <x v="1"/>
    <n v="2"/>
    <x v="241"/>
    <s v="SecondQuartile"/>
    <n v="2"/>
    <x v="0"/>
    <s v="Y63"/>
    <x v="2"/>
    <n v="346"/>
    <x v="11"/>
  </r>
  <r>
    <x v="5"/>
    <n v="2"/>
    <s v="RXV"/>
    <x v="1"/>
    <n v="2"/>
    <x v="251"/>
    <s v="SecondQuartile"/>
    <n v="2"/>
    <x v="0"/>
    <s v="Y62"/>
    <x v="6"/>
    <n v="437"/>
    <x v="11"/>
  </r>
  <r>
    <x v="5"/>
    <n v="2"/>
    <s v="RRP"/>
    <x v="1"/>
    <n v="2"/>
    <x v="250"/>
    <s v="SecondQuartile"/>
    <n v="2"/>
    <x v="0"/>
    <s v="Y56"/>
    <x v="1"/>
    <n v="306"/>
    <x v="11"/>
  </r>
  <r>
    <x v="5"/>
    <n v="2"/>
    <s v="RTQ"/>
    <x v="1"/>
    <n v="2"/>
    <x v="240"/>
    <s v="SecondQuartile"/>
    <n v="2"/>
    <x v="0"/>
    <s v="Y58"/>
    <x v="5"/>
    <n v="327"/>
    <x v="11"/>
  </r>
  <r>
    <x v="5"/>
    <n v="2"/>
    <s v="RKL"/>
    <x v="1"/>
    <n v="2"/>
    <x v="252"/>
    <s v="SecondQuartile"/>
    <n v="2"/>
    <x v="0"/>
    <s v="Y56"/>
    <x v="1"/>
    <n v="222"/>
    <x v="11"/>
  </r>
  <r>
    <x v="5"/>
    <n v="2"/>
    <s v="RWR"/>
    <x v="1"/>
    <n v="2"/>
    <x v="246"/>
    <s v="ThirdQuartile"/>
    <n v="3"/>
    <x v="2"/>
    <s v="Y61"/>
    <x v="4"/>
    <n v="367"/>
    <x v="11"/>
  </r>
  <r>
    <x v="5"/>
    <n v="2"/>
    <s v="RP1"/>
    <x v="1"/>
    <n v="2"/>
    <x v="256"/>
    <s v="SecondQuartile"/>
    <n v="2"/>
    <x v="0"/>
    <s v="Y60"/>
    <x v="3"/>
    <n v="270"/>
    <x v="11"/>
  </r>
  <r>
    <x v="5"/>
    <n v="2"/>
    <s v="RT5"/>
    <x v="1"/>
    <n v="2"/>
    <x v="262"/>
    <s v="SecondQuartile"/>
    <n v="2"/>
    <x v="0"/>
    <s v="Y60"/>
    <x v="3"/>
    <n v="313"/>
    <x v="11"/>
  </r>
  <r>
    <x v="5"/>
    <n v="2"/>
    <s v="RLY"/>
    <x v="1"/>
    <n v="2"/>
    <x v="254"/>
    <s v="SecondQuartile"/>
    <n v="2"/>
    <x v="0"/>
    <s v="Y60"/>
    <x v="3"/>
    <n v="232"/>
    <x v="11"/>
  </r>
  <r>
    <x v="5"/>
    <n v="2"/>
    <s v="RT2"/>
    <x v="1"/>
    <n v="2"/>
    <x v="236"/>
    <s v="SecondQuartile"/>
    <n v="2"/>
    <x v="0"/>
    <s v="Y62"/>
    <x v="6"/>
    <n v="311"/>
    <x v="11"/>
  </r>
  <r>
    <x v="5"/>
    <n v="2"/>
    <s v="RXM"/>
    <x v="2"/>
    <n v="3"/>
    <x v="258"/>
    <s v="ThirdQuartile"/>
    <n v="3"/>
    <x v="0"/>
    <s v="Y60"/>
    <x v="3"/>
    <n v="383"/>
    <x v="11"/>
  </r>
  <r>
    <x v="5"/>
    <n v="2"/>
    <s v="RXE"/>
    <x v="2"/>
    <n v="3"/>
    <x v="234"/>
    <s v="ThirdQuartile"/>
    <n v="3"/>
    <x v="0"/>
    <s v="Y63"/>
    <x v="2"/>
    <n v="376"/>
    <x v="11"/>
  </r>
  <r>
    <x v="5"/>
    <n v="2"/>
    <s v="RRE"/>
    <x v="2"/>
    <n v="3"/>
    <x v="253"/>
    <s v="ThirdQuartile"/>
    <n v="3"/>
    <x v="0"/>
    <s v="Y60"/>
    <x v="3"/>
    <n v="301"/>
    <x v="11"/>
  </r>
  <r>
    <x v="5"/>
    <n v="2"/>
    <s v="RPG"/>
    <x v="2"/>
    <n v="3"/>
    <x v="261"/>
    <s v="ThirdQuartile"/>
    <n v="3"/>
    <x v="0"/>
    <s v="Y56"/>
    <x v="1"/>
    <n v="277"/>
    <x v="11"/>
  </r>
  <r>
    <x v="5"/>
    <n v="2"/>
    <s v="RHA"/>
    <x v="2"/>
    <n v="3"/>
    <x v="248"/>
    <s v="ThirdQuartile"/>
    <n v="3"/>
    <x v="0"/>
    <s v="Y60"/>
    <x v="3"/>
    <n v="186"/>
    <x v="11"/>
  </r>
  <r>
    <x v="5"/>
    <n v="2"/>
    <s v="RNK"/>
    <x v="2"/>
    <n v="3"/>
    <x v="268"/>
    <s v="ThirdQuartile"/>
    <n v="3"/>
    <x v="0"/>
    <s v="Y56"/>
    <x v="1"/>
    <n v="260"/>
    <x v="11"/>
  </r>
  <r>
    <x v="5"/>
    <n v="2"/>
    <s v="R1L"/>
    <x v="2"/>
    <n v="3"/>
    <x v="249"/>
    <s v="SecondQuartile"/>
    <n v="2"/>
    <x v="1"/>
    <s v="Y61"/>
    <x v="4"/>
    <n v="364"/>
    <x v="11"/>
  </r>
  <r>
    <x v="5"/>
    <n v="2"/>
    <s v="RWX"/>
    <x v="2"/>
    <n v="3"/>
    <x v="257"/>
    <s v="ThirdQuartile"/>
    <n v="3"/>
    <x v="0"/>
    <s v="Y59"/>
    <x v="0"/>
    <n v="371"/>
    <x v="11"/>
  </r>
  <r>
    <x v="5"/>
    <n v="2"/>
    <s v="RXY"/>
    <x v="3"/>
    <n v="4"/>
    <x v="263"/>
    <s v="FourthQuartile"/>
    <n v="4"/>
    <x v="0"/>
    <s v="Y59"/>
    <x v="0"/>
    <n v="380"/>
    <x v="11"/>
  </r>
  <r>
    <x v="5"/>
    <n v="2"/>
    <s v="RXX"/>
    <x v="3"/>
    <n v="4"/>
    <x v="266"/>
    <s v="FourthQuartile"/>
    <n v="4"/>
    <x v="0"/>
    <s v="Y59"/>
    <x v="0"/>
    <n v="325"/>
    <x v="11"/>
  </r>
  <r>
    <x v="5"/>
    <n v="2"/>
    <s v="RNU"/>
    <x v="3"/>
    <n v="4"/>
    <x v="265"/>
    <s v="FourthQuartile"/>
    <n v="4"/>
    <x v="0"/>
    <s v="Y59"/>
    <x v="0"/>
    <n v="267"/>
    <x v="11"/>
  </r>
  <r>
    <x v="5"/>
    <n v="2"/>
    <s v="RV5"/>
    <x v="3"/>
    <n v="4"/>
    <x v="267"/>
    <s v="FourthQuartile"/>
    <n v="4"/>
    <x v="0"/>
    <s v="Y56"/>
    <x v="1"/>
    <n v="334"/>
    <x v="11"/>
  </r>
  <r>
    <x v="5"/>
    <n v="2"/>
    <s v="RT1"/>
    <x v="3"/>
    <n v="4"/>
    <x v="264"/>
    <s v="FourthQuartile"/>
    <n v="4"/>
    <x v="0"/>
    <s v="Y61"/>
    <x v="4"/>
    <n v="310"/>
    <x v="11"/>
  </r>
  <r>
    <x v="5"/>
    <n v="2"/>
    <s v="RAT"/>
    <x v="3"/>
    <n v="4"/>
    <x v="269"/>
    <s v="FourthQuartile"/>
    <n v="4"/>
    <x v="0"/>
    <s v="Y56"/>
    <x v="1"/>
    <n v="395"/>
    <x v="11"/>
  </r>
  <r>
    <x v="5"/>
    <n v="2"/>
    <s v="TAJ"/>
    <x v="3"/>
    <n v="4"/>
    <x v="270"/>
    <s v="FourthQuartile"/>
    <n v="4"/>
    <x v="0"/>
    <s v="Y60"/>
    <x v="3"/>
    <n v="285"/>
    <x v="11"/>
  </r>
  <r>
    <x v="5"/>
    <n v="2"/>
    <s v="RW5"/>
    <x v="3"/>
    <n v="4"/>
    <x v="271"/>
    <s v="FourthQuartile"/>
    <n v="4"/>
    <x v="0"/>
    <s v="Y62"/>
    <x v="6"/>
    <n v="351"/>
    <x v="11"/>
  </r>
  <r>
    <x v="5"/>
    <n v="2"/>
    <s v="RYG"/>
    <x v="3"/>
    <n v="4"/>
    <x v="272"/>
    <s v="FourthQuartile"/>
    <n v="4"/>
    <x v="0"/>
    <s v="Y60"/>
    <x v="3"/>
    <n v="444"/>
    <x v="11"/>
  </r>
  <r>
    <x v="5"/>
    <n v="2"/>
    <s v="RXT"/>
    <x v="3"/>
    <n v="4"/>
    <x v="273"/>
    <s v="FourthQuartile"/>
    <n v="4"/>
    <x v="0"/>
    <s v="Y60"/>
    <x v="3"/>
    <n v="436"/>
    <x v="11"/>
  </r>
  <r>
    <x v="5"/>
    <n v="2"/>
    <s v="X80"/>
    <x v="0"/>
    <n v="1"/>
    <x v="274"/>
    <s v="SecondQuartile"/>
    <n v="2"/>
    <x v="2"/>
    <s v="QZZ"/>
    <x v="7"/>
    <n v="907"/>
    <x v="12"/>
  </r>
  <r>
    <x v="5"/>
    <n v="2"/>
    <s v="T1480"/>
    <x v="0"/>
    <n v="1"/>
    <x v="275"/>
    <s v="TopQuartile"/>
    <n v="1"/>
    <x v="0"/>
    <s v="QZZ"/>
    <x v="7"/>
    <n v="980"/>
    <x v="12"/>
  </r>
  <r>
    <x v="5"/>
    <n v="2"/>
    <s v="T1460"/>
    <x v="1"/>
    <n v="2"/>
    <x v="276"/>
    <s v="SecondQuartile"/>
    <n v="2"/>
    <x v="0"/>
    <s v="QZZ"/>
    <x v="7"/>
    <n v="918"/>
    <x v="12"/>
  </r>
  <r>
    <x v="5"/>
    <n v="2"/>
    <s v="T1450"/>
    <x v="1"/>
    <n v="2"/>
    <x v="277"/>
    <s v="ThirdQuartile"/>
    <n v="3"/>
    <x v="2"/>
    <s v="QZZ"/>
    <x v="7"/>
    <n v="914"/>
    <x v="12"/>
  </r>
  <r>
    <x v="5"/>
    <n v="2"/>
    <s v="DEQ"/>
    <x v="1"/>
    <n v="2"/>
    <x v="278"/>
    <s v="SecondQuartile"/>
    <n v="2"/>
    <x v="0"/>
    <s v="Y56"/>
    <x v="1"/>
    <n v="44"/>
    <x v="12"/>
  </r>
  <r>
    <x v="5"/>
    <n v="2"/>
    <s v="Z1E5K"/>
    <x v="2"/>
    <n v="3"/>
    <x v="279"/>
    <s v="ThirdQuartile"/>
    <n v="3"/>
    <x v="0"/>
    <s v="QZZ"/>
    <x v="7"/>
    <n v="65"/>
    <x v="12"/>
  </r>
  <r>
    <x v="5"/>
    <n v="2"/>
    <s v="T1540"/>
    <x v="2"/>
    <n v="3"/>
    <x v="280"/>
    <s v="ThirdQuartile"/>
    <n v="3"/>
    <x v="0"/>
    <s v="QZZ"/>
    <x v="7"/>
    <n v="76"/>
    <x v="12"/>
  </r>
  <r>
    <x v="5"/>
    <n v="2"/>
    <s v="X24"/>
    <x v="3"/>
    <n v="4"/>
    <x v="281"/>
    <s v="FourthQuartile"/>
    <n v="4"/>
    <x v="0"/>
    <s v="QZZ"/>
    <x v="7"/>
    <n v="990"/>
    <x v="12"/>
  </r>
  <r>
    <x v="5"/>
    <n v="2"/>
    <s v="NB7"/>
    <x v="3"/>
    <n v="4"/>
    <x v="283"/>
    <s v="FourthQuartile"/>
    <n v="4"/>
    <x v="0"/>
    <s v="QZZ"/>
    <x v="7"/>
    <n v="441"/>
    <x v="12"/>
  </r>
  <r>
    <x v="5"/>
    <n v="2"/>
    <s v="T1150"/>
    <x v="3"/>
    <n v="4"/>
    <x v="282"/>
    <s v="FourthQuartile"/>
    <n v="4"/>
    <x v="0"/>
    <s v="QZZ"/>
    <x v="7"/>
    <n v="912"/>
    <x v="12"/>
  </r>
  <r>
    <x v="5"/>
    <n v="2"/>
    <s v="8JX76"/>
    <x v="3"/>
    <n v="4"/>
    <x v="284"/>
    <s v="FourthQuartile"/>
    <n v="4"/>
    <x v="0"/>
    <s v="QZZ"/>
    <x v="7"/>
    <n v="71"/>
    <x v="12"/>
  </r>
  <r>
    <x v="6"/>
    <n v="1"/>
    <s v="RWF"/>
    <x v="0"/>
    <n v="1"/>
    <x v="2"/>
    <s v=""/>
    <s v=""/>
    <x v="3"/>
    <s v="Y59"/>
    <x v="0"/>
    <n v="359"/>
    <x v="0"/>
  </r>
  <r>
    <x v="6"/>
    <n v="1"/>
    <s v="RJ2"/>
    <x v="0"/>
    <n v="1"/>
    <x v="1"/>
    <s v=""/>
    <s v=""/>
    <x v="3"/>
    <s v="Y56"/>
    <x v="1"/>
    <n v="197"/>
    <x v="0"/>
  </r>
  <r>
    <x v="6"/>
    <n v="1"/>
    <s v="RWY"/>
    <x v="0"/>
    <n v="1"/>
    <x v="10"/>
    <s v=""/>
    <s v=""/>
    <x v="3"/>
    <s v="Y63"/>
    <x v="2"/>
    <n v="372"/>
    <x v="0"/>
  </r>
  <r>
    <x v="6"/>
    <n v="1"/>
    <s v="RWD"/>
    <x v="0"/>
    <n v="1"/>
    <x v="5"/>
    <s v=""/>
    <s v=""/>
    <x v="3"/>
    <s v="Y60"/>
    <x v="3"/>
    <n v="357"/>
    <x v="0"/>
  </r>
  <r>
    <x v="6"/>
    <n v="1"/>
    <s v="RTF"/>
    <x v="0"/>
    <n v="1"/>
    <x v="3"/>
    <s v=""/>
    <s v=""/>
    <x v="3"/>
    <s v="Y63"/>
    <x v="2"/>
    <n v="319"/>
    <x v="0"/>
  </r>
  <r>
    <x v="6"/>
    <n v="1"/>
    <s v="RDE"/>
    <x v="1"/>
    <n v="2"/>
    <x v="6"/>
    <s v=""/>
    <s v=""/>
    <x v="3"/>
    <s v="Y61"/>
    <x v="4"/>
    <n v="432"/>
    <x v="0"/>
  </r>
  <r>
    <x v="6"/>
    <n v="1"/>
    <s v="RHU"/>
    <x v="1"/>
    <n v="2"/>
    <x v="4"/>
    <s v=""/>
    <s v=""/>
    <x v="3"/>
    <s v="Y59"/>
    <x v="0"/>
    <n v="192"/>
    <x v="0"/>
  </r>
  <r>
    <x v="6"/>
    <n v="1"/>
    <s v="RXC"/>
    <x v="1"/>
    <n v="2"/>
    <x v="0"/>
    <s v=""/>
    <s v=""/>
    <x v="3"/>
    <s v="Y59"/>
    <x v="0"/>
    <n v="374"/>
    <x v="0"/>
  </r>
  <r>
    <x v="6"/>
    <n v="1"/>
    <s v="RAJ"/>
    <x v="1"/>
    <n v="2"/>
    <x v="8"/>
    <s v=""/>
    <s v=""/>
    <x v="3"/>
    <s v="Y61"/>
    <x v="4"/>
    <n v="390"/>
    <x v="0"/>
  </r>
  <r>
    <x v="6"/>
    <n v="1"/>
    <s v="RVJ"/>
    <x v="2"/>
    <n v="3"/>
    <x v="13"/>
    <s v=""/>
    <s v=""/>
    <x v="3"/>
    <s v="Y58"/>
    <x v="5"/>
    <n v="339"/>
    <x v="0"/>
  </r>
  <r>
    <x v="6"/>
    <n v="1"/>
    <s v="RL4"/>
    <x v="2"/>
    <n v="3"/>
    <x v="7"/>
    <s v=""/>
    <s v=""/>
    <x v="3"/>
    <s v="Y60"/>
    <x v="3"/>
    <n v="225"/>
    <x v="0"/>
  </r>
  <r>
    <x v="6"/>
    <n v="1"/>
    <s v="RDU"/>
    <x v="2"/>
    <n v="3"/>
    <x v="12"/>
    <s v=""/>
    <s v=""/>
    <x v="3"/>
    <s v="Y59"/>
    <x v="0"/>
    <n v="151"/>
    <x v="0"/>
  </r>
  <r>
    <x v="6"/>
    <n v="1"/>
    <s v="R0B"/>
    <x v="2"/>
    <n v="3"/>
    <x v="15"/>
    <s v=""/>
    <s v=""/>
    <x v="3"/>
    <s v="Y63"/>
    <x v="2"/>
    <n v="155"/>
    <x v="0"/>
  </r>
  <r>
    <x v="6"/>
    <n v="1"/>
    <s v="RXR"/>
    <x v="2"/>
    <n v="3"/>
    <x v="17"/>
    <s v=""/>
    <s v=""/>
    <x v="3"/>
    <s v="Y62"/>
    <x v="6"/>
    <n v="435"/>
    <x v="0"/>
  </r>
  <r>
    <x v="6"/>
    <n v="1"/>
    <s v="RWP"/>
    <x v="2"/>
    <n v="3"/>
    <x v="14"/>
    <s v=""/>
    <s v=""/>
    <x v="3"/>
    <s v="Y60"/>
    <x v="3"/>
    <n v="365"/>
    <x v="0"/>
  </r>
  <r>
    <x v="6"/>
    <n v="1"/>
    <s v="RWH"/>
    <x v="3"/>
    <n v="4"/>
    <x v="9"/>
    <s v=""/>
    <s v=""/>
    <x v="3"/>
    <s v="Y61"/>
    <x v="4"/>
    <n v="361"/>
    <x v="0"/>
  </r>
  <r>
    <x v="6"/>
    <n v="1"/>
    <s v="RH8"/>
    <x v="3"/>
    <n v="4"/>
    <x v="18"/>
    <s v=""/>
    <s v=""/>
    <x v="3"/>
    <s v="Y58"/>
    <x v="5"/>
    <n v="185"/>
    <x v="0"/>
  </r>
  <r>
    <x v="6"/>
    <n v="1"/>
    <s v="RGN"/>
    <x v="3"/>
    <n v="4"/>
    <x v="11"/>
    <s v=""/>
    <s v=""/>
    <x v="3"/>
    <s v="Y61"/>
    <x v="4"/>
    <n v="176"/>
    <x v="0"/>
  </r>
  <r>
    <x v="6"/>
    <n v="1"/>
    <s v="RN5"/>
    <x v="3"/>
    <n v="4"/>
    <x v="19"/>
    <s v=""/>
    <s v=""/>
    <x v="3"/>
    <s v="Y59"/>
    <x v="0"/>
    <n v="251"/>
    <x v="0"/>
  </r>
  <r>
    <x v="6"/>
    <n v="1"/>
    <s v="RTE"/>
    <x v="3"/>
    <n v="4"/>
    <x v="16"/>
    <s v=""/>
    <s v=""/>
    <x v="3"/>
    <s v="Y58"/>
    <x v="5"/>
    <n v="318"/>
    <x v="0"/>
  </r>
  <r>
    <x v="6"/>
    <n v="1"/>
    <s v="RHW"/>
    <x v="3"/>
    <n v="4"/>
    <x v="20"/>
    <s v=""/>
    <s v=""/>
    <x v="3"/>
    <s v="Y59"/>
    <x v="0"/>
    <n v="193"/>
    <x v="0"/>
  </r>
  <r>
    <x v="6"/>
    <n v="1"/>
    <s v="RXK"/>
    <x v="3"/>
    <n v="4"/>
    <x v="21"/>
    <s v=""/>
    <s v=""/>
    <x v="3"/>
    <s v="Y60"/>
    <x v="3"/>
    <n v="381"/>
    <x v="0"/>
  </r>
  <r>
    <x v="6"/>
    <n v="1"/>
    <s v="REF"/>
    <x v="3"/>
    <n v="4"/>
    <x v="22"/>
    <s v=""/>
    <s v=""/>
    <x v="3"/>
    <s v="Y58"/>
    <x v="5"/>
    <n v="156"/>
    <x v="0"/>
  </r>
  <r>
    <x v="6"/>
    <n v="1"/>
    <s v="RXW"/>
    <x v="0"/>
    <n v="1"/>
    <x v="23"/>
    <s v=""/>
    <s v=""/>
    <x v="3"/>
    <s v="Y60"/>
    <x v="3"/>
    <n v="223"/>
    <x v="1"/>
  </r>
  <r>
    <x v="6"/>
    <n v="1"/>
    <s v="RR7"/>
    <x v="0"/>
    <n v="1"/>
    <x v="25"/>
    <s v=""/>
    <s v=""/>
    <x v="3"/>
    <s v="Y63"/>
    <x v="2"/>
    <n v="297"/>
    <x v="1"/>
  </r>
  <r>
    <x v="6"/>
    <n v="1"/>
    <s v="RJL"/>
    <x v="0"/>
    <n v="1"/>
    <x v="27"/>
    <s v=""/>
    <s v=""/>
    <x v="3"/>
    <s v="Y63"/>
    <x v="2"/>
    <n v="208"/>
    <x v="1"/>
  </r>
  <r>
    <x v="6"/>
    <n v="1"/>
    <s v="RJ6"/>
    <x v="0"/>
    <n v="1"/>
    <x v="24"/>
    <s v=""/>
    <s v=""/>
    <x v="3"/>
    <s v="Y56"/>
    <x v="1"/>
    <n v="199"/>
    <x v="1"/>
  </r>
  <r>
    <x v="6"/>
    <n v="1"/>
    <s v="RMC"/>
    <x v="0"/>
    <n v="1"/>
    <x v="35"/>
    <s v=""/>
    <s v=""/>
    <x v="3"/>
    <s v="Y62"/>
    <x v="6"/>
    <n v="241"/>
    <x v="1"/>
  </r>
  <r>
    <x v="6"/>
    <n v="1"/>
    <s v="RAX"/>
    <x v="1"/>
    <n v="2"/>
    <x v="29"/>
    <s v=""/>
    <s v=""/>
    <x v="3"/>
    <s v="Y56"/>
    <x v="1"/>
    <n v="396"/>
    <x v="1"/>
  </r>
  <r>
    <x v="6"/>
    <n v="1"/>
    <s v="RD1"/>
    <x v="1"/>
    <n v="2"/>
    <x v="28"/>
    <s v=""/>
    <s v=""/>
    <x v="3"/>
    <s v="Y58"/>
    <x v="5"/>
    <n v="427"/>
    <x v="1"/>
  </r>
  <r>
    <x v="6"/>
    <n v="1"/>
    <s v="RTP"/>
    <x v="1"/>
    <n v="2"/>
    <x v="32"/>
    <s v=""/>
    <s v=""/>
    <x v="3"/>
    <s v="Y59"/>
    <x v="0"/>
    <n v="326"/>
    <x v="1"/>
  </r>
  <r>
    <x v="6"/>
    <n v="1"/>
    <s v="RNS"/>
    <x v="1"/>
    <n v="2"/>
    <x v="31"/>
    <s v=""/>
    <s v=""/>
    <x v="3"/>
    <s v="Y60"/>
    <x v="3"/>
    <n v="265"/>
    <x v="1"/>
  </r>
  <r>
    <x v="6"/>
    <n v="1"/>
    <s v="RK5"/>
    <x v="1"/>
    <n v="2"/>
    <x v="26"/>
    <s v=""/>
    <s v=""/>
    <x v="3"/>
    <s v="Y60"/>
    <x v="3"/>
    <n v="214"/>
    <x v="1"/>
  </r>
  <r>
    <x v="6"/>
    <n v="1"/>
    <s v="RWJ"/>
    <x v="1"/>
    <n v="2"/>
    <x v="36"/>
    <s v=""/>
    <s v=""/>
    <x v="3"/>
    <s v="Y62"/>
    <x v="6"/>
    <n v="362"/>
    <x v="1"/>
  </r>
  <r>
    <x v="6"/>
    <n v="1"/>
    <s v="RPA"/>
    <x v="1"/>
    <n v="2"/>
    <x v="34"/>
    <s v=""/>
    <s v=""/>
    <x v="3"/>
    <s v="Y59"/>
    <x v="0"/>
    <n v="275"/>
    <x v="1"/>
  </r>
  <r>
    <x v="6"/>
    <n v="1"/>
    <s v="RNN"/>
    <x v="1"/>
    <n v="2"/>
    <x v="37"/>
    <s v=""/>
    <s v=""/>
    <x v="3"/>
    <s v="Y63"/>
    <x v="2"/>
    <n v="262"/>
    <x v="1"/>
  </r>
  <r>
    <x v="6"/>
    <n v="1"/>
    <s v="RVW"/>
    <x v="2"/>
    <n v="3"/>
    <x v="30"/>
    <s v=""/>
    <s v=""/>
    <x v="3"/>
    <s v="Y63"/>
    <x v="2"/>
    <n v="345"/>
    <x v="1"/>
  </r>
  <r>
    <x v="6"/>
    <n v="1"/>
    <s v="RC9"/>
    <x v="2"/>
    <n v="3"/>
    <x v="38"/>
    <s v=""/>
    <s v=""/>
    <x v="3"/>
    <s v="Y61"/>
    <x v="4"/>
    <n v="418"/>
    <x v="1"/>
  </r>
  <r>
    <x v="6"/>
    <n v="1"/>
    <s v="RA2"/>
    <x v="2"/>
    <n v="3"/>
    <x v="33"/>
    <s v=""/>
    <s v=""/>
    <x v="3"/>
    <s v="Y59"/>
    <x v="0"/>
    <n v="384"/>
    <x v="1"/>
  </r>
  <r>
    <x v="6"/>
    <n v="1"/>
    <s v="RN3"/>
    <x v="2"/>
    <n v="3"/>
    <x v="39"/>
    <s v=""/>
    <s v=""/>
    <x v="3"/>
    <s v="Y58"/>
    <x v="5"/>
    <n v="249"/>
    <x v="1"/>
  </r>
  <r>
    <x v="6"/>
    <n v="1"/>
    <s v="RTK"/>
    <x v="2"/>
    <n v="3"/>
    <x v="41"/>
    <s v=""/>
    <s v=""/>
    <x v="3"/>
    <s v="Y59"/>
    <x v="0"/>
    <n v="323"/>
    <x v="1"/>
  </r>
  <r>
    <x v="6"/>
    <n v="1"/>
    <s v="RRF"/>
    <x v="2"/>
    <n v="3"/>
    <x v="40"/>
    <s v=""/>
    <s v=""/>
    <x v="3"/>
    <s v="Y62"/>
    <x v="6"/>
    <n v="302"/>
    <x v="1"/>
  </r>
  <r>
    <x v="6"/>
    <n v="1"/>
    <s v="RNA"/>
    <x v="3"/>
    <n v="4"/>
    <x v="42"/>
    <s v=""/>
    <s v=""/>
    <x v="3"/>
    <s v="Y60"/>
    <x v="3"/>
    <n v="253"/>
    <x v="1"/>
  </r>
  <r>
    <x v="6"/>
    <n v="1"/>
    <s v="RA9"/>
    <x v="0"/>
    <n v="1"/>
    <x v="44"/>
    <s v=""/>
    <s v=""/>
    <x v="3"/>
    <s v="Y58"/>
    <x v="5"/>
    <n v="388"/>
    <x v="2"/>
  </r>
  <r>
    <x v="6"/>
    <n v="1"/>
    <s v="RXQ"/>
    <x v="0"/>
    <n v="1"/>
    <x v="43"/>
    <s v=""/>
    <s v=""/>
    <x v="3"/>
    <s v="Y59"/>
    <x v="0"/>
    <n v="434"/>
    <x v="2"/>
  </r>
  <r>
    <x v="6"/>
    <n v="1"/>
    <s v="RXP"/>
    <x v="0"/>
    <n v="1"/>
    <x v="45"/>
    <s v=""/>
    <s v=""/>
    <x v="3"/>
    <s v="Y63"/>
    <x v="2"/>
    <n v="439"/>
    <x v="2"/>
  </r>
  <r>
    <x v="6"/>
    <n v="1"/>
    <s v="RLQ"/>
    <x v="1"/>
    <n v="2"/>
    <x v="46"/>
    <s v=""/>
    <s v=""/>
    <x v="3"/>
    <s v="Y60"/>
    <x v="3"/>
    <n v="229"/>
    <x v="2"/>
  </r>
  <r>
    <x v="6"/>
    <n v="1"/>
    <s v="RH5"/>
    <x v="2"/>
    <n v="3"/>
    <x v="47"/>
    <s v=""/>
    <s v=""/>
    <x v="3"/>
    <s v="Y58"/>
    <x v="5"/>
    <n v="184"/>
    <x v="2"/>
  </r>
  <r>
    <x v="6"/>
    <n v="1"/>
    <s v="R1F"/>
    <x v="2"/>
    <n v="3"/>
    <x v="48"/>
    <s v=""/>
    <s v=""/>
    <x v="3"/>
    <s v="Y59"/>
    <x v="0"/>
    <n v="470"/>
    <x v="2"/>
  </r>
  <r>
    <x v="6"/>
    <n v="1"/>
    <s v="RKE"/>
    <x v="3"/>
    <n v="4"/>
    <x v="49"/>
    <s v=""/>
    <s v=""/>
    <x v="3"/>
    <s v="Y56"/>
    <x v="1"/>
    <n v="220"/>
    <x v="2"/>
  </r>
  <r>
    <x v="6"/>
    <n v="1"/>
    <s v="RFF"/>
    <x v="0"/>
    <n v="1"/>
    <x v="50"/>
    <s v=""/>
    <s v=""/>
    <x v="3"/>
    <s v="Y63"/>
    <x v="2"/>
    <n v="163"/>
    <x v="3"/>
  </r>
  <r>
    <x v="6"/>
    <n v="1"/>
    <s v="RCF"/>
    <x v="0"/>
    <n v="1"/>
    <x v="51"/>
    <s v=""/>
    <s v=""/>
    <x v="3"/>
    <s v="Y63"/>
    <x v="2"/>
    <n v="423"/>
    <x v="3"/>
  </r>
  <r>
    <x v="6"/>
    <n v="1"/>
    <s v="RJN"/>
    <x v="0"/>
    <n v="1"/>
    <x v="52"/>
    <s v=""/>
    <s v=""/>
    <x v="3"/>
    <s v="Y62"/>
    <x v="6"/>
    <n v="209"/>
    <x v="3"/>
  </r>
  <r>
    <x v="6"/>
    <n v="1"/>
    <s v="RCX"/>
    <x v="0"/>
    <n v="1"/>
    <x v="54"/>
    <s v=""/>
    <s v=""/>
    <x v="3"/>
    <s v="Y61"/>
    <x v="4"/>
    <n v="426"/>
    <x v="3"/>
  </r>
  <r>
    <x v="6"/>
    <n v="1"/>
    <s v="RFR"/>
    <x v="0"/>
    <n v="1"/>
    <x v="55"/>
    <s v=""/>
    <s v=""/>
    <x v="3"/>
    <s v="Y63"/>
    <x v="2"/>
    <n v="165"/>
    <x v="3"/>
  </r>
  <r>
    <x v="6"/>
    <n v="1"/>
    <s v="RFS"/>
    <x v="0"/>
    <n v="1"/>
    <x v="53"/>
    <s v=""/>
    <s v=""/>
    <x v="3"/>
    <s v="Y60"/>
    <x v="3"/>
    <n v="166"/>
    <x v="3"/>
  </r>
  <r>
    <x v="6"/>
    <n v="1"/>
    <s v="RN7"/>
    <x v="0"/>
    <n v="1"/>
    <x v="56"/>
    <s v=""/>
    <s v=""/>
    <x v="3"/>
    <s v="Y59"/>
    <x v="0"/>
    <n v="252"/>
    <x v="3"/>
  </r>
  <r>
    <x v="6"/>
    <n v="1"/>
    <s v="RJR"/>
    <x v="0"/>
    <n v="1"/>
    <x v="58"/>
    <s v=""/>
    <s v=""/>
    <x v="3"/>
    <s v="Y62"/>
    <x v="6"/>
    <n v="210"/>
    <x v="3"/>
  </r>
  <r>
    <x v="6"/>
    <n v="1"/>
    <s v="RNQ"/>
    <x v="1"/>
    <n v="2"/>
    <x v="59"/>
    <s v=""/>
    <s v=""/>
    <x v="3"/>
    <s v="Y60"/>
    <x v="3"/>
    <n v="264"/>
    <x v="3"/>
  </r>
  <r>
    <x v="6"/>
    <n v="1"/>
    <s v="RCD"/>
    <x v="1"/>
    <n v="2"/>
    <x v="57"/>
    <s v=""/>
    <s v=""/>
    <x v="3"/>
    <s v="Y63"/>
    <x v="2"/>
    <n v="421"/>
    <x v="3"/>
  </r>
  <r>
    <x v="6"/>
    <n v="1"/>
    <s v="RAS"/>
    <x v="2"/>
    <n v="3"/>
    <x v="64"/>
    <s v=""/>
    <s v=""/>
    <x v="3"/>
    <s v="Y56"/>
    <x v="1"/>
    <n v="394"/>
    <x v="3"/>
  </r>
  <r>
    <x v="6"/>
    <n v="1"/>
    <s v="RNZ"/>
    <x v="2"/>
    <n v="3"/>
    <x v="61"/>
    <s v=""/>
    <s v=""/>
    <x v="3"/>
    <s v="Y58"/>
    <x v="5"/>
    <n v="269"/>
    <x v="3"/>
  </r>
  <r>
    <x v="6"/>
    <n v="1"/>
    <s v="RMP"/>
    <x v="2"/>
    <n v="3"/>
    <x v="63"/>
    <s v=""/>
    <s v=""/>
    <x v="3"/>
    <s v="Y62"/>
    <x v="6"/>
    <n v="245"/>
    <x v="3"/>
  </r>
  <r>
    <x v="6"/>
    <n v="1"/>
    <s v="RBT"/>
    <x v="2"/>
    <n v="3"/>
    <x v="60"/>
    <s v=""/>
    <s v=""/>
    <x v="3"/>
    <s v="Y62"/>
    <x v="6"/>
    <n v="412"/>
    <x v="3"/>
  </r>
  <r>
    <x v="6"/>
    <n v="1"/>
    <s v="RLT"/>
    <x v="2"/>
    <n v="3"/>
    <x v="65"/>
    <s v=""/>
    <s v=""/>
    <x v="3"/>
    <s v="Y60"/>
    <x v="3"/>
    <n v="230"/>
    <x v="3"/>
  </r>
  <r>
    <x v="6"/>
    <n v="1"/>
    <s v="RBK"/>
    <x v="2"/>
    <n v="3"/>
    <x v="62"/>
    <s v=""/>
    <s v=""/>
    <x v="3"/>
    <s v="Y60"/>
    <x v="3"/>
    <n v="407"/>
    <x v="3"/>
  </r>
  <r>
    <x v="6"/>
    <n v="1"/>
    <s v="RQW"/>
    <x v="3"/>
    <n v="4"/>
    <x v="66"/>
    <s v=""/>
    <s v=""/>
    <x v="3"/>
    <s v="Y61"/>
    <x v="4"/>
    <n v="292"/>
    <x v="3"/>
  </r>
  <r>
    <x v="6"/>
    <n v="1"/>
    <s v="RBD"/>
    <x v="3"/>
    <n v="4"/>
    <x v="67"/>
    <s v=""/>
    <s v=""/>
    <x v="3"/>
    <s v="Y58"/>
    <x v="5"/>
    <n v="405"/>
    <x v="3"/>
  </r>
  <r>
    <x v="6"/>
    <n v="1"/>
    <s v="RGR"/>
    <x v="3"/>
    <n v="4"/>
    <x v="68"/>
    <s v=""/>
    <s v=""/>
    <x v="3"/>
    <s v="Y61"/>
    <x v="4"/>
    <n v="179"/>
    <x v="3"/>
  </r>
  <r>
    <x v="6"/>
    <n v="1"/>
    <s v="RET"/>
    <x v="0"/>
    <n v="1"/>
    <x v="75"/>
    <s v=""/>
    <s v=""/>
    <x v="3"/>
    <s v="Y62"/>
    <x v="6"/>
    <n v="160"/>
    <x v="4"/>
  </r>
  <r>
    <x v="6"/>
    <n v="1"/>
    <s v="RP4"/>
    <x v="0"/>
    <n v="1"/>
    <x v="72"/>
    <s v=""/>
    <s v=""/>
    <x v="3"/>
    <s v="Y56"/>
    <x v="1"/>
    <n v="271"/>
    <x v="4"/>
  </r>
  <r>
    <x v="6"/>
    <n v="1"/>
    <s v="RGM"/>
    <x v="0"/>
    <n v="1"/>
    <x v="69"/>
    <s v=""/>
    <s v=""/>
    <x v="3"/>
    <s v="Y61"/>
    <x v="4"/>
    <n v="175"/>
    <x v="4"/>
  </r>
  <r>
    <x v="6"/>
    <n v="1"/>
    <s v="REN"/>
    <x v="0"/>
    <n v="1"/>
    <x v="74"/>
    <s v=""/>
    <s v=""/>
    <x v="3"/>
    <s v="Y62"/>
    <x v="6"/>
    <n v="158"/>
    <x v="4"/>
  </r>
  <r>
    <x v="6"/>
    <n v="1"/>
    <s v="RPC"/>
    <x v="0"/>
    <n v="1"/>
    <x v="70"/>
    <s v=""/>
    <s v=""/>
    <x v="3"/>
    <s v="Y59"/>
    <x v="0"/>
    <n v="276"/>
    <x v="4"/>
  </r>
  <r>
    <x v="6"/>
    <n v="1"/>
    <s v="RL1"/>
    <x v="1"/>
    <n v="2"/>
    <x v="80"/>
    <s v=""/>
    <s v=""/>
    <x v="3"/>
    <s v="Y60"/>
    <x v="3"/>
    <n v="224"/>
    <x v="4"/>
  </r>
  <r>
    <x v="6"/>
    <n v="1"/>
    <s v="RBS"/>
    <x v="1"/>
    <n v="2"/>
    <x v="73"/>
    <s v=""/>
    <s v=""/>
    <x v="3"/>
    <s v="Y62"/>
    <x v="6"/>
    <n v="411"/>
    <x v="4"/>
  </r>
  <r>
    <x v="6"/>
    <n v="1"/>
    <s v="RBV"/>
    <x v="1"/>
    <n v="2"/>
    <x v="76"/>
    <s v=""/>
    <s v=""/>
    <x v="3"/>
    <s v="Y62"/>
    <x v="6"/>
    <n v="413"/>
    <x v="4"/>
  </r>
  <r>
    <x v="6"/>
    <n v="1"/>
    <s v="RRJ"/>
    <x v="1"/>
    <n v="2"/>
    <x v="71"/>
    <s v=""/>
    <s v=""/>
    <x v="3"/>
    <s v="Y60"/>
    <x v="3"/>
    <n v="303"/>
    <x v="4"/>
  </r>
  <r>
    <x v="6"/>
    <n v="1"/>
    <s v="RP6"/>
    <x v="1"/>
    <n v="2"/>
    <x v="78"/>
    <s v=""/>
    <s v=""/>
    <x v="3"/>
    <s v="Y56"/>
    <x v="1"/>
    <n v="273"/>
    <x v="4"/>
  </r>
  <r>
    <x v="6"/>
    <n v="1"/>
    <s v="REP"/>
    <x v="2"/>
    <n v="3"/>
    <x v="79"/>
    <s v=""/>
    <s v=""/>
    <x v="3"/>
    <s v="Y62"/>
    <x v="6"/>
    <n v="159"/>
    <x v="4"/>
  </r>
  <r>
    <x v="6"/>
    <n v="1"/>
    <s v="RPY"/>
    <x v="2"/>
    <n v="3"/>
    <x v="77"/>
    <s v=""/>
    <s v=""/>
    <x v="3"/>
    <s v="Y56"/>
    <x v="1"/>
    <n v="282"/>
    <x v="4"/>
  </r>
  <r>
    <x v="6"/>
    <n v="1"/>
    <s v="RCU"/>
    <x v="2"/>
    <n v="3"/>
    <x v="82"/>
    <s v=""/>
    <s v=""/>
    <x v="3"/>
    <s v="Y63"/>
    <x v="2"/>
    <n v="425"/>
    <x v="4"/>
  </r>
  <r>
    <x v="6"/>
    <n v="1"/>
    <s v="RQ3"/>
    <x v="3"/>
    <n v="4"/>
    <x v="81"/>
    <s v=""/>
    <s v=""/>
    <x v="3"/>
    <s v="Y60"/>
    <x v="3"/>
    <n v="284"/>
    <x v="4"/>
  </r>
  <r>
    <x v="6"/>
    <n v="1"/>
    <s v="RAN"/>
    <x v="3"/>
    <n v="4"/>
    <x v="83"/>
    <s v=""/>
    <s v=""/>
    <x v="3"/>
    <s v="Y56"/>
    <x v="1"/>
    <n v="392"/>
    <x v="4"/>
  </r>
  <r>
    <x v="6"/>
    <n v="1"/>
    <s v="RBQ"/>
    <x v="3"/>
    <n v="4"/>
    <x v="84"/>
    <s v=""/>
    <s v=""/>
    <x v="3"/>
    <s v="Y62"/>
    <x v="6"/>
    <n v="410"/>
    <x v="4"/>
  </r>
  <r>
    <x v="6"/>
    <n v="1"/>
    <s v="RGP"/>
    <x v="0"/>
    <n v="1"/>
    <x v="115"/>
    <s v=""/>
    <s v=""/>
    <x v="3"/>
    <s v="Y61"/>
    <x v="4"/>
    <n v="177"/>
    <x v="5"/>
  </r>
  <r>
    <x v="6"/>
    <n v="1"/>
    <s v="RBL"/>
    <x v="0"/>
    <n v="1"/>
    <x v="88"/>
    <s v=""/>
    <s v=""/>
    <x v="3"/>
    <s v="Y62"/>
    <x v="6"/>
    <n v="408"/>
    <x v="5"/>
  </r>
  <r>
    <x v="6"/>
    <n v="1"/>
    <s v="RJC"/>
    <x v="0"/>
    <n v="1"/>
    <x v="94"/>
    <s v=""/>
    <s v=""/>
    <x v="3"/>
    <s v="Y60"/>
    <x v="3"/>
    <n v="203"/>
    <x v="5"/>
  </r>
  <r>
    <x v="6"/>
    <n v="1"/>
    <s v="RXN"/>
    <x v="0"/>
    <n v="1"/>
    <x v="89"/>
    <s v=""/>
    <s v=""/>
    <x v="3"/>
    <s v="Y62"/>
    <x v="6"/>
    <n v="438"/>
    <x v="5"/>
  </r>
  <r>
    <x v="6"/>
    <n v="1"/>
    <s v="RAE"/>
    <x v="0"/>
    <n v="1"/>
    <x v="85"/>
    <s v=""/>
    <s v=""/>
    <x v="3"/>
    <s v="Y63"/>
    <x v="2"/>
    <n v="389"/>
    <x v="5"/>
  </r>
  <r>
    <x v="6"/>
    <n v="1"/>
    <s v="RTG"/>
    <x v="0"/>
    <n v="1"/>
    <x v="86"/>
    <s v=""/>
    <s v=""/>
    <x v="3"/>
    <s v="Y60"/>
    <x v="3"/>
    <n v="320"/>
    <x v="5"/>
  </r>
  <r>
    <x v="6"/>
    <n v="1"/>
    <s v="RHM"/>
    <x v="0"/>
    <n v="1"/>
    <x v="91"/>
    <s v=""/>
    <s v=""/>
    <x v="3"/>
    <s v="Y59"/>
    <x v="0"/>
    <n v="188"/>
    <x v="5"/>
  </r>
  <r>
    <x v="6"/>
    <n v="1"/>
    <s v="RHQ"/>
    <x v="0"/>
    <n v="1"/>
    <x v="96"/>
    <s v=""/>
    <s v=""/>
    <x v="3"/>
    <s v="Y63"/>
    <x v="2"/>
    <n v="190"/>
    <x v="5"/>
  </r>
  <r>
    <x v="6"/>
    <n v="1"/>
    <s v="RF4"/>
    <x v="1"/>
    <n v="2"/>
    <x v="93"/>
    <s v=""/>
    <s v=""/>
    <x v="3"/>
    <s v="Y56"/>
    <x v="1"/>
    <n v="162"/>
    <x v="5"/>
  </r>
  <r>
    <x v="6"/>
    <n v="1"/>
    <s v="RGT"/>
    <x v="1"/>
    <n v="2"/>
    <x v="87"/>
    <s v=""/>
    <s v=""/>
    <x v="3"/>
    <s v="Y61"/>
    <x v="4"/>
    <n v="180"/>
    <x v="5"/>
  </r>
  <r>
    <x v="6"/>
    <n v="1"/>
    <s v="RTX"/>
    <x v="1"/>
    <n v="2"/>
    <x v="97"/>
    <s v=""/>
    <s v=""/>
    <x v="3"/>
    <s v="Y62"/>
    <x v="6"/>
    <n v="331"/>
    <x v="5"/>
  </r>
  <r>
    <x v="6"/>
    <n v="1"/>
    <s v="RM3"/>
    <x v="1"/>
    <n v="2"/>
    <x v="92"/>
    <s v=""/>
    <s v=""/>
    <x v="3"/>
    <s v="Y62"/>
    <x v="6"/>
    <n v="236"/>
    <x v="5"/>
  </r>
  <r>
    <x v="6"/>
    <n v="1"/>
    <s v="RYR"/>
    <x v="1"/>
    <n v="2"/>
    <x v="98"/>
    <s v=""/>
    <s v=""/>
    <x v="3"/>
    <s v="Y59"/>
    <x v="0"/>
    <n v="279"/>
    <x v="5"/>
  </r>
  <r>
    <x v="6"/>
    <n v="1"/>
    <s v="RAL"/>
    <x v="1"/>
    <n v="2"/>
    <x v="100"/>
    <s v=""/>
    <s v=""/>
    <x v="3"/>
    <s v="Y56"/>
    <x v="1"/>
    <n v="391"/>
    <x v="5"/>
  </r>
  <r>
    <x v="6"/>
    <n v="1"/>
    <s v="RQX"/>
    <x v="1"/>
    <n v="2"/>
    <x v="99"/>
    <s v=""/>
    <s v=""/>
    <x v="3"/>
    <s v="Y56"/>
    <x v="1"/>
    <n v="293"/>
    <x v="5"/>
  </r>
  <r>
    <x v="6"/>
    <n v="1"/>
    <s v="RBN"/>
    <x v="1"/>
    <n v="2"/>
    <x v="95"/>
    <s v=""/>
    <s v=""/>
    <x v="3"/>
    <s v="Y62"/>
    <x v="6"/>
    <n v="96"/>
    <x v="5"/>
  </r>
  <r>
    <x v="6"/>
    <n v="1"/>
    <s v="RBN"/>
    <x v="1"/>
    <n v="2"/>
    <x v="95"/>
    <s v=""/>
    <s v=""/>
    <x v="3"/>
    <s v="Y62"/>
    <x v="6"/>
    <n v="347"/>
    <x v="5"/>
  </r>
  <r>
    <x v="6"/>
    <n v="1"/>
    <s v="RBN"/>
    <x v="1"/>
    <n v="2"/>
    <x v="95"/>
    <s v=""/>
    <s v=""/>
    <x v="3"/>
    <s v="Y62"/>
    <x v="6"/>
    <n v="409"/>
    <x v="5"/>
  </r>
  <r>
    <x v="6"/>
    <n v="1"/>
    <s v="RWE"/>
    <x v="1"/>
    <n v="2"/>
    <x v="106"/>
    <s v=""/>
    <s v=""/>
    <x v="3"/>
    <s v="Y60"/>
    <x v="3"/>
    <n v="358"/>
    <x v="5"/>
  </r>
  <r>
    <x v="6"/>
    <n v="1"/>
    <s v="RWW"/>
    <x v="1"/>
    <n v="2"/>
    <x v="114"/>
    <s v=""/>
    <s v=""/>
    <x v="3"/>
    <s v="Y62"/>
    <x v="6"/>
    <n v="370"/>
    <x v="5"/>
  </r>
  <r>
    <x v="6"/>
    <n v="1"/>
    <s v="RTD"/>
    <x v="1"/>
    <n v="2"/>
    <x v="90"/>
    <s v=""/>
    <s v=""/>
    <x v="3"/>
    <s v="Y63"/>
    <x v="2"/>
    <n v="317"/>
    <x v="5"/>
  </r>
  <r>
    <x v="6"/>
    <n v="1"/>
    <s v="RTR"/>
    <x v="1"/>
    <n v="2"/>
    <x v="113"/>
    <s v=""/>
    <s v=""/>
    <x v="3"/>
    <s v="Y63"/>
    <x v="2"/>
    <n v="328"/>
    <x v="5"/>
  </r>
  <r>
    <x v="6"/>
    <n v="1"/>
    <s v="RVV"/>
    <x v="1"/>
    <n v="2"/>
    <x v="102"/>
    <s v=""/>
    <s v=""/>
    <x v="3"/>
    <s v="Y59"/>
    <x v="0"/>
    <n v="344"/>
    <x v="5"/>
  </r>
  <r>
    <x v="6"/>
    <n v="1"/>
    <s v="RWA"/>
    <x v="2"/>
    <n v="3"/>
    <x v="103"/>
    <s v=""/>
    <s v=""/>
    <x v="3"/>
    <s v="Y63"/>
    <x v="2"/>
    <n v="356"/>
    <x v="5"/>
  </r>
  <r>
    <x v="6"/>
    <n v="1"/>
    <s v="RKB"/>
    <x v="2"/>
    <n v="3"/>
    <x v="105"/>
    <s v=""/>
    <s v=""/>
    <x v="3"/>
    <s v="Y60"/>
    <x v="3"/>
    <n v="218"/>
    <x v="5"/>
  </r>
  <r>
    <x v="6"/>
    <n v="1"/>
    <s v="RVR"/>
    <x v="2"/>
    <n v="3"/>
    <x v="108"/>
    <s v=""/>
    <s v=""/>
    <x v="3"/>
    <s v="Y56"/>
    <x v="1"/>
    <n v="343"/>
    <x v="5"/>
  </r>
  <r>
    <x v="6"/>
    <n v="1"/>
    <s v="RAP"/>
    <x v="2"/>
    <n v="3"/>
    <x v="111"/>
    <s v=""/>
    <s v=""/>
    <x v="3"/>
    <s v="Y56"/>
    <x v="1"/>
    <n v="393"/>
    <x v="5"/>
  </r>
  <r>
    <x v="6"/>
    <n v="1"/>
    <s v="RWG"/>
    <x v="2"/>
    <n v="3"/>
    <x v="116"/>
    <s v=""/>
    <s v=""/>
    <x v="3"/>
    <s v="Y61"/>
    <x v="4"/>
    <n v="360"/>
    <x v="5"/>
  </r>
  <r>
    <x v="6"/>
    <n v="1"/>
    <s v="RJ7"/>
    <x v="2"/>
    <n v="3"/>
    <x v="109"/>
    <s v=""/>
    <s v=""/>
    <x v="3"/>
    <s v="Y56"/>
    <x v="1"/>
    <n v="200"/>
    <x v="5"/>
  </r>
  <r>
    <x v="6"/>
    <n v="1"/>
    <s v="R1H"/>
    <x v="2"/>
    <n v="3"/>
    <x v="110"/>
    <s v=""/>
    <s v=""/>
    <x v="3"/>
    <s v="Y56"/>
    <x v="1"/>
    <n v="259"/>
    <x v="5"/>
  </r>
  <r>
    <x v="6"/>
    <n v="1"/>
    <s v="RD8"/>
    <x v="2"/>
    <n v="3"/>
    <x v="107"/>
    <s v=""/>
    <s v=""/>
    <x v="3"/>
    <s v="Y61"/>
    <x v="4"/>
    <n v="430"/>
    <x v="5"/>
  </r>
  <r>
    <x v="6"/>
    <n v="1"/>
    <s v="RR8"/>
    <x v="2"/>
    <n v="3"/>
    <x v="118"/>
    <s v=""/>
    <s v=""/>
    <x v="3"/>
    <s v="Y63"/>
    <x v="2"/>
    <n v="298"/>
    <x v="5"/>
  </r>
  <r>
    <x v="6"/>
    <n v="1"/>
    <s v="RRV"/>
    <x v="2"/>
    <n v="3"/>
    <x v="104"/>
    <s v=""/>
    <s v=""/>
    <x v="3"/>
    <s v="Y56"/>
    <x v="1"/>
    <n v="309"/>
    <x v="5"/>
  </r>
  <r>
    <x v="6"/>
    <n v="1"/>
    <s v="R1K"/>
    <x v="2"/>
    <n v="3"/>
    <x v="121"/>
    <s v=""/>
    <s v=""/>
    <x v="3"/>
    <s v="Y56"/>
    <x v="1"/>
    <n v="337"/>
    <x v="5"/>
  </r>
  <r>
    <x v="6"/>
    <n v="1"/>
    <s v="RXL"/>
    <x v="2"/>
    <n v="3"/>
    <x v="119"/>
    <s v=""/>
    <s v=""/>
    <x v="3"/>
    <s v="Y62"/>
    <x v="6"/>
    <n v="382"/>
    <x v="5"/>
  </r>
  <r>
    <x v="6"/>
    <n v="1"/>
    <s v="RK9"/>
    <x v="2"/>
    <n v="3"/>
    <x v="120"/>
    <s v=""/>
    <s v=""/>
    <x v="3"/>
    <s v="Y58"/>
    <x v="5"/>
    <n v="216"/>
    <x v="5"/>
  </r>
  <r>
    <x v="6"/>
    <n v="1"/>
    <s v="RXF"/>
    <x v="2"/>
    <n v="3"/>
    <x v="112"/>
    <s v=""/>
    <s v=""/>
    <x v="3"/>
    <s v="Y63"/>
    <x v="2"/>
    <n v="377"/>
    <x v="5"/>
  </r>
  <r>
    <x v="6"/>
    <n v="1"/>
    <s v="REM"/>
    <x v="2"/>
    <n v="3"/>
    <x v="122"/>
    <s v=""/>
    <s v=""/>
    <x v="3"/>
    <s v="Y62"/>
    <x v="6"/>
    <n v="287"/>
    <x v="5"/>
  </r>
  <r>
    <x v="6"/>
    <n v="1"/>
    <s v="R0A"/>
    <x v="3"/>
    <n v="4"/>
    <x v="123"/>
    <s v=""/>
    <s v=""/>
    <x v="3"/>
    <s v="Y62"/>
    <x v="6"/>
    <n v="349"/>
    <x v="5"/>
  </r>
  <r>
    <x v="6"/>
    <n v="1"/>
    <s v="RJ1"/>
    <x v="3"/>
    <n v="4"/>
    <x v="124"/>
    <s v=""/>
    <s v=""/>
    <x v="3"/>
    <s v="Y56"/>
    <x v="1"/>
    <n v="196"/>
    <x v="5"/>
  </r>
  <r>
    <x v="6"/>
    <n v="1"/>
    <s v="RTH"/>
    <x v="3"/>
    <n v="4"/>
    <x v="125"/>
    <s v=""/>
    <s v=""/>
    <x v="3"/>
    <s v="Y59"/>
    <x v="0"/>
    <n v="321"/>
    <x v="5"/>
  </r>
  <r>
    <x v="6"/>
    <n v="1"/>
    <s v="RRK"/>
    <x v="3"/>
    <n v="4"/>
    <x v="126"/>
    <s v=""/>
    <s v=""/>
    <x v="3"/>
    <s v="Y60"/>
    <x v="3"/>
    <n v="304"/>
    <x v="5"/>
  </r>
  <r>
    <x v="6"/>
    <n v="1"/>
    <s v="RA7"/>
    <x v="3"/>
    <n v="4"/>
    <x v="127"/>
    <s v=""/>
    <s v=""/>
    <x v="3"/>
    <s v="Y58"/>
    <x v="5"/>
    <n v="387"/>
    <x v="5"/>
  </r>
  <r>
    <x v="6"/>
    <n v="1"/>
    <s v="RJZ"/>
    <x v="3"/>
    <n v="4"/>
    <x v="117"/>
    <s v=""/>
    <s v=""/>
    <x v="3"/>
    <s v="Y56"/>
    <x v="1"/>
    <n v="213"/>
    <x v="5"/>
  </r>
  <r>
    <x v="6"/>
    <n v="1"/>
    <s v="RJE"/>
    <x v="3"/>
    <n v="4"/>
    <x v="129"/>
    <s v=""/>
    <s v=""/>
    <x v="3"/>
    <s v="Y60"/>
    <x v="3"/>
    <n v="205"/>
    <x v="5"/>
  </r>
  <r>
    <x v="6"/>
    <n v="1"/>
    <s v="RP5"/>
    <x v="3"/>
    <n v="4"/>
    <x v="101"/>
    <s v=""/>
    <s v=""/>
    <x v="3"/>
    <s v="Y63"/>
    <x v="2"/>
    <n v="272"/>
    <x v="5"/>
  </r>
  <r>
    <x v="6"/>
    <n v="1"/>
    <s v="RCB"/>
    <x v="3"/>
    <n v="4"/>
    <x v="128"/>
    <s v=""/>
    <s v=""/>
    <x v="3"/>
    <s v="Y63"/>
    <x v="2"/>
    <n v="419"/>
    <x v="5"/>
  </r>
  <r>
    <x v="6"/>
    <n v="1"/>
    <s v="RYJ"/>
    <x v="3"/>
    <n v="4"/>
    <x v="130"/>
    <s v=""/>
    <s v=""/>
    <x v="3"/>
    <s v="Y56"/>
    <x v="1"/>
    <n v="290"/>
    <x v="5"/>
  </r>
  <r>
    <x v="6"/>
    <n v="1"/>
    <s v="RQM"/>
    <x v="3"/>
    <n v="4"/>
    <x v="131"/>
    <s v=""/>
    <s v=""/>
    <x v="3"/>
    <s v="Y56"/>
    <x v="1"/>
    <n v="289"/>
    <x v="5"/>
  </r>
  <r>
    <x v="6"/>
    <n v="1"/>
    <s v="R0D"/>
    <x v="3"/>
    <n v="4"/>
    <x v="132"/>
    <s v=""/>
    <s v=""/>
    <x v="3"/>
    <s v="Y58"/>
    <x v="5"/>
    <n v="153"/>
    <x v="5"/>
  </r>
  <r>
    <x v="6"/>
    <n v="1"/>
    <s v="RM1"/>
    <x v="3"/>
    <n v="4"/>
    <x v="134"/>
    <s v=""/>
    <s v=""/>
    <x v="3"/>
    <s v="Y61"/>
    <x v="4"/>
    <n v="234"/>
    <x v="5"/>
  </r>
  <r>
    <x v="6"/>
    <n v="1"/>
    <s v="RX1"/>
    <x v="3"/>
    <n v="4"/>
    <x v="133"/>
    <s v=""/>
    <s v=""/>
    <x v="3"/>
    <s v="Y60"/>
    <x v="3"/>
    <n v="164"/>
    <x v="5"/>
  </r>
  <r>
    <x v="6"/>
    <n v="1"/>
    <s v="RYA"/>
    <x v="1"/>
    <n v="2"/>
    <x v="136"/>
    <s v=""/>
    <s v=""/>
    <x v="3"/>
    <s v="Y60"/>
    <x v="3"/>
    <n v="217"/>
    <x v="6"/>
  </r>
  <r>
    <x v="6"/>
    <n v="1"/>
    <s v="RYE"/>
    <x v="2"/>
    <n v="3"/>
    <x v="137"/>
    <s v=""/>
    <s v=""/>
    <x v="3"/>
    <s v="Y59"/>
    <x v="0"/>
    <n v="195"/>
    <x v="6"/>
  </r>
  <r>
    <x v="6"/>
    <n v="1"/>
    <s v="RYD"/>
    <x v="2"/>
    <n v="3"/>
    <x v="135"/>
    <s v=""/>
    <s v=""/>
    <x v="3"/>
    <s v="Y59"/>
    <x v="0"/>
    <n v="278"/>
    <x v="6"/>
  </r>
  <r>
    <x v="6"/>
    <n v="1"/>
    <s v="RX7"/>
    <x v="2"/>
    <n v="3"/>
    <x v="142"/>
    <s v=""/>
    <s v=""/>
    <x v="3"/>
    <s v="Y62"/>
    <x v="6"/>
    <n v="242"/>
    <x v="6"/>
  </r>
  <r>
    <x v="6"/>
    <n v="1"/>
    <s v="RX6"/>
    <x v="2"/>
    <n v="3"/>
    <x v="138"/>
    <s v=""/>
    <s v=""/>
    <x v="3"/>
    <s v="Y63"/>
    <x v="2"/>
    <n v="340"/>
    <x v="6"/>
  </r>
  <r>
    <x v="6"/>
    <n v="1"/>
    <s v="RX8"/>
    <x v="3"/>
    <n v="4"/>
    <x v="139"/>
    <s v=""/>
    <s v=""/>
    <x v="3"/>
    <s v="Y63"/>
    <x v="2"/>
    <n v="174"/>
    <x v="6"/>
  </r>
  <r>
    <x v="6"/>
    <n v="1"/>
    <s v="RYC"/>
    <x v="3"/>
    <n v="4"/>
    <x v="140"/>
    <s v=""/>
    <s v=""/>
    <x v="3"/>
    <s v="Y61"/>
    <x v="4"/>
    <n v="247"/>
    <x v="6"/>
  </r>
  <r>
    <x v="6"/>
    <n v="1"/>
    <s v="RYF"/>
    <x v="3"/>
    <n v="4"/>
    <x v="143"/>
    <s v=""/>
    <s v=""/>
    <x v="3"/>
    <s v="Y58"/>
    <x v="5"/>
    <n v="202"/>
    <x v="6"/>
  </r>
  <r>
    <x v="6"/>
    <n v="1"/>
    <s v="RRU"/>
    <x v="3"/>
    <n v="4"/>
    <x v="141"/>
    <s v=""/>
    <s v=""/>
    <x v="3"/>
    <s v="Y56"/>
    <x v="1"/>
    <n v="308"/>
    <x v="6"/>
  </r>
  <r>
    <x v="6"/>
    <n v="1"/>
    <s v="RX9"/>
    <x v="3"/>
    <n v="4"/>
    <x v="144"/>
    <s v=""/>
    <s v=""/>
    <x v="3"/>
    <s v="Y60"/>
    <x v="3"/>
    <n v="335"/>
    <x v="6"/>
  </r>
  <r>
    <x v="6"/>
    <n v="1"/>
    <s v="TAH"/>
    <x v="1"/>
    <n v="2"/>
    <x v="146"/>
    <s v=""/>
    <s v=""/>
    <x v="3"/>
    <s v="Y63"/>
    <x v="2"/>
    <n v="457"/>
    <x v="7"/>
  </r>
  <r>
    <x v="6"/>
    <n v="1"/>
    <s v="TAD"/>
    <x v="2"/>
    <n v="3"/>
    <x v="145"/>
    <s v=""/>
    <s v=""/>
    <x v="3"/>
    <s v="Y63"/>
    <x v="2"/>
    <n v="453"/>
    <x v="7"/>
  </r>
  <r>
    <x v="6"/>
    <n v="1"/>
    <s v="TAF"/>
    <x v="2"/>
    <n v="3"/>
    <x v="147"/>
    <s v=""/>
    <s v=""/>
    <x v="3"/>
    <s v="Y56"/>
    <x v="1"/>
    <n v="455"/>
    <x v="7"/>
  </r>
  <r>
    <x v="6"/>
    <n v="1"/>
    <s v="0DF"/>
    <x v="0"/>
    <n v="1"/>
    <x v="149"/>
    <s v=""/>
    <s v=""/>
    <x v="3"/>
    <s v="QZZ"/>
    <x v="7"/>
    <n v="891"/>
    <x v="8"/>
  </r>
  <r>
    <x v="6"/>
    <n v="1"/>
    <s v="0CX"/>
    <x v="0"/>
    <n v="1"/>
    <x v="150"/>
    <s v=""/>
    <s v=""/>
    <x v="3"/>
    <s v="QZZ"/>
    <x v="7"/>
    <n v="877"/>
    <x v="8"/>
  </r>
  <r>
    <x v="6"/>
    <n v="1"/>
    <s v="0DE"/>
    <x v="1"/>
    <n v="2"/>
    <x v="151"/>
    <s v=""/>
    <s v=""/>
    <x v="3"/>
    <s v="QZZ"/>
    <x v="7"/>
    <n v="880"/>
    <x v="8"/>
  </r>
  <r>
    <x v="6"/>
    <n v="1"/>
    <s v="0AR"/>
    <x v="3"/>
    <n v="4"/>
    <x v="148"/>
    <s v=""/>
    <s v=""/>
    <x v="3"/>
    <s v="QZZ"/>
    <x v="7"/>
    <n v="869"/>
    <x v="8"/>
  </r>
  <r>
    <x v="6"/>
    <n v="1"/>
    <s v="R1D"/>
    <x v="0"/>
    <n v="1"/>
    <x v="160"/>
    <s v=""/>
    <s v=""/>
    <x v="3"/>
    <s v="Y60"/>
    <x v="3"/>
    <n v="825"/>
    <x v="9"/>
  </r>
  <r>
    <x v="6"/>
    <n v="1"/>
    <s v="NQ7"/>
    <x v="0"/>
    <n v="1"/>
    <x v="153"/>
    <s v=""/>
    <s v=""/>
    <x v="3"/>
    <s v="Y59"/>
    <x v="0"/>
    <n v="813"/>
    <x v="9"/>
  </r>
  <r>
    <x v="6"/>
    <n v="1"/>
    <s v="R1C"/>
    <x v="0"/>
    <n v="1"/>
    <x v="152"/>
    <s v=""/>
    <s v=""/>
    <x v="3"/>
    <s v="Y59"/>
    <x v="0"/>
    <n v="449"/>
    <x v="9"/>
  </r>
  <r>
    <x v="6"/>
    <n v="1"/>
    <s v="NQA"/>
    <x v="0"/>
    <n v="1"/>
    <x v="161"/>
    <s v=""/>
    <s v=""/>
    <x v="3"/>
    <s v="Y61"/>
    <x v="4"/>
    <n v="828"/>
    <x v="9"/>
  </r>
  <r>
    <x v="6"/>
    <n v="1"/>
    <s v="8J318"/>
    <x v="0"/>
    <n v="1"/>
    <x v="157"/>
    <s v=""/>
    <s v=""/>
    <x v="3"/>
    <s v="Y63"/>
    <x v="2"/>
    <n v="98"/>
    <x v="9"/>
  </r>
  <r>
    <x v="6"/>
    <n v="1"/>
    <s v="AXG"/>
    <x v="0"/>
    <n v="1"/>
    <x v="155"/>
    <s v=""/>
    <s v=""/>
    <x v="3"/>
    <s v="Y58"/>
    <x v="5"/>
    <n v="85"/>
    <x v="9"/>
  </r>
  <r>
    <x v="6"/>
    <n v="1"/>
    <s v="RYY"/>
    <x v="0"/>
    <n v="1"/>
    <x v="154"/>
    <s v=""/>
    <s v=""/>
    <x v="3"/>
    <s v="Y59"/>
    <x v="0"/>
    <n v="846"/>
    <x v="9"/>
  </r>
  <r>
    <x v="6"/>
    <n v="1"/>
    <s v="NNV"/>
    <x v="0"/>
    <n v="1"/>
    <x v="165"/>
    <s v=""/>
    <s v=""/>
    <x v="3"/>
    <s v="Y56"/>
    <x v="1"/>
    <n v="811"/>
    <x v="9"/>
  </r>
  <r>
    <x v="6"/>
    <n v="1"/>
    <s v="RY5"/>
    <x v="1"/>
    <n v="2"/>
    <x v="156"/>
    <s v=""/>
    <s v=""/>
    <x v="3"/>
    <s v="Y60"/>
    <x v="3"/>
    <n v="818"/>
    <x v="9"/>
  </r>
  <r>
    <x v="6"/>
    <n v="1"/>
    <s v="RDR"/>
    <x v="1"/>
    <n v="2"/>
    <x v="158"/>
    <s v=""/>
    <s v=""/>
    <x v="3"/>
    <s v="Y59"/>
    <x v="0"/>
    <n v="150"/>
    <x v="9"/>
  </r>
  <r>
    <x v="6"/>
    <n v="1"/>
    <s v="NAX"/>
    <x v="1"/>
    <n v="2"/>
    <x v="163"/>
    <s v=""/>
    <s v=""/>
    <x v="3"/>
    <s v="Y61"/>
    <x v="4"/>
    <n v="849"/>
    <x v="9"/>
  </r>
  <r>
    <x v="6"/>
    <n v="1"/>
    <s v="NL3"/>
    <x v="1"/>
    <n v="2"/>
    <x v="164"/>
    <s v=""/>
    <s v=""/>
    <x v="3"/>
    <s v="Y63"/>
    <x v="2"/>
    <n v="814"/>
    <x v="9"/>
  </r>
  <r>
    <x v="6"/>
    <n v="1"/>
    <s v="RY7"/>
    <x v="1"/>
    <n v="2"/>
    <x v="159"/>
    <s v=""/>
    <s v=""/>
    <x v="3"/>
    <s v="Y62"/>
    <x v="6"/>
    <n v="844"/>
    <x v="9"/>
  </r>
  <r>
    <x v="6"/>
    <n v="1"/>
    <s v="RY9"/>
    <x v="1"/>
    <n v="2"/>
    <x v="168"/>
    <s v=""/>
    <s v=""/>
    <x v="3"/>
    <s v="Y56"/>
    <x v="1"/>
    <n v="779"/>
    <x v="9"/>
  </r>
  <r>
    <x v="6"/>
    <n v="1"/>
    <s v="NQL"/>
    <x v="1"/>
    <n v="2"/>
    <x v="166"/>
    <s v=""/>
    <s v=""/>
    <x v="3"/>
    <s v="Y63"/>
    <x v="2"/>
    <n v="816"/>
    <x v="9"/>
  </r>
  <r>
    <x v="6"/>
    <n v="1"/>
    <s v="RY3"/>
    <x v="1"/>
    <n v="2"/>
    <x v="169"/>
    <s v=""/>
    <s v=""/>
    <x v="3"/>
    <s v="Y61"/>
    <x v="4"/>
    <n v="839"/>
    <x v="9"/>
  </r>
  <r>
    <x v="6"/>
    <n v="1"/>
    <s v="R1A"/>
    <x v="1"/>
    <n v="2"/>
    <x v="170"/>
    <s v=""/>
    <s v=""/>
    <x v="3"/>
    <s v="Y60"/>
    <x v="3"/>
    <n v="798"/>
    <x v="9"/>
  </r>
  <r>
    <x v="6"/>
    <n v="1"/>
    <s v="RY4"/>
    <x v="2"/>
    <n v="3"/>
    <x v="167"/>
    <s v=""/>
    <s v=""/>
    <x v="3"/>
    <s v="Y61"/>
    <x v="4"/>
    <n v="812"/>
    <x v="9"/>
  </r>
  <r>
    <x v="6"/>
    <n v="1"/>
    <s v="RYV"/>
    <x v="2"/>
    <n v="3"/>
    <x v="171"/>
    <s v=""/>
    <s v=""/>
    <x v="3"/>
    <s v="Y61"/>
    <x v="4"/>
    <n v="448"/>
    <x v="9"/>
  </r>
  <r>
    <x v="6"/>
    <n v="1"/>
    <s v="NR3"/>
    <x v="2"/>
    <n v="3"/>
    <x v="175"/>
    <s v=""/>
    <s v=""/>
    <x v="3"/>
    <s v="Y60"/>
    <x v="3"/>
    <n v="826"/>
    <x v="9"/>
  </r>
  <r>
    <x v="6"/>
    <n v="1"/>
    <s v="RY8"/>
    <x v="2"/>
    <n v="3"/>
    <x v="172"/>
    <s v=""/>
    <s v=""/>
    <x v="3"/>
    <s v="Y60"/>
    <x v="3"/>
    <n v="842"/>
    <x v="9"/>
  </r>
  <r>
    <x v="6"/>
    <n v="1"/>
    <s v="NNF"/>
    <x v="2"/>
    <n v="3"/>
    <x v="173"/>
    <s v=""/>
    <s v=""/>
    <x v="3"/>
    <s v="Y63"/>
    <x v="2"/>
    <n v="810"/>
    <x v="9"/>
  </r>
  <r>
    <x v="6"/>
    <n v="1"/>
    <s v="NL8"/>
    <x v="2"/>
    <n v="3"/>
    <x v="177"/>
    <s v=""/>
    <s v=""/>
    <x v="3"/>
    <s v="Y63"/>
    <x v="2"/>
    <n v="845"/>
    <x v="9"/>
  </r>
  <r>
    <x v="6"/>
    <n v="1"/>
    <s v="NL1"/>
    <x v="2"/>
    <n v="3"/>
    <x v="162"/>
    <s v=""/>
    <s v=""/>
    <x v="3"/>
    <s v="Y63"/>
    <x v="2"/>
    <n v="847"/>
    <x v="9"/>
  </r>
  <r>
    <x v="6"/>
    <n v="1"/>
    <s v="RY2"/>
    <x v="2"/>
    <n v="3"/>
    <x v="174"/>
    <s v=""/>
    <s v=""/>
    <x v="3"/>
    <s v="Y62"/>
    <x v="6"/>
    <n v="835"/>
    <x v="9"/>
  </r>
  <r>
    <x v="6"/>
    <n v="1"/>
    <s v="RYW"/>
    <x v="2"/>
    <n v="3"/>
    <x v="176"/>
    <s v=""/>
    <s v=""/>
    <x v="3"/>
    <s v="Y60"/>
    <x v="3"/>
    <n v="820"/>
    <x v="9"/>
  </r>
  <r>
    <x v="6"/>
    <n v="1"/>
    <s v="NQV"/>
    <x v="3"/>
    <n v="4"/>
    <x v="178"/>
    <s v=""/>
    <s v=""/>
    <x v="3"/>
    <s v="Y56"/>
    <x v="1"/>
    <n v="848"/>
    <x v="9"/>
  </r>
  <r>
    <x v="6"/>
    <n v="1"/>
    <s v="RY6"/>
    <x v="3"/>
    <n v="4"/>
    <x v="180"/>
    <s v=""/>
    <s v=""/>
    <x v="3"/>
    <s v="Y63"/>
    <x v="2"/>
    <n v="833"/>
    <x v="9"/>
  </r>
  <r>
    <x v="6"/>
    <n v="1"/>
    <s v="NDJ"/>
    <x v="3"/>
    <n v="4"/>
    <x v="185"/>
    <s v=""/>
    <s v=""/>
    <x v="3"/>
    <s v="Y59"/>
    <x v="0"/>
    <n v="78"/>
    <x v="9"/>
  </r>
  <r>
    <x v="6"/>
    <n v="1"/>
    <s v="NLX"/>
    <x v="3"/>
    <n v="4"/>
    <x v="181"/>
    <s v=""/>
    <s v=""/>
    <x v="3"/>
    <s v="Y58"/>
    <x v="5"/>
    <n v="83"/>
    <x v="9"/>
  </r>
  <r>
    <x v="6"/>
    <n v="1"/>
    <s v="RYX"/>
    <x v="3"/>
    <n v="4"/>
    <x v="179"/>
    <s v=""/>
    <s v=""/>
    <x v="3"/>
    <s v="Y56"/>
    <x v="1"/>
    <n v="824"/>
    <x v="9"/>
  </r>
  <r>
    <x v="6"/>
    <n v="1"/>
    <s v="NR5"/>
    <x v="3"/>
    <n v="4"/>
    <x v="183"/>
    <s v=""/>
    <s v=""/>
    <x v="3"/>
    <s v="Y58"/>
    <x v="5"/>
    <n v="832"/>
    <x v="9"/>
  </r>
  <r>
    <x v="6"/>
    <n v="1"/>
    <s v="NTV"/>
    <x v="3"/>
    <n v="4"/>
    <x v="182"/>
    <s v=""/>
    <s v=""/>
    <x v="3"/>
    <s v="Y59"/>
    <x v="0"/>
    <n v="74"/>
    <x v="9"/>
  </r>
  <r>
    <x v="6"/>
    <n v="1"/>
    <s v="RYK"/>
    <x v="3"/>
    <n v="4"/>
    <x v="184"/>
    <s v=""/>
    <s v=""/>
    <x v="3"/>
    <s v="Y60"/>
    <x v="3"/>
    <n v="445"/>
    <x v="9"/>
  </r>
  <r>
    <x v="6"/>
    <n v="1"/>
    <s v="NRR"/>
    <x v="3"/>
    <n v="4"/>
    <x v="186"/>
    <s v=""/>
    <s v=""/>
    <x v="3"/>
    <s v="Y61"/>
    <x v="4"/>
    <n v="829"/>
    <x v="9"/>
  </r>
  <r>
    <x v="6"/>
    <n v="1"/>
    <s v="QJM"/>
    <x v="0"/>
    <n v="1"/>
    <x v="199"/>
    <s v=""/>
    <s v=""/>
    <x v="3"/>
    <s v="Y60"/>
    <x v="3"/>
    <n v="116"/>
    <x v="10"/>
  </r>
  <r>
    <x v="6"/>
    <n v="1"/>
    <s v="QOX"/>
    <x v="0"/>
    <n v="1"/>
    <x v="193"/>
    <s v=""/>
    <s v=""/>
    <x v="3"/>
    <s v="Y58"/>
    <x v="5"/>
    <n v="983"/>
    <x v="10"/>
  </r>
  <r>
    <x v="6"/>
    <n v="1"/>
    <s v="QU9"/>
    <x v="0"/>
    <n v="1"/>
    <x v="192"/>
    <s v=""/>
    <s v=""/>
    <x v="3"/>
    <s v="Y59"/>
    <x v="0"/>
    <n v="482"/>
    <x v="10"/>
  </r>
  <r>
    <x v="6"/>
    <n v="1"/>
    <s v="QPM"/>
    <x v="0"/>
    <n v="1"/>
    <x v="195"/>
    <s v=""/>
    <s v=""/>
    <x v="3"/>
    <s v="Y60"/>
    <x v="3"/>
    <n v="86"/>
    <x v="10"/>
  </r>
  <r>
    <x v="6"/>
    <n v="1"/>
    <s v="QNC"/>
    <x v="0"/>
    <n v="1"/>
    <x v="196"/>
    <s v=""/>
    <s v=""/>
    <x v="3"/>
    <s v="Y60"/>
    <x v="3"/>
    <n v="66"/>
    <x v="10"/>
  </r>
  <r>
    <x v="6"/>
    <n v="1"/>
    <s v="QGH"/>
    <x v="0"/>
    <n v="1"/>
    <x v="190"/>
    <s v=""/>
    <s v=""/>
    <x v="3"/>
    <s v="Y60"/>
    <x v="3"/>
    <n v="106"/>
    <x v="10"/>
  </r>
  <r>
    <x v="6"/>
    <n v="1"/>
    <s v="QNX"/>
    <x v="0"/>
    <n v="1"/>
    <x v="187"/>
    <s v=""/>
    <s v=""/>
    <x v="3"/>
    <s v="Y59"/>
    <x v="0"/>
    <n v="146"/>
    <x v="10"/>
  </r>
  <r>
    <x v="6"/>
    <n v="1"/>
    <s v="QRL"/>
    <x v="0"/>
    <n v="1"/>
    <x v="202"/>
    <s v=""/>
    <s v=""/>
    <x v="3"/>
    <s v="Y59"/>
    <x v="0"/>
    <n v="104"/>
    <x v="10"/>
  </r>
  <r>
    <x v="6"/>
    <n v="1"/>
    <s v="QJK"/>
    <x v="0"/>
    <n v="1"/>
    <x v="198"/>
    <s v=""/>
    <s v=""/>
    <x v="3"/>
    <s v="Y58"/>
    <x v="5"/>
    <n v="144"/>
    <x v="10"/>
  </r>
  <r>
    <x v="6"/>
    <n v="1"/>
    <s v="QUY"/>
    <x v="0"/>
    <n v="1"/>
    <x v="189"/>
    <s v=""/>
    <s v=""/>
    <x v="3"/>
    <s v="Y58"/>
    <x v="5"/>
    <n v="461"/>
    <x v="10"/>
  </r>
  <r>
    <x v="6"/>
    <n v="1"/>
    <s v="QMM"/>
    <x v="0"/>
    <n v="1"/>
    <x v="209"/>
    <s v=""/>
    <s v=""/>
    <x v="3"/>
    <s v="Y61"/>
    <x v="4"/>
    <n v="137"/>
    <x v="10"/>
  </r>
  <r>
    <x v="6"/>
    <n v="1"/>
    <s v="QR1"/>
    <x v="0"/>
    <n v="1"/>
    <x v="188"/>
    <s v=""/>
    <s v=""/>
    <x v="3"/>
    <s v="Y58"/>
    <x v="5"/>
    <n v="843"/>
    <x v="10"/>
  </r>
  <r>
    <x v="6"/>
    <n v="1"/>
    <s v="QH8"/>
    <x v="0"/>
    <n v="1"/>
    <x v="221"/>
    <s v=""/>
    <s v=""/>
    <x v="3"/>
    <s v="Y61"/>
    <x v="4"/>
    <n v="708"/>
    <x v="10"/>
  </r>
  <r>
    <x v="6"/>
    <n v="1"/>
    <s v="QYG"/>
    <x v="1"/>
    <n v="2"/>
    <x v="191"/>
    <s v=""/>
    <s v=""/>
    <x v="3"/>
    <s v="Y62"/>
    <x v="6"/>
    <n v="493"/>
    <x v="10"/>
  </r>
  <r>
    <x v="6"/>
    <n v="1"/>
    <s v="QHG"/>
    <x v="1"/>
    <n v="2"/>
    <x v="194"/>
    <s v=""/>
    <s v=""/>
    <x v="3"/>
    <s v="Y61"/>
    <x v="4"/>
    <n v="465"/>
    <x v="10"/>
  </r>
  <r>
    <x v="6"/>
    <n v="1"/>
    <s v="QK1"/>
    <x v="1"/>
    <n v="2"/>
    <x v="204"/>
    <s v=""/>
    <s v=""/>
    <x v="3"/>
    <s v="Y60"/>
    <x v="3"/>
    <n v="994"/>
    <x v="10"/>
  </r>
  <r>
    <x v="6"/>
    <n v="1"/>
    <s v="QWU"/>
    <x v="1"/>
    <n v="2"/>
    <x v="206"/>
    <s v=""/>
    <s v=""/>
    <x v="3"/>
    <s v="Y60"/>
    <x v="3"/>
    <n v="105"/>
    <x v="10"/>
  </r>
  <r>
    <x v="6"/>
    <n v="1"/>
    <s v="QKK"/>
    <x v="1"/>
    <n v="2"/>
    <x v="205"/>
    <s v=""/>
    <s v=""/>
    <x v="3"/>
    <s v="Y56"/>
    <x v="1"/>
    <n v="487"/>
    <x v="10"/>
  </r>
  <r>
    <x v="6"/>
    <n v="1"/>
    <s v="QT6"/>
    <x v="1"/>
    <n v="2"/>
    <x v="210"/>
    <s v=""/>
    <s v=""/>
    <x v="3"/>
    <s v="Y58"/>
    <x v="5"/>
    <n v="471"/>
    <x v="10"/>
  </r>
  <r>
    <x v="6"/>
    <n v="1"/>
    <s v="QHL"/>
    <x v="1"/>
    <n v="2"/>
    <x v="207"/>
    <s v=""/>
    <s v=""/>
    <x v="3"/>
    <s v="Y60"/>
    <x v="3"/>
    <n v="529"/>
    <x v="10"/>
  </r>
  <r>
    <x v="6"/>
    <n v="1"/>
    <s v="QF7"/>
    <x v="1"/>
    <n v="2"/>
    <x v="201"/>
    <s v=""/>
    <s v=""/>
    <x v="3"/>
    <s v="Y63"/>
    <x v="2"/>
    <n v="133"/>
    <x v="10"/>
  </r>
  <r>
    <x v="6"/>
    <n v="1"/>
    <s v="QJ2"/>
    <x v="1"/>
    <n v="2"/>
    <x v="211"/>
    <s v=""/>
    <s v=""/>
    <x v="3"/>
    <s v="Y60"/>
    <x v="3"/>
    <n v="996"/>
    <x v="10"/>
  </r>
  <r>
    <x v="6"/>
    <n v="1"/>
    <s v="QOC"/>
    <x v="2"/>
    <n v="3"/>
    <x v="203"/>
    <s v=""/>
    <s v=""/>
    <x v="3"/>
    <s v="Y60"/>
    <x v="3"/>
    <n v="942"/>
    <x v="10"/>
  </r>
  <r>
    <x v="6"/>
    <n v="1"/>
    <s v="QNQ"/>
    <x v="2"/>
    <n v="3"/>
    <x v="200"/>
    <s v=""/>
    <s v=""/>
    <x v="3"/>
    <s v="Y59"/>
    <x v="0"/>
    <n v="495"/>
    <x v="10"/>
  </r>
  <r>
    <x v="6"/>
    <n v="1"/>
    <s v="QWE"/>
    <x v="2"/>
    <n v="3"/>
    <x v="215"/>
    <s v=""/>
    <s v=""/>
    <x v="3"/>
    <s v="Y56"/>
    <x v="1"/>
    <n v="491"/>
    <x v="10"/>
  </r>
  <r>
    <x v="6"/>
    <n v="1"/>
    <s v="QMJ"/>
    <x v="2"/>
    <n v="3"/>
    <x v="213"/>
    <s v=""/>
    <s v=""/>
    <x v="3"/>
    <s v="Y56"/>
    <x v="1"/>
    <n v="985"/>
    <x v="10"/>
  </r>
  <r>
    <x v="6"/>
    <n v="1"/>
    <s v="QSL"/>
    <x v="2"/>
    <n v="3"/>
    <x v="197"/>
    <s v=""/>
    <s v=""/>
    <x v="3"/>
    <s v="Y58"/>
    <x v="5"/>
    <n v="462"/>
    <x v="10"/>
  </r>
  <r>
    <x v="6"/>
    <n v="1"/>
    <s v="QRV"/>
    <x v="2"/>
    <n v="3"/>
    <x v="212"/>
    <s v=""/>
    <s v=""/>
    <x v="3"/>
    <s v="Y56"/>
    <x v="1"/>
    <n v="807"/>
    <x v="10"/>
  </r>
  <r>
    <x v="6"/>
    <n v="1"/>
    <s v="QT1"/>
    <x v="2"/>
    <n v="3"/>
    <x v="208"/>
    <s v=""/>
    <s v=""/>
    <x v="3"/>
    <s v="Y60"/>
    <x v="3"/>
    <n v="111"/>
    <x v="10"/>
  </r>
  <r>
    <x v="6"/>
    <n v="1"/>
    <s v="QE1"/>
    <x v="2"/>
    <n v="3"/>
    <x v="216"/>
    <s v=""/>
    <s v=""/>
    <x v="3"/>
    <s v="Y62"/>
    <x v="6"/>
    <n v="125"/>
    <x v="10"/>
  </r>
  <r>
    <x v="6"/>
    <n v="1"/>
    <s v="QXU"/>
    <x v="3"/>
    <n v="4"/>
    <x v="219"/>
    <s v=""/>
    <s v=""/>
    <x v="3"/>
    <s v="Y59"/>
    <x v="0"/>
    <n v="256"/>
    <x v="10"/>
  </r>
  <r>
    <x v="6"/>
    <n v="1"/>
    <s v="QMF"/>
    <x v="3"/>
    <n v="4"/>
    <x v="220"/>
    <s v=""/>
    <s v=""/>
    <x v="3"/>
    <s v="Y56"/>
    <x v="1"/>
    <n v="161"/>
    <x v="10"/>
  </r>
  <r>
    <x v="6"/>
    <n v="1"/>
    <s v="QUA"/>
    <x v="3"/>
    <n v="4"/>
    <x v="222"/>
    <s v=""/>
    <s v=""/>
    <x v="3"/>
    <s v="Y60"/>
    <x v="3"/>
    <n v="118"/>
    <x v="10"/>
  </r>
  <r>
    <x v="6"/>
    <n v="1"/>
    <s v="QM7"/>
    <x v="3"/>
    <n v="4"/>
    <x v="223"/>
    <s v=""/>
    <s v=""/>
    <x v="3"/>
    <s v="Y61"/>
    <x v="4"/>
    <n v="468"/>
    <x v="10"/>
  </r>
  <r>
    <x v="6"/>
    <n v="1"/>
    <s v="QHM"/>
    <x v="3"/>
    <n v="4"/>
    <x v="217"/>
    <s v=""/>
    <s v=""/>
    <x v="3"/>
    <s v="Y63"/>
    <x v="2"/>
    <n v="134"/>
    <x v="10"/>
  </r>
  <r>
    <x v="6"/>
    <n v="1"/>
    <s v="QOP"/>
    <x v="3"/>
    <n v="4"/>
    <x v="218"/>
    <s v=""/>
    <s v=""/>
    <x v="3"/>
    <s v="Y62"/>
    <x v="6"/>
    <n v="896"/>
    <x v="10"/>
  </r>
  <r>
    <x v="6"/>
    <n v="1"/>
    <s v="QJG"/>
    <x v="3"/>
    <n v="4"/>
    <x v="226"/>
    <s v=""/>
    <s v=""/>
    <x v="3"/>
    <s v="Y61"/>
    <x v="4"/>
    <n v="710"/>
    <x v="10"/>
  </r>
  <r>
    <x v="6"/>
    <n v="1"/>
    <s v="QVV"/>
    <x v="3"/>
    <n v="4"/>
    <x v="225"/>
    <s v=""/>
    <s v=""/>
    <x v="3"/>
    <s v="Y58"/>
    <x v="5"/>
    <n v="467"/>
    <x v="10"/>
  </r>
  <r>
    <x v="6"/>
    <n v="1"/>
    <s v="QWO"/>
    <x v="3"/>
    <n v="4"/>
    <x v="224"/>
    <s v=""/>
    <s v=""/>
    <x v="3"/>
    <s v="Y63"/>
    <x v="2"/>
    <n v="475"/>
    <x v="10"/>
  </r>
  <r>
    <x v="6"/>
    <n v="1"/>
    <s v="QKS"/>
    <x v="3"/>
    <n v="4"/>
    <x v="214"/>
    <s v=""/>
    <s v=""/>
    <x v="3"/>
    <s v="Y59"/>
    <x v="0"/>
    <n v="95"/>
    <x v="10"/>
  </r>
  <r>
    <x v="6"/>
    <n v="1"/>
    <s v="QOQ"/>
    <x v="3"/>
    <n v="4"/>
    <x v="227"/>
    <s v=""/>
    <s v=""/>
    <x v="3"/>
    <s v="Y63"/>
    <x v="2"/>
    <n v="857"/>
    <x v="10"/>
  </r>
  <r>
    <x v="6"/>
    <n v="1"/>
    <s v="QUE"/>
    <x v="3"/>
    <n v="4"/>
    <x v="228"/>
    <s v=""/>
    <s v=""/>
    <x v="3"/>
    <s v="Y61"/>
    <x v="4"/>
    <n v="644"/>
    <x v="10"/>
  </r>
  <r>
    <x v="6"/>
    <n v="1"/>
    <s v="RGD"/>
    <x v="0"/>
    <n v="1"/>
    <x v="232"/>
    <s v=""/>
    <s v=""/>
    <x v="3"/>
    <s v="Y63"/>
    <x v="2"/>
    <n v="173"/>
    <x v="11"/>
  </r>
  <r>
    <x v="6"/>
    <n v="1"/>
    <s v="RJ8"/>
    <x v="0"/>
    <n v="1"/>
    <x v="229"/>
    <s v=""/>
    <s v=""/>
    <x v="3"/>
    <s v="Y58"/>
    <x v="5"/>
    <n v="201"/>
    <x v="11"/>
  </r>
  <r>
    <x v="6"/>
    <n v="1"/>
    <s v="RXG"/>
    <x v="0"/>
    <n v="1"/>
    <x v="239"/>
    <s v=""/>
    <s v=""/>
    <x v="3"/>
    <s v="Y63"/>
    <x v="2"/>
    <n v="378"/>
    <x v="11"/>
  </r>
  <r>
    <x v="6"/>
    <n v="1"/>
    <s v="RX2"/>
    <x v="0"/>
    <n v="1"/>
    <x v="231"/>
    <s v=""/>
    <s v=""/>
    <x v="3"/>
    <s v="Y59"/>
    <x v="0"/>
    <n v="354"/>
    <x v="11"/>
  </r>
  <r>
    <x v="6"/>
    <n v="1"/>
    <s v="RX4"/>
    <x v="0"/>
    <n v="1"/>
    <x v="233"/>
    <s v=""/>
    <s v=""/>
    <x v="3"/>
    <s v="Y63"/>
    <x v="2"/>
    <n v="263"/>
    <x v="11"/>
  </r>
  <r>
    <x v="6"/>
    <n v="1"/>
    <s v="RP7"/>
    <x v="0"/>
    <n v="1"/>
    <x v="230"/>
    <s v=""/>
    <s v=""/>
    <x v="3"/>
    <s v="Y60"/>
    <x v="3"/>
    <n v="274"/>
    <x v="11"/>
  </r>
  <r>
    <x v="6"/>
    <n v="1"/>
    <s v="RVN"/>
    <x v="0"/>
    <n v="1"/>
    <x v="238"/>
    <s v=""/>
    <s v=""/>
    <x v="3"/>
    <s v="Y58"/>
    <x v="5"/>
    <n v="342"/>
    <x v="11"/>
  </r>
  <r>
    <x v="6"/>
    <n v="1"/>
    <s v="RWV"/>
    <x v="0"/>
    <n v="1"/>
    <x v="237"/>
    <s v=""/>
    <s v=""/>
    <x v="3"/>
    <s v="Y58"/>
    <x v="5"/>
    <n v="369"/>
    <x v="11"/>
  </r>
  <r>
    <x v="6"/>
    <n v="1"/>
    <s v="RXA"/>
    <x v="0"/>
    <n v="1"/>
    <x v="235"/>
    <s v=""/>
    <s v=""/>
    <x v="3"/>
    <s v="Y62"/>
    <x v="6"/>
    <n v="373"/>
    <x v="11"/>
  </r>
  <r>
    <x v="6"/>
    <n v="1"/>
    <s v="RV3"/>
    <x v="0"/>
    <n v="1"/>
    <x v="245"/>
    <s v=""/>
    <s v=""/>
    <x v="3"/>
    <s v="Y56"/>
    <x v="1"/>
    <n v="333"/>
    <x v="11"/>
  </r>
  <r>
    <x v="6"/>
    <n v="1"/>
    <s v="RV9"/>
    <x v="0"/>
    <n v="1"/>
    <x v="242"/>
    <s v=""/>
    <s v=""/>
    <x v="3"/>
    <s v="Y63"/>
    <x v="2"/>
    <n v="338"/>
    <x v="11"/>
  </r>
  <r>
    <x v="6"/>
    <n v="1"/>
    <s v="RQY"/>
    <x v="0"/>
    <n v="1"/>
    <x v="244"/>
    <s v=""/>
    <s v=""/>
    <x v="3"/>
    <s v="Y56"/>
    <x v="1"/>
    <n v="294"/>
    <x v="11"/>
  </r>
  <r>
    <x v="6"/>
    <n v="1"/>
    <s v="RDY"/>
    <x v="0"/>
    <n v="1"/>
    <x v="247"/>
    <s v=""/>
    <s v=""/>
    <x v="3"/>
    <s v="Y58"/>
    <x v="5"/>
    <n v="152"/>
    <x v="11"/>
  </r>
  <r>
    <x v="6"/>
    <n v="1"/>
    <s v="RW4"/>
    <x v="1"/>
    <n v="2"/>
    <x v="243"/>
    <s v=""/>
    <s v=""/>
    <x v="3"/>
    <s v="Y62"/>
    <x v="6"/>
    <n v="350"/>
    <x v="11"/>
  </r>
  <r>
    <x v="6"/>
    <n v="1"/>
    <s v="RMY"/>
    <x v="1"/>
    <n v="2"/>
    <x v="259"/>
    <s v=""/>
    <s v=""/>
    <x v="3"/>
    <s v="Y61"/>
    <x v="4"/>
    <n v="246"/>
    <x v="11"/>
  </r>
  <r>
    <x v="6"/>
    <n v="1"/>
    <s v="RW1"/>
    <x v="1"/>
    <n v="2"/>
    <x v="255"/>
    <s v=""/>
    <s v=""/>
    <x v="3"/>
    <s v="Y59"/>
    <x v="0"/>
    <n v="348"/>
    <x v="11"/>
  </r>
  <r>
    <x v="6"/>
    <n v="1"/>
    <s v="RX3"/>
    <x v="1"/>
    <n v="2"/>
    <x v="241"/>
    <s v=""/>
    <s v=""/>
    <x v="3"/>
    <s v="Y63"/>
    <x v="2"/>
    <n v="346"/>
    <x v="11"/>
  </r>
  <r>
    <x v="6"/>
    <n v="1"/>
    <s v="RWK"/>
    <x v="1"/>
    <n v="2"/>
    <x v="260"/>
    <s v=""/>
    <s v=""/>
    <x v="3"/>
    <s v="Y56"/>
    <x v="1"/>
    <n v="363"/>
    <x v="11"/>
  </r>
  <r>
    <x v="6"/>
    <n v="1"/>
    <s v="RXV"/>
    <x v="1"/>
    <n v="2"/>
    <x v="251"/>
    <s v=""/>
    <s v=""/>
    <x v="3"/>
    <s v="Y62"/>
    <x v="6"/>
    <n v="437"/>
    <x v="11"/>
  </r>
  <r>
    <x v="6"/>
    <n v="1"/>
    <s v="RKL"/>
    <x v="1"/>
    <n v="2"/>
    <x v="252"/>
    <s v=""/>
    <s v=""/>
    <x v="3"/>
    <s v="Y56"/>
    <x v="1"/>
    <n v="222"/>
    <x v="11"/>
  </r>
  <r>
    <x v="6"/>
    <n v="1"/>
    <s v="RTQ"/>
    <x v="1"/>
    <n v="2"/>
    <x v="240"/>
    <s v=""/>
    <s v=""/>
    <x v="3"/>
    <s v="Y58"/>
    <x v="5"/>
    <n v="327"/>
    <x v="11"/>
  </r>
  <r>
    <x v="6"/>
    <n v="1"/>
    <s v="RRP"/>
    <x v="1"/>
    <n v="2"/>
    <x v="250"/>
    <s v=""/>
    <s v=""/>
    <x v="3"/>
    <s v="Y56"/>
    <x v="1"/>
    <n v="306"/>
    <x v="11"/>
  </r>
  <r>
    <x v="6"/>
    <n v="1"/>
    <s v="RLY"/>
    <x v="1"/>
    <n v="2"/>
    <x v="254"/>
    <s v=""/>
    <s v=""/>
    <x v="3"/>
    <s v="Y60"/>
    <x v="3"/>
    <n v="232"/>
    <x v="11"/>
  </r>
  <r>
    <x v="6"/>
    <n v="1"/>
    <s v="R1L"/>
    <x v="1"/>
    <n v="2"/>
    <x v="249"/>
    <s v=""/>
    <s v=""/>
    <x v="3"/>
    <s v="Y61"/>
    <x v="4"/>
    <n v="364"/>
    <x v="11"/>
  </r>
  <r>
    <x v="6"/>
    <n v="1"/>
    <s v="RP1"/>
    <x v="1"/>
    <n v="2"/>
    <x v="256"/>
    <s v=""/>
    <s v=""/>
    <x v="3"/>
    <s v="Y60"/>
    <x v="3"/>
    <n v="270"/>
    <x v="11"/>
  </r>
  <r>
    <x v="6"/>
    <n v="1"/>
    <s v="RT5"/>
    <x v="1"/>
    <n v="2"/>
    <x v="262"/>
    <s v=""/>
    <s v=""/>
    <x v="3"/>
    <s v="Y60"/>
    <x v="3"/>
    <n v="313"/>
    <x v="11"/>
  </r>
  <r>
    <x v="6"/>
    <n v="1"/>
    <s v="RT2"/>
    <x v="1"/>
    <n v="2"/>
    <x v="236"/>
    <s v=""/>
    <s v=""/>
    <x v="3"/>
    <s v="Y62"/>
    <x v="6"/>
    <n v="311"/>
    <x v="11"/>
  </r>
  <r>
    <x v="6"/>
    <n v="1"/>
    <s v="RXM"/>
    <x v="2"/>
    <n v="3"/>
    <x v="258"/>
    <s v=""/>
    <s v=""/>
    <x v="3"/>
    <s v="Y60"/>
    <x v="3"/>
    <n v="383"/>
    <x v="11"/>
  </r>
  <r>
    <x v="6"/>
    <n v="1"/>
    <s v="RXE"/>
    <x v="2"/>
    <n v="3"/>
    <x v="234"/>
    <s v=""/>
    <s v=""/>
    <x v="3"/>
    <s v="Y63"/>
    <x v="2"/>
    <n v="376"/>
    <x v="11"/>
  </r>
  <r>
    <x v="6"/>
    <n v="1"/>
    <s v="RRE"/>
    <x v="2"/>
    <n v="3"/>
    <x v="253"/>
    <s v=""/>
    <s v=""/>
    <x v="3"/>
    <s v="Y60"/>
    <x v="3"/>
    <n v="301"/>
    <x v="11"/>
  </r>
  <r>
    <x v="6"/>
    <n v="1"/>
    <s v="RPG"/>
    <x v="2"/>
    <n v="3"/>
    <x v="261"/>
    <s v=""/>
    <s v=""/>
    <x v="3"/>
    <s v="Y56"/>
    <x v="1"/>
    <n v="277"/>
    <x v="11"/>
  </r>
  <r>
    <x v="6"/>
    <n v="1"/>
    <s v="RHA"/>
    <x v="2"/>
    <n v="3"/>
    <x v="248"/>
    <s v=""/>
    <s v=""/>
    <x v="3"/>
    <s v="Y60"/>
    <x v="3"/>
    <n v="186"/>
    <x v="11"/>
  </r>
  <r>
    <x v="6"/>
    <n v="1"/>
    <s v="RNK"/>
    <x v="2"/>
    <n v="3"/>
    <x v="268"/>
    <s v=""/>
    <s v=""/>
    <x v="3"/>
    <s v="Y56"/>
    <x v="1"/>
    <n v="260"/>
    <x v="11"/>
  </r>
  <r>
    <x v="6"/>
    <n v="1"/>
    <s v="RWX"/>
    <x v="2"/>
    <n v="3"/>
    <x v="257"/>
    <s v=""/>
    <s v=""/>
    <x v="3"/>
    <s v="Y59"/>
    <x v="0"/>
    <n v="371"/>
    <x v="11"/>
  </r>
  <r>
    <x v="6"/>
    <n v="1"/>
    <s v="RWR"/>
    <x v="2"/>
    <n v="3"/>
    <x v="246"/>
    <s v=""/>
    <s v=""/>
    <x v="3"/>
    <s v="Y61"/>
    <x v="4"/>
    <n v="367"/>
    <x v="11"/>
  </r>
  <r>
    <x v="6"/>
    <n v="1"/>
    <s v="RXY"/>
    <x v="3"/>
    <n v="4"/>
    <x v="263"/>
    <s v=""/>
    <s v=""/>
    <x v="3"/>
    <s v="Y59"/>
    <x v="0"/>
    <n v="380"/>
    <x v="11"/>
  </r>
  <r>
    <x v="6"/>
    <n v="1"/>
    <s v="RXX"/>
    <x v="3"/>
    <n v="4"/>
    <x v="266"/>
    <s v=""/>
    <s v=""/>
    <x v="3"/>
    <s v="Y59"/>
    <x v="0"/>
    <n v="325"/>
    <x v="11"/>
  </r>
  <r>
    <x v="6"/>
    <n v="1"/>
    <s v="RV5"/>
    <x v="3"/>
    <n v="4"/>
    <x v="267"/>
    <s v=""/>
    <s v=""/>
    <x v="3"/>
    <s v="Y56"/>
    <x v="1"/>
    <n v="334"/>
    <x v="11"/>
  </r>
  <r>
    <x v="6"/>
    <n v="1"/>
    <s v="RNU"/>
    <x v="3"/>
    <n v="4"/>
    <x v="265"/>
    <s v=""/>
    <s v=""/>
    <x v="3"/>
    <s v="Y59"/>
    <x v="0"/>
    <n v="267"/>
    <x v="11"/>
  </r>
  <r>
    <x v="6"/>
    <n v="1"/>
    <s v="RAT"/>
    <x v="3"/>
    <n v="4"/>
    <x v="269"/>
    <s v=""/>
    <s v=""/>
    <x v="3"/>
    <s v="Y56"/>
    <x v="1"/>
    <n v="395"/>
    <x v="11"/>
  </r>
  <r>
    <x v="6"/>
    <n v="1"/>
    <s v="RT1"/>
    <x v="3"/>
    <n v="4"/>
    <x v="264"/>
    <s v=""/>
    <s v=""/>
    <x v="3"/>
    <s v="Y61"/>
    <x v="4"/>
    <n v="310"/>
    <x v="11"/>
  </r>
  <r>
    <x v="6"/>
    <n v="1"/>
    <s v="TAJ"/>
    <x v="3"/>
    <n v="4"/>
    <x v="270"/>
    <s v=""/>
    <s v=""/>
    <x v="3"/>
    <s v="Y60"/>
    <x v="3"/>
    <n v="285"/>
    <x v="11"/>
  </r>
  <r>
    <x v="6"/>
    <n v="1"/>
    <s v="RW5"/>
    <x v="3"/>
    <n v="4"/>
    <x v="271"/>
    <s v=""/>
    <s v=""/>
    <x v="3"/>
    <s v="Y62"/>
    <x v="6"/>
    <n v="351"/>
    <x v="11"/>
  </r>
  <r>
    <x v="6"/>
    <n v="1"/>
    <s v="RYG"/>
    <x v="3"/>
    <n v="4"/>
    <x v="272"/>
    <s v=""/>
    <s v=""/>
    <x v="3"/>
    <s v="Y60"/>
    <x v="3"/>
    <n v="444"/>
    <x v="11"/>
  </r>
  <r>
    <x v="6"/>
    <n v="1"/>
    <s v="RXT"/>
    <x v="3"/>
    <n v="4"/>
    <x v="273"/>
    <s v=""/>
    <s v=""/>
    <x v="3"/>
    <s v="Y60"/>
    <x v="3"/>
    <n v="436"/>
    <x v="11"/>
  </r>
  <r>
    <x v="6"/>
    <n v="1"/>
    <s v="T1480"/>
    <x v="0"/>
    <n v="1"/>
    <x v="275"/>
    <s v=""/>
    <s v=""/>
    <x v="3"/>
    <s v="QZZ"/>
    <x v="7"/>
    <n v="980"/>
    <x v="12"/>
  </r>
  <r>
    <x v="6"/>
    <n v="1"/>
    <s v="X80"/>
    <x v="1"/>
    <n v="2"/>
    <x v="274"/>
    <s v=""/>
    <s v=""/>
    <x v="3"/>
    <s v="QZZ"/>
    <x v="7"/>
    <n v="907"/>
    <x v="12"/>
  </r>
  <r>
    <x v="6"/>
    <n v="1"/>
    <s v="DEQ"/>
    <x v="1"/>
    <n v="2"/>
    <x v="278"/>
    <s v=""/>
    <s v=""/>
    <x v="3"/>
    <s v="Y56"/>
    <x v="1"/>
    <n v="44"/>
    <x v="12"/>
  </r>
  <r>
    <x v="6"/>
    <n v="1"/>
    <s v="T1460"/>
    <x v="1"/>
    <n v="2"/>
    <x v="276"/>
    <s v=""/>
    <s v=""/>
    <x v="3"/>
    <s v="QZZ"/>
    <x v="7"/>
    <n v="918"/>
    <x v="12"/>
  </r>
  <r>
    <x v="6"/>
    <n v="1"/>
    <s v="T1450"/>
    <x v="2"/>
    <n v="3"/>
    <x v="277"/>
    <s v=""/>
    <s v=""/>
    <x v="3"/>
    <s v="QZZ"/>
    <x v="7"/>
    <n v="914"/>
    <x v="12"/>
  </r>
  <r>
    <x v="6"/>
    <n v="1"/>
    <s v="Z1E5K"/>
    <x v="2"/>
    <n v="3"/>
    <x v="279"/>
    <s v=""/>
    <s v=""/>
    <x v="3"/>
    <s v="QZZ"/>
    <x v="7"/>
    <n v="65"/>
    <x v="12"/>
  </r>
  <r>
    <x v="6"/>
    <n v="1"/>
    <s v="T1540"/>
    <x v="2"/>
    <n v="3"/>
    <x v="280"/>
    <s v=""/>
    <s v=""/>
    <x v="3"/>
    <s v="QZZ"/>
    <x v="7"/>
    <n v="76"/>
    <x v="12"/>
  </r>
  <r>
    <x v="6"/>
    <n v="1"/>
    <s v="X24"/>
    <x v="3"/>
    <n v="4"/>
    <x v="281"/>
    <s v=""/>
    <s v=""/>
    <x v="3"/>
    <s v="QZZ"/>
    <x v="7"/>
    <n v="990"/>
    <x v="12"/>
  </r>
  <r>
    <x v="6"/>
    <n v="1"/>
    <s v="NB7"/>
    <x v="3"/>
    <n v="4"/>
    <x v="283"/>
    <s v=""/>
    <s v=""/>
    <x v="3"/>
    <s v="QZZ"/>
    <x v="7"/>
    <n v="441"/>
    <x v="12"/>
  </r>
  <r>
    <x v="6"/>
    <n v="1"/>
    <s v="T1150"/>
    <x v="3"/>
    <n v="4"/>
    <x v="282"/>
    <s v=""/>
    <s v=""/>
    <x v="3"/>
    <s v="QZZ"/>
    <x v="7"/>
    <n v="912"/>
    <x v="12"/>
  </r>
  <r>
    <x v="6"/>
    <n v="1"/>
    <s v="8JX76"/>
    <x v="3"/>
    <n v="4"/>
    <x v="284"/>
    <s v=""/>
    <s v=""/>
    <x v="3"/>
    <s v="QZZ"/>
    <x v="7"/>
    <n v="71"/>
    <x v="12"/>
  </r>
  <r>
    <x v="6"/>
    <n v="1"/>
    <s v="X36"/>
    <x v="3"/>
    <n v="4"/>
    <x v="285"/>
    <s v=""/>
    <s v=""/>
    <x v="3"/>
    <s v="QZZ"/>
    <x v="7"/>
    <n v="919"/>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2C2614-28B5-4CC4-82F3-1C9A1314C9BD}" name="PivotTable5"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12" firstHeaderRow="1" firstDataRow="1" firstDataCol="1"/>
  <pivotFields count="15">
    <pivotField numFmtId="14" showAll="0">
      <items count="8">
        <item x="6"/>
        <item x="5"/>
        <item x="4"/>
        <item x="3"/>
        <item x="2"/>
        <item x="1"/>
        <item x="0"/>
        <item t="default"/>
      </items>
    </pivotField>
    <pivotField showAll="0"/>
    <pivotField showAll="0"/>
    <pivotField showAll="0"/>
    <pivotField showAll="0"/>
    <pivotField axis="axisRow" showAll="0" measureFilter="1" sortType="ascending">
      <items count="287">
        <item x="51"/>
        <item x="73"/>
        <item x="41"/>
        <item x="238"/>
        <item x="93"/>
        <item x="250"/>
        <item x="50"/>
        <item x="110"/>
        <item x="38"/>
        <item x="257"/>
        <item x="273"/>
        <item x="176"/>
        <item x="81"/>
        <item x="270"/>
        <item x="119"/>
        <item x="35"/>
        <item x="145"/>
        <item x="85"/>
        <item x="174"/>
        <item x="178"/>
        <item x="43"/>
        <item x="10"/>
        <item x="264"/>
        <item x="171"/>
        <item x="87"/>
        <item x="147"/>
        <item x="164"/>
        <item x="245"/>
        <item x="179"/>
        <item x="131"/>
        <item x="235"/>
        <item x="53"/>
        <item x="76"/>
        <item x="173"/>
        <item x="74"/>
        <item x="186"/>
        <item x="229"/>
        <item x="58"/>
        <item x="45"/>
        <item x="272"/>
        <item x="24"/>
        <item x="182"/>
        <item x="233"/>
        <item x="56"/>
        <item x="172"/>
        <item x="258"/>
        <item x="237"/>
        <item x="101"/>
        <item x="67"/>
        <item x="247"/>
        <item x="42"/>
        <item x="184"/>
        <item x="9"/>
        <item x="52"/>
        <item x="163"/>
        <item x="102"/>
        <item x="17"/>
        <item x="260"/>
        <item x="144"/>
        <item x="140"/>
        <item x="6"/>
        <item x="0"/>
        <item x="284"/>
        <item x="108"/>
        <item x="249"/>
        <item x="185"/>
        <item x="157"/>
        <item x="12"/>
        <item x="25"/>
        <item x="65"/>
        <item x="240"/>
        <item x="16"/>
        <item x="251"/>
        <item x="72"/>
        <item x="39"/>
        <item x="124"/>
        <item x="19"/>
        <item x="57"/>
        <item x="275"/>
        <item x="279"/>
        <item x="170"/>
        <item x="167"/>
        <item x="246"/>
        <item x="64"/>
        <item x="99"/>
        <item x="168"/>
        <item x="103"/>
        <item x="242"/>
        <item x="130"/>
        <item x="48"/>
        <item x="115"/>
        <item x="263"/>
        <item x="154"/>
        <item x="59"/>
        <item x="117"/>
        <item x="278"/>
        <item x="29"/>
        <item x="271"/>
        <item x="89"/>
        <item x="283"/>
        <item x="232"/>
        <item x="180"/>
        <item x="118"/>
        <item x="262"/>
        <item x="1"/>
        <item x="156"/>
        <item x="230"/>
        <item x="84"/>
        <item x="122"/>
        <item x="79"/>
        <item x="183"/>
        <item x="177"/>
        <item x="141"/>
        <item x="121"/>
        <item x="2"/>
        <item x="123"/>
        <item x="153"/>
        <item x="34"/>
        <item x="95"/>
        <item x="243"/>
        <item x="8"/>
        <item x="60"/>
        <item x="253"/>
        <item x="112"/>
        <item x="107"/>
        <item x="78"/>
        <item x="274"/>
        <item x="166"/>
        <item x="90"/>
        <item x="151"/>
        <item x="193"/>
        <item x="194"/>
        <item x="207"/>
        <item x="222"/>
        <item x="276"/>
        <item x="189"/>
        <item x="192"/>
        <item x="277"/>
        <item x="228"/>
        <item x="191"/>
        <item x="210"/>
        <item x="280"/>
        <item x="206"/>
        <item x="211"/>
        <item x="198"/>
        <item x="225"/>
        <item x="281"/>
        <item x="200"/>
        <item x="188"/>
        <item x="218"/>
        <item x="202"/>
        <item x="190"/>
        <item x="223"/>
        <item x="227"/>
        <item x="214"/>
        <item x="216"/>
        <item x="204"/>
        <item x="199"/>
        <item x="221"/>
        <item x="150"/>
        <item x="209"/>
        <item x="195"/>
        <item x="213"/>
        <item x="217"/>
        <item x="220"/>
        <item x="148"/>
        <item x="212"/>
        <item x="208"/>
        <item x="282"/>
        <item x="203"/>
        <item x="197"/>
        <item x="149"/>
        <item x="205"/>
        <item x="215"/>
        <item x="201"/>
        <item x="196"/>
        <item x="226"/>
        <item x="219"/>
        <item x="187"/>
        <item x="224"/>
        <item x="134"/>
        <item x="259"/>
        <item x="169"/>
        <item x="31"/>
        <item x="256"/>
        <item x="13"/>
        <item x="37"/>
        <item x="138"/>
        <item x="269"/>
        <item x="92"/>
        <item x="27"/>
        <item x="111"/>
        <item x="254"/>
        <item x="30"/>
        <item x="3"/>
        <item x="142"/>
        <item x="11"/>
        <item x="175"/>
        <item x="248"/>
        <item x="133"/>
        <item x="265"/>
        <item x="125"/>
        <item x="261"/>
        <item x="236"/>
        <item x="4"/>
        <item x="66"/>
        <item x="161"/>
        <item x="54"/>
        <item x="70"/>
        <item x="80"/>
        <item x="234"/>
        <item x="55"/>
        <item x="20"/>
        <item x="22"/>
        <item x="18"/>
        <item x="100"/>
        <item x="77"/>
        <item x="83"/>
        <item x="71"/>
        <item x="69"/>
        <item x="33"/>
        <item x="28"/>
        <item x="7"/>
        <item x="61"/>
        <item x="21"/>
        <item x="82"/>
        <item x="146"/>
        <item x="96"/>
        <item x="26"/>
        <item x="23"/>
        <item x="160"/>
        <item x="181"/>
        <item x="152"/>
        <item x="47"/>
        <item x="137"/>
        <item x="135"/>
        <item x="255"/>
        <item x="267"/>
        <item x="113"/>
        <item x="15"/>
        <item x="94"/>
        <item x="143"/>
        <item x="244"/>
        <item x="239"/>
        <item x="162"/>
        <item x="109"/>
        <item x="36"/>
        <item x="266"/>
        <item x="32"/>
        <item x="158"/>
        <item x="231"/>
        <item x="63"/>
        <item x="268"/>
        <item x="241"/>
        <item x="44"/>
        <item x="285"/>
        <item x="5"/>
        <item x="104"/>
        <item x="126"/>
        <item x="127"/>
        <item x="105"/>
        <item x="132"/>
        <item x="86"/>
        <item x="106"/>
        <item x="97"/>
        <item x="129"/>
        <item x="91"/>
        <item x="120"/>
        <item x="98"/>
        <item x="62"/>
        <item x="75"/>
        <item x="114"/>
        <item x="116"/>
        <item x="252"/>
        <item x="136"/>
        <item x="68"/>
        <item x="49"/>
        <item x="155"/>
        <item x="159"/>
        <item x="88"/>
        <item x="14"/>
        <item x="40"/>
        <item x="46"/>
        <item x="139"/>
        <item x="128"/>
        <item x="16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11">
    <i>
      <x v="137"/>
    </i>
    <i>
      <x v="134"/>
    </i>
    <i>
      <x v="255"/>
    </i>
    <i>
      <x v="169"/>
    </i>
    <i>
      <x v="78"/>
    </i>
    <i>
      <x v="130"/>
    </i>
    <i>
      <x v="162"/>
    </i>
    <i>
      <x v="146"/>
    </i>
    <i>
      <x v="156"/>
    </i>
    <i>
      <x v="143"/>
    </i>
    <i t="grand">
      <x/>
    </i>
  </rowItems>
  <colItems count="1">
    <i/>
  </colItems>
  <dataFields count="1">
    <dataField name="Average of VPDs" fld="11" subtotal="average" baseField="5" baseItem="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1FD103-AF25-4477-A78F-597C7E1E9B51}" name="Monthly Quartile Composition"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F10" firstHeaderRow="1" firstDataRow="2" firstDataCol="1"/>
  <pivotFields count="15">
    <pivotField axis="axisRow" numFmtId="17" showAll="0">
      <items count="8">
        <item x="6"/>
        <item x="5"/>
        <item x="4"/>
        <item x="3"/>
        <item x="2"/>
        <item x="1"/>
        <item x="0"/>
        <item t="default"/>
      </items>
    </pivotField>
    <pivotField showAll="0"/>
    <pivotField showAll="0"/>
    <pivotField axis="axisCol" showAll="0">
      <items count="5">
        <item x="3"/>
        <item x="1"/>
        <item x="2"/>
        <item x="0"/>
        <item t="default"/>
      </items>
    </pivotField>
    <pivotField showAll="0"/>
    <pivotField dataField="1" showAll="0"/>
    <pivotField showAll="0"/>
    <pivotField showAll="0"/>
    <pivotField showAll="0"/>
    <pivotField showAll="0"/>
    <pivotField showAll="0"/>
    <pivotField showAll="0"/>
    <pivotField showAll="0"/>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3">
    <field x="14"/>
    <field x="13"/>
    <field x="0"/>
  </rowFields>
  <rowItems count="8">
    <i>
      <x v="1"/>
    </i>
    <i>
      <x v="2"/>
    </i>
    <i>
      <x v="3"/>
    </i>
    <i>
      <x v="4"/>
    </i>
    <i>
      <x v="5"/>
    </i>
    <i>
      <x v="6"/>
    </i>
    <i>
      <x v="7"/>
    </i>
    <i t="grand">
      <x/>
    </i>
  </rowItems>
  <colFields count="1">
    <field x="3"/>
  </colFields>
  <colItems count="5">
    <i>
      <x/>
    </i>
    <i>
      <x v="1"/>
    </i>
    <i>
      <x v="2"/>
    </i>
    <i>
      <x v="3"/>
    </i>
    <i t="grand">
      <x/>
    </i>
  </colItems>
  <dataFields count="1">
    <dataField name="Count of OrgName" fld="5" subtotal="count" baseField="0" baseItem="0"/>
  </dataFields>
  <chartFormats count="1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4" format="8" series="1">
      <pivotArea type="data" outline="0" fieldPosition="0">
        <references count="2">
          <reference field="4294967294" count="1" selected="0">
            <x v="0"/>
          </reference>
          <reference field="3" count="1" selected="0">
            <x v="0"/>
          </reference>
        </references>
      </pivotArea>
    </chartFormat>
    <chartFormat chart="4" format="9" series="1">
      <pivotArea type="data" outline="0" fieldPosition="0">
        <references count="2">
          <reference field="4294967294" count="1" selected="0">
            <x v="0"/>
          </reference>
          <reference field="3" count="1" selected="0">
            <x v="1"/>
          </reference>
        </references>
      </pivotArea>
    </chartFormat>
    <chartFormat chart="4" format="10" series="1">
      <pivotArea type="data" outline="0" fieldPosition="0">
        <references count="2">
          <reference field="4294967294" count="1" selected="0">
            <x v="0"/>
          </reference>
          <reference field="3" count="1" selected="0">
            <x v="2"/>
          </reference>
        </references>
      </pivotArea>
    </chartFormat>
    <chartFormat chart="4" format="11" series="1">
      <pivotArea type="data" outline="0" fieldPosition="0">
        <references count="2">
          <reference field="4294967294" count="1" selected="0">
            <x v="0"/>
          </reference>
          <reference field="3" count="1" selected="0">
            <x v="3"/>
          </reference>
        </references>
      </pivotArea>
    </chartFormat>
    <chartFormat chart="4"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F74B3A-A837-4F74-AD89-7D327CBE0575}" name="Monthly Performance Movement Trends"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F13" firstHeaderRow="1" firstDataRow="2" firstDataCol="1"/>
  <pivotFields count="15">
    <pivotField numFmtId="14" showAll="0">
      <items count="8">
        <item x="6"/>
        <item x="5"/>
        <item x="4"/>
        <item x="3"/>
        <item x="2"/>
        <item x="1"/>
        <item x="0"/>
        <item t="default"/>
      </items>
    </pivotField>
    <pivotField showAll="0"/>
    <pivotField dataField="1" showAll="0"/>
    <pivotField showAll="0"/>
    <pivotField showAll="0"/>
    <pivotField showAll="0"/>
    <pivotField showAll="0"/>
    <pivotField showAll="0"/>
    <pivotField axis="axisCol" showAll="0">
      <items count="6">
        <item m="1" x="4"/>
        <item x="1"/>
        <item x="2"/>
        <item x="0"/>
        <item x="3"/>
        <item t="default"/>
      </items>
    </pivotField>
    <pivotField showAll="0"/>
    <pivotField axis="axisRow" showAll="0">
      <items count="9">
        <item x="4"/>
        <item x="1"/>
        <item x="3"/>
        <item x="2"/>
        <item x="6"/>
        <item x="0"/>
        <item x="5"/>
        <item x="7"/>
        <item t="default"/>
      </items>
    </pivotField>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9">
    <i>
      <x/>
    </i>
    <i>
      <x v="1"/>
    </i>
    <i>
      <x v="2"/>
    </i>
    <i>
      <x v="3"/>
    </i>
    <i>
      <x v="4"/>
    </i>
    <i>
      <x v="5"/>
    </i>
    <i>
      <x v="6"/>
    </i>
    <i>
      <x v="7"/>
    </i>
    <i t="grand">
      <x/>
    </i>
  </rowItems>
  <colFields count="1">
    <field x="8"/>
  </colFields>
  <colItems count="5">
    <i>
      <x v="1"/>
    </i>
    <i>
      <x v="2"/>
    </i>
    <i>
      <x v="3"/>
    </i>
    <i>
      <x v="4"/>
    </i>
    <i t="grand">
      <x/>
    </i>
  </colItems>
  <dataFields count="1">
    <dataField name="Count of OrgCode" fld="2" subtotal="count" baseField="0" baseItem="0"/>
  </dataFields>
  <chartFormats count="11">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2">
          <reference field="4294967294" count="1" selected="0">
            <x v="0"/>
          </reference>
          <reference field="8" count="1" selected="0">
            <x v="4"/>
          </reference>
        </references>
      </pivotArea>
    </chartFormat>
    <chartFormat chart="4" format="9" series="1">
      <pivotArea type="data" outline="0" fieldPosition="0">
        <references count="2">
          <reference field="4294967294" count="1" selected="0">
            <x v="0"/>
          </reference>
          <reference field="8" count="1" selected="0">
            <x v="1"/>
          </reference>
        </references>
      </pivotArea>
    </chartFormat>
    <chartFormat chart="4" format="10" series="1">
      <pivotArea type="data" outline="0" fieldPosition="0">
        <references count="2">
          <reference field="4294967294" count="1" selected="0">
            <x v="0"/>
          </reference>
          <reference field="8" count="1" selected="0">
            <x v="2"/>
          </reference>
        </references>
      </pivotArea>
    </chartFormat>
    <chartFormat chart="4" format="11" series="1">
      <pivotArea type="data" outline="0" fieldPosition="0">
        <references count="2">
          <reference field="4294967294" count="1" selected="0">
            <x v="0"/>
          </reference>
          <reference field="8" count="1" selected="0">
            <x v="3"/>
          </reference>
        </references>
      </pivotArea>
    </chartFormat>
    <chartFormat chart="4" format="12" series="1">
      <pivotArea type="data" outline="0" fieldPosition="0">
        <references count="2">
          <reference field="4294967294" count="1" selected="0">
            <x v="0"/>
          </reference>
          <reference field="8" count="1" selected="0">
            <x v="4"/>
          </reference>
        </references>
      </pivotArea>
    </chartFormat>
    <chartFormat chart="4" format="13"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AC872B-508A-4AFD-BCF5-0E7E4B56A55D}" name="PivotTable6"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6" firstHeaderRow="1" firstDataRow="1" firstDataCol="1"/>
  <pivotFields count="15">
    <pivotField numFmtId="14" showAll="0">
      <items count="8">
        <item x="6"/>
        <item x="5"/>
        <item x="4"/>
        <item x="3"/>
        <item x="2"/>
        <item x="1"/>
        <item x="0"/>
        <item t="default"/>
      </items>
    </pivotField>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dataField="1"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5">
    <i>
      <x/>
    </i>
    <i>
      <x v="1"/>
    </i>
    <i>
      <x v="2"/>
    </i>
    <i>
      <x v="3"/>
    </i>
    <i t="grand">
      <x/>
    </i>
  </rowItems>
  <colItems count="1">
    <i/>
  </colItems>
  <dataFields count="1">
    <dataField name="Average of VPDs" fld="11" subtotal="average" baseField="3"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3"/>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0"/>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3" count="1" selected="0">
            <x v="0"/>
          </reference>
        </references>
      </pivotArea>
    </chartFormat>
    <chartFormat chart="5" format="11">
      <pivotArea type="data" outline="0" fieldPosition="0">
        <references count="2">
          <reference field="4294967294" count="1" selected="0">
            <x v="0"/>
          </reference>
          <reference field="3" count="1" selected="0">
            <x v="1"/>
          </reference>
        </references>
      </pivotArea>
    </chartFormat>
    <chartFormat chart="5" format="12">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B74CD0-410D-42A8-A9AE-20897EC28940}" name="Average VPD Count By Quartile"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A2" firstHeaderRow="1" firstDataRow="1" firstDataCol="0"/>
  <pivotFields count="15">
    <pivotField numFmtId="14" showAll="0">
      <items count="8">
        <item x="6"/>
        <item x="5"/>
        <item x="4"/>
        <item x="3"/>
        <item x="2"/>
        <item x="1"/>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Count of OrgCod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38BAAA-3EC7-4543-B566-BDF394A65DD6}" name="Benchmark group distribut"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N12" firstHeaderRow="1" firstDataRow="2" firstDataCol="1" rowPageCount="1" colPageCount="1"/>
  <pivotFields count="15">
    <pivotField axis="axisRow" numFmtId="14" showAll="0">
      <items count="8">
        <item x="6"/>
        <item x="5"/>
        <item x="4"/>
        <item x="3"/>
        <item x="2"/>
        <item x="1"/>
        <item x="0"/>
        <item t="default"/>
      </items>
    </pivotField>
    <pivotField showAll="0"/>
    <pivotField showAll="0"/>
    <pivotField axis="axisPage" showAll="0">
      <items count="5">
        <item x="3"/>
        <item x="1"/>
        <item x="2"/>
        <item x="0"/>
        <item t="default"/>
      </items>
    </pivotField>
    <pivotField showAll="0"/>
    <pivotField dataField="1" showAll="0"/>
    <pivotField showAll="0"/>
    <pivotField showAll="0"/>
    <pivotField showAll="0"/>
    <pivotField showAll="0"/>
    <pivotField showAll="0"/>
    <pivotField showAll="0"/>
    <pivotField axis="axisCol" showAll="0">
      <items count="14">
        <item x="0"/>
        <item x="1"/>
        <item x="2"/>
        <item x="3"/>
        <item x="4"/>
        <item x="5"/>
        <item x="6"/>
        <item x="7"/>
        <item x="8"/>
        <item x="9"/>
        <item x="10"/>
        <item x="11"/>
        <item x="12"/>
        <item t="default"/>
      </items>
    </pivotField>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3">
    <field x="14"/>
    <field x="13"/>
    <field x="0"/>
  </rowFields>
  <rowItems count="8">
    <i>
      <x v="1"/>
    </i>
    <i>
      <x v="2"/>
    </i>
    <i>
      <x v="3"/>
    </i>
    <i>
      <x v="4"/>
    </i>
    <i>
      <x v="5"/>
    </i>
    <i>
      <x v="6"/>
    </i>
    <i>
      <x v="7"/>
    </i>
    <i t="grand">
      <x/>
    </i>
  </rowItems>
  <colFields count="1">
    <field x="12"/>
  </colFields>
  <colItems count="13">
    <i>
      <x/>
    </i>
    <i>
      <x v="1"/>
    </i>
    <i>
      <x v="2"/>
    </i>
    <i>
      <x v="3"/>
    </i>
    <i>
      <x v="4"/>
    </i>
    <i>
      <x v="5"/>
    </i>
    <i>
      <x v="7"/>
    </i>
    <i>
      <x v="8"/>
    </i>
    <i>
      <x v="9"/>
    </i>
    <i>
      <x v="10"/>
    </i>
    <i>
      <x v="11"/>
    </i>
    <i>
      <x v="12"/>
    </i>
    <i t="grand">
      <x/>
    </i>
  </colItems>
  <pageFields count="1">
    <pageField fld="3" item="3" hier="-1"/>
  </pageFields>
  <dataFields count="1">
    <dataField name="Count of OrgName" fld="5" subtotal="count" baseField="0" baseItem="0"/>
  </dataFields>
  <chartFormats count="38">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0" format="4" series="1">
      <pivotArea type="data" outline="0" fieldPosition="0">
        <references count="2">
          <reference field="4294967294" count="1" selected="0">
            <x v="0"/>
          </reference>
          <reference field="12" count="1" selected="0">
            <x v="4"/>
          </reference>
        </references>
      </pivotArea>
    </chartFormat>
    <chartFormat chart="0" format="5" series="1">
      <pivotArea type="data" outline="0" fieldPosition="0">
        <references count="2">
          <reference field="4294967294" count="1" selected="0">
            <x v="0"/>
          </reference>
          <reference field="12" count="1" selected="0">
            <x v="5"/>
          </reference>
        </references>
      </pivotArea>
    </chartFormat>
    <chartFormat chart="0" format="6" series="1">
      <pivotArea type="data" outline="0" fieldPosition="0">
        <references count="2">
          <reference field="4294967294" count="1" selected="0">
            <x v="0"/>
          </reference>
          <reference field="12" count="1" selected="0">
            <x v="7"/>
          </reference>
        </references>
      </pivotArea>
    </chartFormat>
    <chartFormat chart="0" format="7" series="1">
      <pivotArea type="data" outline="0" fieldPosition="0">
        <references count="2">
          <reference field="4294967294" count="1" selected="0">
            <x v="0"/>
          </reference>
          <reference field="12" count="1" selected="0">
            <x v="8"/>
          </reference>
        </references>
      </pivotArea>
    </chartFormat>
    <chartFormat chart="0" format="8" series="1">
      <pivotArea type="data" outline="0" fieldPosition="0">
        <references count="2">
          <reference field="4294967294" count="1" selected="0">
            <x v="0"/>
          </reference>
          <reference field="12" count="1" selected="0">
            <x v="9"/>
          </reference>
        </references>
      </pivotArea>
    </chartFormat>
    <chartFormat chart="0" format="9" series="1">
      <pivotArea type="data" outline="0" fieldPosition="0">
        <references count="2">
          <reference field="4294967294" count="1" selected="0">
            <x v="0"/>
          </reference>
          <reference field="12" count="1" selected="0">
            <x v="10"/>
          </reference>
        </references>
      </pivotArea>
    </chartFormat>
    <chartFormat chart="0" format="10" series="1">
      <pivotArea type="data" outline="0" fieldPosition="0">
        <references count="2">
          <reference field="4294967294" count="1" selected="0">
            <x v="0"/>
          </reference>
          <reference field="12" count="1" selected="0">
            <x v="11"/>
          </reference>
        </references>
      </pivotArea>
    </chartFormat>
    <chartFormat chart="0" format="11" series="1">
      <pivotArea type="data" outline="0" fieldPosition="0">
        <references count="2">
          <reference field="4294967294" count="1" selected="0">
            <x v="0"/>
          </reference>
          <reference field="12" count="1" selected="0">
            <x v="12"/>
          </reference>
        </references>
      </pivotArea>
    </chartFormat>
    <chartFormat chart="1" format="12" series="1">
      <pivotArea type="data" outline="0" fieldPosition="0">
        <references count="2">
          <reference field="4294967294" count="1" selected="0">
            <x v="0"/>
          </reference>
          <reference field="12" count="1" selected="0">
            <x v="0"/>
          </reference>
        </references>
      </pivotArea>
    </chartFormat>
    <chartFormat chart="1" format="13" series="1">
      <pivotArea type="data" outline="0" fieldPosition="0">
        <references count="2">
          <reference field="4294967294" count="1" selected="0">
            <x v="0"/>
          </reference>
          <reference field="12" count="1" selected="0">
            <x v="1"/>
          </reference>
        </references>
      </pivotArea>
    </chartFormat>
    <chartFormat chart="1" format="14" series="1">
      <pivotArea type="data" outline="0" fieldPosition="0">
        <references count="2">
          <reference field="4294967294" count="1" selected="0">
            <x v="0"/>
          </reference>
          <reference field="12" count="1" selected="0">
            <x v="2"/>
          </reference>
        </references>
      </pivotArea>
    </chartFormat>
    <chartFormat chart="1" format="15" series="1">
      <pivotArea type="data" outline="0" fieldPosition="0">
        <references count="2">
          <reference field="4294967294" count="1" selected="0">
            <x v="0"/>
          </reference>
          <reference field="12" count="1" selected="0">
            <x v="3"/>
          </reference>
        </references>
      </pivotArea>
    </chartFormat>
    <chartFormat chart="1" format="16" series="1">
      <pivotArea type="data" outline="0" fieldPosition="0">
        <references count="2">
          <reference field="4294967294" count="1" selected="0">
            <x v="0"/>
          </reference>
          <reference field="12" count="1" selected="0">
            <x v="4"/>
          </reference>
        </references>
      </pivotArea>
    </chartFormat>
    <chartFormat chart="1" format="17" series="1">
      <pivotArea type="data" outline="0" fieldPosition="0">
        <references count="2">
          <reference field="4294967294" count="1" selected="0">
            <x v="0"/>
          </reference>
          <reference field="12" count="1" selected="0">
            <x v="5"/>
          </reference>
        </references>
      </pivotArea>
    </chartFormat>
    <chartFormat chart="1" format="18" series="1">
      <pivotArea type="data" outline="0" fieldPosition="0">
        <references count="2">
          <reference field="4294967294" count="1" selected="0">
            <x v="0"/>
          </reference>
          <reference field="12" count="1" selected="0">
            <x v="7"/>
          </reference>
        </references>
      </pivotArea>
    </chartFormat>
    <chartFormat chart="1" format="19" series="1">
      <pivotArea type="data" outline="0" fieldPosition="0">
        <references count="2">
          <reference field="4294967294" count="1" selected="0">
            <x v="0"/>
          </reference>
          <reference field="12" count="1" selected="0">
            <x v="8"/>
          </reference>
        </references>
      </pivotArea>
    </chartFormat>
    <chartFormat chart="1" format="20" series="1">
      <pivotArea type="data" outline="0" fieldPosition="0">
        <references count="2">
          <reference field="4294967294" count="1" selected="0">
            <x v="0"/>
          </reference>
          <reference field="12" count="1" selected="0">
            <x v="9"/>
          </reference>
        </references>
      </pivotArea>
    </chartFormat>
    <chartFormat chart="1" format="21" series="1">
      <pivotArea type="data" outline="0" fieldPosition="0">
        <references count="2">
          <reference field="4294967294" count="1" selected="0">
            <x v="0"/>
          </reference>
          <reference field="12" count="1" selected="0">
            <x v="10"/>
          </reference>
        </references>
      </pivotArea>
    </chartFormat>
    <chartFormat chart="1" format="22" series="1">
      <pivotArea type="data" outline="0" fieldPosition="0">
        <references count="2">
          <reference field="4294967294" count="1" selected="0">
            <x v="0"/>
          </reference>
          <reference field="12" count="1" selected="0">
            <x v="11"/>
          </reference>
        </references>
      </pivotArea>
    </chartFormat>
    <chartFormat chart="1" format="23" series="1">
      <pivotArea type="data" outline="0" fieldPosition="0">
        <references count="2">
          <reference field="4294967294" count="1" selected="0">
            <x v="0"/>
          </reference>
          <reference field="12" count="1" selected="0">
            <x v="12"/>
          </reference>
        </references>
      </pivotArea>
    </chartFormat>
    <chartFormat chart="2" format="24" series="1">
      <pivotArea type="data" outline="0" fieldPosition="0">
        <references count="2">
          <reference field="4294967294" count="1" selected="0">
            <x v="0"/>
          </reference>
          <reference field="12" count="1" selected="0">
            <x v="0"/>
          </reference>
        </references>
      </pivotArea>
    </chartFormat>
    <chartFormat chart="2" format="25" series="1">
      <pivotArea type="data" outline="0" fieldPosition="0">
        <references count="2">
          <reference field="4294967294" count="1" selected="0">
            <x v="0"/>
          </reference>
          <reference field="12" count="1" selected="0">
            <x v="1"/>
          </reference>
        </references>
      </pivotArea>
    </chartFormat>
    <chartFormat chart="2" format="26" series="1">
      <pivotArea type="data" outline="0" fieldPosition="0">
        <references count="2">
          <reference field="4294967294" count="1" selected="0">
            <x v="0"/>
          </reference>
          <reference field="12" count="1" selected="0">
            <x v="2"/>
          </reference>
        </references>
      </pivotArea>
    </chartFormat>
    <chartFormat chart="2" format="27" series="1">
      <pivotArea type="data" outline="0" fieldPosition="0">
        <references count="2">
          <reference field="4294967294" count="1" selected="0">
            <x v="0"/>
          </reference>
          <reference field="12" count="1" selected="0">
            <x v="3"/>
          </reference>
        </references>
      </pivotArea>
    </chartFormat>
    <chartFormat chart="2" format="28" series="1">
      <pivotArea type="data" outline="0" fieldPosition="0">
        <references count="2">
          <reference field="4294967294" count="1" selected="0">
            <x v="0"/>
          </reference>
          <reference field="12" count="1" selected="0">
            <x v="4"/>
          </reference>
        </references>
      </pivotArea>
    </chartFormat>
    <chartFormat chart="2" format="29" series="1">
      <pivotArea type="data" outline="0" fieldPosition="0">
        <references count="2">
          <reference field="4294967294" count="1" selected="0">
            <x v="0"/>
          </reference>
          <reference field="12" count="1" selected="0">
            <x v="5"/>
          </reference>
        </references>
      </pivotArea>
    </chartFormat>
    <chartFormat chart="2" format="30" series="1">
      <pivotArea type="data" outline="0" fieldPosition="0">
        <references count="2">
          <reference field="4294967294" count="1" selected="0">
            <x v="0"/>
          </reference>
          <reference field="12" count="1" selected="0">
            <x v="7"/>
          </reference>
        </references>
      </pivotArea>
    </chartFormat>
    <chartFormat chart="2" format="31" series="1">
      <pivotArea type="data" outline="0" fieldPosition="0">
        <references count="2">
          <reference field="4294967294" count="1" selected="0">
            <x v="0"/>
          </reference>
          <reference field="12" count="1" selected="0">
            <x v="8"/>
          </reference>
        </references>
      </pivotArea>
    </chartFormat>
    <chartFormat chart="2" format="32" series="1">
      <pivotArea type="data" outline="0" fieldPosition="0">
        <references count="2">
          <reference field="4294967294" count="1" selected="0">
            <x v="0"/>
          </reference>
          <reference field="12" count="1" selected="0">
            <x v="9"/>
          </reference>
        </references>
      </pivotArea>
    </chartFormat>
    <chartFormat chart="2" format="33" series="1">
      <pivotArea type="data" outline="0" fieldPosition="0">
        <references count="2">
          <reference field="4294967294" count="1" selected="0">
            <x v="0"/>
          </reference>
          <reference field="12" count="1" selected="0">
            <x v="10"/>
          </reference>
        </references>
      </pivotArea>
    </chartFormat>
    <chartFormat chart="2" format="34" series="1">
      <pivotArea type="data" outline="0" fieldPosition="0">
        <references count="2">
          <reference field="4294967294" count="1" selected="0">
            <x v="0"/>
          </reference>
          <reference field="12" count="1" selected="0">
            <x v="11"/>
          </reference>
        </references>
      </pivotArea>
    </chartFormat>
    <chartFormat chart="2" format="35" series="1">
      <pivotArea type="data" outline="0" fieldPosition="0">
        <references count="2">
          <reference field="4294967294" count="1" selected="0">
            <x v="0"/>
          </reference>
          <reference field="12" count="1" selected="0">
            <x v="12"/>
          </reference>
        </references>
      </pivotArea>
    </chartFormat>
    <chartFormat chart="2" format="36" series="1">
      <pivotArea type="data" outline="0" fieldPosition="0">
        <references count="2">
          <reference field="4294967294" count="1" selected="0">
            <x v="0"/>
          </reference>
          <reference field="12" count="1" selected="0">
            <x v="6"/>
          </reference>
        </references>
      </pivotArea>
    </chartFormat>
    <chartFormat chart="0" format="12"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7C89C1-D837-4B2B-B585-A5372255CA26}" name="PivotTable9"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9" firstHeaderRow="1" firstDataRow="1" firstDataCol="1"/>
  <pivotFields count="15">
    <pivotField axis="axisRow" numFmtId="14" showAll="0">
      <items count="8">
        <item x="6"/>
        <item x="5"/>
        <item x="4"/>
        <item x="3"/>
        <item x="2"/>
        <item x="1"/>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3">
    <field x="14"/>
    <field x="13"/>
    <field x="0"/>
  </rowFields>
  <rowItems count="8">
    <i>
      <x v="1"/>
    </i>
    <i>
      <x v="2"/>
    </i>
    <i>
      <x v="3"/>
    </i>
    <i>
      <x v="4"/>
    </i>
    <i>
      <x v="5"/>
    </i>
    <i>
      <x v="6"/>
    </i>
    <i>
      <x v="7"/>
    </i>
    <i t="grand">
      <x/>
    </i>
  </rowItems>
  <colItems count="1">
    <i/>
  </colItems>
  <dataFields count="1">
    <dataField name="Count of OrgCode" fld="2"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YearMonth" xr10:uid="{15A531F0-AFCB-4B5C-AC3C-D891E55EA7F8}" sourceName="Months (YearMonth)">
  <pivotTables>
    <pivotTable tabId="26" name="Monthly Performance Movement Trends"/>
    <pivotTable tabId="30" name="PivotTable6"/>
    <pivotTable tabId="29" name="PivotTable5"/>
    <pivotTable tabId="25" name="Monthly Quartile Composition"/>
    <pivotTable tabId="32" name="Average VPD Count By Quartile"/>
    <pivotTable tabId="34" name="PivotTable9"/>
  </pivotTables>
  <data>
    <tabular pivotCacheId="1134213503">
      <items count="14">
        <i x="1" s="1"/>
        <i x="2" s="1"/>
        <i x="3" s="1"/>
        <i x="4" s="1"/>
        <i x="5" s="1"/>
        <i x="6" s="1"/>
        <i x="7" s="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YearMonth) 2" xr10:uid="{B0C9EA20-1C12-4906-8B15-00231A66C274}" cache="Slicer_Months__YearMonth" caption="Months (YearMonth)" columnCount="7" style="SlicerStyleDark1"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YearMonth) 1" xr10:uid="{1366C7E2-BA6E-48E6-A309-DAAA15264110}" cache="Slicer_Months__YearMonth" caption="Months (YearMonth)"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788CFA-B2CE-4063-A465-510D73AE0F2E}" name="Table13" displayName="Table13" ref="A1:M2006" totalsRowShown="0" headerRowDxfId="17" dataDxfId="15" headerRowBorderDxfId="16" tableBorderDxfId="14" totalsRowBorderDxfId="13">
  <autoFilter ref="A1:M2006" xr:uid="{76788CFA-B2CE-4063-A465-510D73AE0F2E}"/>
  <tableColumns count="13">
    <tableColumn id="8" xr3:uid="{E4427AFF-0E99-4F57-AC93-BD51E0FAA76E}" name="YearMonth" dataDxfId="5"/>
    <tableColumn id="1" xr3:uid="{B0BDAD49-47CF-4D0C-B642-F55EB88281C5}" name="Month Number" dataDxfId="4">
      <calculatedColumnFormula>MONTH(Table13[[#This Row],[YearMonth]])</calculatedColumnFormula>
    </tableColumn>
    <tableColumn id="2" xr3:uid="{32C6215A-3020-4557-AC87-A611FE8FEDCE}" name="OrgCode" dataDxfId="12"/>
    <tableColumn id="3" xr3:uid="{45F0C697-DE9C-4945-B258-967085240892}" name="Quartile" dataDxfId="11"/>
    <tableColumn id="16" xr3:uid="{DA947971-8368-4B68-A176-84E978C451DE}" name="Quartile Value" dataDxfId="2">
      <calculatedColumnFormula>IF(Table13[[#This Row],[Quartile]]="TopQuartile", 1,
 IF(Table13[[#This Row],[Quartile]]="SecondQuartile", 2,
 IF(Table13[[#This Row],[Quartile]]="ThirdQuartile", 3,
 IF(Table13[[#This Row],[Quartile]]="FourthQuartile", 4, ""))))</calculatedColumnFormula>
    </tableColumn>
    <tableColumn id="4" xr3:uid="{A7A463AD-6F66-4E0C-BE54-6049D49B6E7A}" name="OrgName" dataDxfId="10"/>
    <tableColumn id="14" xr3:uid="{07D7E59A-9C05-4AA6-93BF-F7F181475C70}" name="Previous Quartile" dataDxfId="3">
      <calculatedColumnFormula array="1">IFERROR(
  INDEX(Table13[Quartile],
    MATCH(1,
      (Table13[[#This Row],[OrgName]]=Table13[OrgName]) *
      (Table13[[#This Row],[Month Number]]-1=Table13[Month Number]),
    0)
  ),
"")</calculatedColumnFormula>
    </tableColumn>
    <tableColumn id="15" xr3:uid="{35099CEB-40BB-42D6-8242-C68DD34A7081}" name="Previous Quartile Value" dataDxfId="1">
      <calculatedColumnFormula>IF(Table13[[#This Row],[Previous Quartile]]="TopQuartile", 1,
 IF(Table13[[#This Row],[Previous Quartile]]="SecondQuartile", 2,
 IF(Table13[[#This Row],[Previous Quartile]]="ThirdQuartile", 3,
 IF(Table13[[#This Row],[Previous Quartile]]="FourthQuartile", 4, ""))))</calculatedColumnFormula>
    </tableColumn>
    <tableColumn id="17" xr3:uid="{9475CA02-77DB-40DA-B528-CAB46984BB9F}" name="Trend" dataDxfId="0">
      <calculatedColumnFormula>IF(Table13[[#This Row],[Previous Quartile Value]]="", "",
   IF(Table13[[#This Row],[Quartile Value]] &lt; Table13[[#This Row],[Previous Quartile Value]], "Improved",
   IF(Table13[[#This Row],[Quartile Value]] &gt; Table13[[#This Row],[Previous Quartile Value]], "Dropped", "Same")))</calculatedColumnFormula>
    </tableColumn>
    <tableColumn id="5" xr3:uid="{3B7D35F8-0308-491F-BA64-CA8FED7FAC0A}" name="NHSEREGIONCODE" dataDxfId="9"/>
    <tableColumn id="9" xr3:uid="{6A5B96B9-AFE9-4EB3-A6FC-C02F8BC8DE1A}" name="REGION" dataDxfId="8">
      <calculatedColumnFormula>VLOOKUP(J2,Introduction!$B$6:$C$14,2)</calculatedColumnFormula>
    </tableColumn>
    <tableColumn id="6" xr3:uid="{8176B2EA-45FD-4BBD-857D-7B4721B53D79}" name="VPDs" dataDxfId="7"/>
    <tableColumn id="7" xr3:uid="{A0C02FE4-6D5D-484C-9C67-F743A3BD4BCF}" name="BenchmarkGroup"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nationalarchives.gov.uk/doc/open-government-licence"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D264B-C30E-4742-80B3-B75685CBD746}">
  <dimension ref="A1:F35"/>
  <sheetViews>
    <sheetView showGridLines="0" topLeftCell="A13" zoomScale="84" workbookViewId="0">
      <selection activeCell="B35" sqref="B35"/>
    </sheetView>
  </sheetViews>
  <sheetFormatPr defaultRowHeight="13.2" x14ac:dyDescent="0.25"/>
  <cols>
    <col min="1" max="1" width="5.21875" customWidth="1"/>
    <col min="2" max="2" width="11.77734375" customWidth="1"/>
    <col min="3" max="3" width="42.5546875" customWidth="1"/>
    <col min="4" max="4" width="5.21875" customWidth="1"/>
    <col min="5" max="5" width="66" customWidth="1"/>
    <col min="6" max="6" width="13.77734375" customWidth="1"/>
    <col min="7" max="7" width="0" hidden="1" customWidth="1"/>
    <col min="8" max="8" width="6" customWidth="1"/>
  </cols>
  <sheetData>
    <row r="1" spans="2:6" ht="57.6" customHeight="1" x14ac:dyDescent="0.25"/>
    <row r="2" spans="2:6" ht="28.8" customHeight="1" x14ac:dyDescent="0.25">
      <c r="B2" s="28" t="s">
        <v>3</v>
      </c>
      <c r="C2" s="29"/>
      <c r="D2" s="29"/>
      <c r="E2" s="29"/>
      <c r="F2" s="29"/>
    </row>
    <row r="3" spans="2:6" ht="43.2" customHeight="1" x14ac:dyDescent="0.25">
      <c r="B3" s="30" t="s">
        <v>4</v>
      </c>
      <c r="C3" s="29"/>
      <c r="D3" s="29"/>
      <c r="E3" s="29"/>
      <c r="F3" s="29"/>
    </row>
    <row r="4" spans="2:6" x14ac:dyDescent="0.25">
      <c r="B4" s="31" t="s">
        <v>5</v>
      </c>
      <c r="C4" s="31" t="s">
        <v>6</v>
      </c>
      <c r="E4" s="34" t="s">
        <v>7</v>
      </c>
      <c r="F4" s="29"/>
    </row>
    <row r="5" spans="2:6" x14ac:dyDescent="0.25">
      <c r="B5" s="32"/>
      <c r="C5" s="33"/>
      <c r="E5" s="35" t="s">
        <v>0</v>
      </c>
      <c r="F5" s="29"/>
    </row>
    <row r="6" spans="2:6" x14ac:dyDescent="0.25">
      <c r="B6" s="1" t="s">
        <v>8</v>
      </c>
      <c r="C6" s="1" t="s">
        <v>9</v>
      </c>
      <c r="E6" s="29"/>
      <c r="F6" s="29"/>
    </row>
    <row r="7" spans="2:6" x14ac:dyDescent="0.25">
      <c r="B7" s="1" t="s">
        <v>10</v>
      </c>
      <c r="C7" s="1" t="s">
        <v>11</v>
      </c>
      <c r="E7" s="29"/>
      <c r="F7" s="29"/>
    </row>
    <row r="8" spans="2:6" x14ac:dyDescent="0.25">
      <c r="B8" s="1" t="s">
        <v>12</v>
      </c>
      <c r="C8" s="1" t="s">
        <v>13</v>
      </c>
      <c r="E8" s="29"/>
      <c r="F8" s="29"/>
    </row>
    <row r="9" spans="2:6" x14ac:dyDescent="0.25">
      <c r="B9" s="1" t="s">
        <v>14</v>
      </c>
      <c r="C9" s="1" t="s">
        <v>15</v>
      </c>
      <c r="E9" s="29"/>
      <c r="F9" s="29"/>
    </row>
    <row r="10" spans="2:6" x14ac:dyDescent="0.25">
      <c r="B10" s="1" t="s">
        <v>16</v>
      </c>
      <c r="C10" s="1" t="s">
        <v>17</v>
      </c>
      <c r="E10" s="29"/>
      <c r="F10" s="29"/>
    </row>
    <row r="11" spans="2:6" x14ac:dyDescent="0.25">
      <c r="B11" s="1" t="s">
        <v>18</v>
      </c>
      <c r="C11" s="1" t="s">
        <v>19</v>
      </c>
      <c r="E11" s="29"/>
      <c r="F11" s="29"/>
    </row>
    <row r="12" spans="2:6" x14ac:dyDescent="0.25">
      <c r="B12" s="1" t="s">
        <v>20</v>
      </c>
      <c r="C12" s="1" t="s">
        <v>21</v>
      </c>
      <c r="E12" s="29"/>
      <c r="F12" s="29"/>
    </row>
    <row r="13" spans="2:6" x14ac:dyDescent="0.25">
      <c r="B13" s="1" t="s">
        <v>22</v>
      </c>
      <c r="C13" s="1" t="s">
        <v>23</v>
      </c>
      <c r="E13" s="29"/>
      <c r="F13" s="29"/>
    </row>
    <row r="14" spans="2:6" x14ac:dyDescent="0.25">
      <c r="B14" s="1" t="s">
        <v>24</v>
      </c>
      <c r="C14" s="1" t="s">
        <v>25</v>
      </c>
      <c r="E14" s="29"/>
      <c r="F14" s="29"/>
    </row>
    <row r="15" spans="2:6" x14ac:dyDescent="0.25">
      <c r="E15" s="29"/>
      <c r="F15" s="29"/>
    </row>
    <row r="16" spans="2:6" ht="14.4" customHeight="1" x14ac:dyDescent="0.25"/>
    <row r="17" spans="1:6" ht="28.8" customHeight="1" x14ac:dyDescent="0.25">
      <c r="B17" s="35" t="s">
        <v>1</v>
      </c>
      <c r="C17" s="29"/>
      <c r="D17" s="29"/>
      <c r="E17" s="29"/>
      <c r="F17" s="29"/>
    </row>
    <row r="18" spans="1:6" ht="28.8" customHeight="1" x14ac:dyDescent="0.25"/>
    <row r="19" spans="1:6" ht="57.6" customHeight="1" x14ac:dyDescent="0.25">
      <c r="B19" s="35" t="s">
        <v>2</v>
      </c>
      <c r="C19" s="29"/>
      <c r="D19" s="29"/>
      <c r="E19" s="29"/>
      <c r="F19" s="29"/>
    </row>
    <row r="24" spans="1:6" x14ac:dyDescent="0.25">
      <c r="A24" t="s">
        <v>318</v>
      </c>
      <c r="B24">
        <v>1</v>
      </c>
    </row>
    <row r="25" spans="1:6" x14ac:dyDescent="0.25">
      <c r="A25" t="s">
        <v>319</v>
      </c>
      <c r="B25">
        <v>2</v>
      </c>
    </row>
    <row r="26" spans="1:6" x14ac:dyDescent="0.25">
      <c r="A26" t="s">
        <v>320</v>
      </c>
      <c r="B26">
        <v>3</v>
      </c>
    </row>
    <row r="27" spans="1:6" x14ac:dyDescent="0.25">
      <c r="A27" t="s">
        <v>321</v>
      </c>
      <c r="B27">
        <v>4</v>
      </c>
    </row>
    <row r="28" spans="1:6" x14ac:dyDescent="0.25">
      <c r="A28" t="s">
        <v>322</v>
      </c>
      <c r="B28">
        <v>5</v>
      </c>
    </row>
    <row r="29" spans="1:6" x14ac:dyDescent="0.25">
      <c r="A29" t="s">
        <v>323</v>
      </c>
      <c r="B29">
        <v>6</v>
      </c>
    </row>
    <row r="30" spans="1:6" x14ac:dyDescent="0.25">
      <c r="A30" t="s">
        <v>324</v>
      </c>
      <c r="B30">
        <v>7</v>
      </c>
    </row>
    <row r="31" spans="1:6" x14ac:dyDescent="0.25">
      <c r="A31" t="s">
        <v>634</v>
      </c>
      <c r="B31">
        <v>8</v>
      </c>
    </row>
    <row r="32" spans="1:6" x14ac:dyDescent="0.25">
      <c r="A32" t="s">
        <v>635</v>
      </c>
      <c r="B32">
        <v>9</v>
      </c>
    </row>
    <row r="33" spans="1:2" x14ac:dyDescent="0.25">
      <c r="A33" t="s">
        <v>636</v>
      </c>
      <c r="B33">
        <v>10</v>
      </c>
    </row>
    <row r="34" spans="1:2" x14ac:dyDescent="0.25">
      <c r="A34" t="s">
        <v>637</v>
      </c>
      <c r="B34">
        <v>11</v>
      </c>
    </row>
    <row r="35" spans="1:2" x14ac:dyDescent="0.25">
      <c r="A35" t="s">
        <v>638</v>
      </c>
      <c r="B35">
        <v>12</v>
      </c>
    </row>
  </sheetData>
  <mergeCells count="8">
    <mergeCell ref="B19:F19"/>
    <mergeCell ref="B17:F17"/>
    <mergeCell ref="B2:F2"/>
    <mergeCell ref="B3:F3"/>
    <mergeCell ref="B4:B5"/>
    <mergeCell ref="C4:C5"/>
    <mergeCell ref="E4:F4"/>
    <mergeCell ref="E5:F15"/>
  </mergeCells>
  <phoneticPr fontId="0" type="noConversion"/>
  <hyperlinks>
    <hyperlink ref="B19" r:id="rId1" xr:uid="{EE2C1F8F-8813-4C67-847F-7880B62D17CE}"/>
  </hyperlinks>
  <pageMargins left="0.78740157480314965" right="0.78740157480314965" top="0.78740157480314965" bottom="1.2374015748031497" header="0.78740157480314965" footer="0.78740157480314965"/>
  <pageSetup paperSize="9" orientation="portrait" horizontalDpi="0" verticalDpi="0"/>
  <headerFooter alignWithMargins="0">
    <oddFooter>&amp;L&amp;C&amp;R</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82296-703C-4143-ACE0-1AB3233FA39A}">
  <dimension ref="A1:T2006"/>
  <sheetViews>
    <sheetView zoomScale="51" zoomScaleNormal="85" workbookViewId="0">
      <selection activeCell="E5" sqref="E5"/>
    </sheetView>
  </sheetViews>
  <sheetFormatPr defaultRowHeight="19.95" customHeight="1" x14ac:dyDescent="0.25"/>
  <cols>
    <col min="1" max="1" width="21.109375" style="44" customWidth="1"/>
    <col min="2" max="2" width="21.109375" style="38" customWidth="1"/>
    <col min="4" max="4" width="23" bestFit="1" customWidth="1"/>
    <col min="5" max="5" width="23" customWidth="1"/>
    <col min="6" max="6" width="86.77734375" bestFit="1" customWidth="1"/>
    <col min="7" max="7" width="24.6640625" customWidth="1"/>
    <col min="8" max="9" width="31.88671875" customWidth="1"/>
    <col min="10" max="10" width="8.88671875" style="2"/>
    <col min="11" max="11" width="48" customWidth="1"/>
    <col min="12" max="12" width="17.88671875" bestFit="1" customWidth="1"/>
    <col min="13" max="13" width="43.33203125" bestFit="1" customWidth="1"/>
    <col min="20" max="20" width="25" customWidth="1"/>
    <col min="21" max="21" width="23" bestFit="1" customWidth="1"/>
    <col min="22" max="22" width="17.109375" bestFit="1" customWidth="1"/>
  </cols>
  <sheetData>
    <row r="1" spans="1:20" ht="19.95" customHeight="1" x14ac:dyDescent="0.3">
      <c r="A1" s="39" t="s">
        <v>325</v>
      </c>
      <c r="B1" s="45" t="s">
        <v>639</v>
      </c>
      <c r="C1" s="3" t="s">
        <v>326</v>
      </c>
      <c r="D1" s="3" t="s">
        <v>315</v>
      </c>
      <c r="E1" s="3" t="s">
        <v>642</v>
      </c>
      <c r="F1" s="3" t="s">
        <v>327</v>
      </c>
      <c r="G1" s="3" t="s">
        <v>640</v>
      </c>
      <c r="H1" s="3" t="s">
        <v>643</v>
      </c>
      <c r="I1" s="3" t="s">
        <v>644</v>
      </c>
      <c r="J1" s="3" t="s">
        <v>328</v>
      </c>
      <c r="K1" s="3" t="s">
        <v>630</v>
      </c>
      <c r="L1" s="24" t="s">
        <v>26</v>
      </c>
      <c r="M1" s="4" t="s">
        <v>329</v>
      </c>
    </row>
    <row r="2" spans="1:20" ht="19.95" customHeight="1" x14ac:dyDescent="0.25">
      <c r="A2" s="40">
        <v>45474</v>
      </c>
      <c r="B2" s="46">
        <f>MONTH(Table13[[#This Row],[YearMonth]])</f>
        <v>7</v>
      </c>
      <c r="C2" s="5" t="s">
        <v>40</v>
      </c>
      <c r="D2" s="6" t="s">
        <v>330</v>
      </c>
      <c r="E2" s="6">
        <f>IF(Table13[[#This Row],[Quartile]]="TopQuartile", 1,
 IF(Table13[[#This Row],[Quartile]]="SecondQuartile", 2,
 IF(Table13[[#This Row],[Quartile]]="ThirdQuartile", 3,
 IF(Table13[[#This Row],[Quartile]]="FourthQuartile", 4, ""))))</f>
        <v>1</v>
      </c>
      <c r="F2" s="5" t="s">
        <v>331</v>
      </c>
      <c r="G2" s="5" t="str">
        <f t="array" ref="G2">IFERROR(
  INDEX(Table13[Quartile],
    MATCH(1,
      (Table13[[#This Row],[OrgName]]=Table13[OrgName]) *
      (Table13[Month Number]=Table13[[#This Row],[Month Number]]-1),
      0)
  ),
"")</f>
        <v>TopQuartile</v>
      </c>
      <c r="H2" s="5">
        <f>IF(Table13[[#This Row],[Previous Quartile]]="TopQuartile", 1,
 IF(Table13[[#This Row],[Previous Quartile]]="SecondQuartile", 2,
 IF(Table13[[#This Row],[Previous Quartile]]="ThirdQuartile", 3,
 IF(Table13[[#This Row],[Previous Quartile]]="FourthQuartile", 4, ""))))</f>
        <v>1</v>
      </c>
      <c r="I2" s="5" t="str">
        <f>IF(Table13[[#This Row],[Previous Quartile Value]]="", "",
   IF(Table13[[#This Row],[Quartile Value]] &lt; Table13[[#This Row],[Previous Quartile Value]], "Improved",
   IF(Table13[[#This Row],[Quartile Value]] &gt; Table13[[#This Row],[Previous Quartile Value]], "Dropped", "Same")))</f>
        <v>Same</v>
      </c>
      <c r="J2" s="7" t="s">
        <v>16</v>
      </c>
      <c r="K2" s="7" t="str">
        <f>VLOOKUP(J2,Introduction!$B$6:$C$14,2)</f>
        <v>South East</v>
      </c>
      <c r="L2" s="7">
        <v>374</v>
      </c>
      <c r="M2" s="8" t="s">
        <v>332</v>
      </c>
      <c r="T2" s="50"/>
    </row>
    <row r="3" spans="1:20" ht="19.95" customHeight="1" x14ac:dyDescent="0.25">
      <c r="A3" s="40">
        <v>45474</v>
      </c>
      <c r="B3" s="46">
        <f>MONTH(Table13[[#This Row],[YearMonth]])</f>
        <v>7</v>
      </c>
      <c r="C3" s="5" t="s">
        <v>52</v>
      </c>
      <c r="D3" s="6" t="s">
        <v>330</v>
      </c>
      <c r="E3" s="6">
        <f>IF(Table13[[#This Row],[Quartile]]="TopQuartile", 1,
 IF(Table13[[#This Row],[Quartile]]="SecondQuartile", 2,
 IF(Table13[[#This Row],[Quartile]]="ThirdQuartile", 3,
 IF(Table13[[#This Row],[Quartile]]="FourthQuartile", 4, ""))))</f>
        <v>1</v>
      </c>
      <c r="F3" s="5" t="s">
        <v>333</v>
      </c>
      <c r="G3" s="5" t="str" cm="1">
        <f t="array" ref="G3">IFERROR(
  INDEX(Table13[Quartile],
    MATCH(1,
      (Table13[[#This Row],[OrgName]]=Table13[OrgName]) *
      (Table13[[#This Row],[Month Number]]-1=Table13[Month Number]),
    0)
  ),
"")</f>
        <v>TopQuartile</v>
      </c>
      <c r="H3" s="5">
        <f>IF(Table13[[#This Row],[Previous Quartile]]="TopQuartile", 1,
 IF(Table13[[#This Row],[Previous Quartile]]="SecondQuartile", 2,
 IF(Table13[[#This Row],[Previous Quartile]]="ThirdQuartile", 3,
 IF(Table13[[#This Row],[Previous Quartile]]="FourthQuartile", 4, ""))))</f>
        <v>1</v>
      </c>
      <c r="I3" s="5" t="str">
        <f>IF(Table13[[#This Row],[Previous Quartile Value]]="", "",
   IF(Table13[[#This Row],[Quartile Value]] &lt; Table13[[#This Row],[Previous Quartile Value]], "Improved",
   IF(Table13[[#This Row],[Quartile Value]] &gt; Table13[[#This Row],[Previous Quartile Value]], "Dropped", "Same")))</f>
        <v>Same</v>
      </c>
      <c r="J3" s="7" t="s">
        <v>12</v>
      </c>
      <c r="K3" s="7" t="str">
        <f>VLOOKUP(J3,Introduction!$B$6:$C$14,2)</f>
        <v>London</v>
      </c>
      <c r="L3" s="7">
        <v>197</v>
      </c>
      <c r="M3" s="8" t="s">
        <v>332</v>
      </c>
    </row>
    <row r="4" spans="1:20" ht="19.95" customHeight="1" x14ac:dyDescent="0.25">
      <c r="A4" s="40">
        <v>45474</v>
      </c>
      <c r="B4" s="46">
        <f>MONTH(Table13[[#This Row],[YearMonth]])</f>
        <v>7</v>
      </c>
      <c r="C4" s="5" t="s">
        <v>81</v>
      </c>
      <c r="D4" s="6" t="s">
        <v>330</v>
      </c>
      <c r="E4" s="6">
        <f>IF(Table13[[#This Row],[Quartile]]="TopQuartile", 1,
 IF(Table13[[#This Row],[Quartile]]="SecondQuartile", 2,
 IF(Table13[[#This Row],[Quartile]]="ThirdQuartile", 3,
 IF(Table13[[#This Row],[Quartile]]="FourthQuartile", 4, ""))))</f>
        <v>1</v>
      </c>
      <c r="F4" s="5" t="s">
        <v>334</v>
      </c>
      <c r="G4" s="5" t="str" cm="1">
        <f t="array" ref="G4">IFERROR(
  INDEX(Table13[Quartile],
    MATCH(1,
      (Table13[[#This Row],[OrgName]]=Table13[OrgName]) *
      (Table13[[#This Row],[Month Number]]-1=Table13[Month Number]),
    0)
  ),
"")</f>
        <v>TopQuartile</v>
      </c>
      <c r="H4" s="5">
        <f>IF(Table13[[#This Row],[Previous Quartile]]="TopQuartile", 1,
 IF(Table13[[#This Row],[Previous Quartile]]="SecondQuartile", 2,
 IF(Table13[[#This Row],[Previous Quartile]]="ThirdQuartile", 3,
 IF(Table13[[#This Row],[Previous Quartile]]="FourthQuartile", 4, ""))))</f>
        <v>1</v>
      </c>
      <c r="I4" s="5" t="str">
        <f>IF(Table13[[#This Row],[Previous Quartile Value]]="", "",
   IF(Table13[[#This Row],[Quartile Value]] &lt; Table13[[#This Row],[Previous Quartile Value]], "Improved",
   IF(Table13[[#This Row],[Quartile Value]] &gt; Table13[[#This Row],[Previous Quartile Value]], "Dropped", "Same")))</f>
        <v>Same</v>
      </c>
      <c r="J4" s="7" t="s">
        <v>16</v>
      </c>
      <c r="K4" s="7" t="str">
        <f>VLOOKUP(J4,Introduction!$B$6:$C$14,2)</f>
        <v>South East</v>
      </c>
      <c r="L4" s="7">
        <v>359</v>
      </c>
      <c r="M4" s="8" t="s">
        <v>332</v>
      </c>
    </row>
    <row r="5" spans="1:20" ht="19.95" customHeight="1" x14ac:dyDescent="0.25">
      <c r="A5" s="40">
        <v>45474</v>
      </c>
      <c r="B5" s="46">
        <f>MONTH(Table13[[#This Row],[YearMonth]])</f>
        <v>7</v>
      </c>
      <c r="C5" s="5" t="s">
        <v>85</v>
      </c>
      <c r="D5" s="6" t="s">
        <v>330</v>
      </c>
      <c r="E5" s="6">
        <f>IF(Table13[[#This Row],[Quartile]]="TopQuartile", 1,
 IF(Table13[[#This Row],[Quartile]]="SecondQuartile", 2,
 IF(Table13[[#This Row],[Quartile]]="ThirdQuartile", 3,
 IF(Table13[[#This Row],[Quartile]]="FourthQuartile", 4, ""))))</f>
        <v>1</v>
      </c>
      <c r="F5" s="5" t="s">
        <v>335</v>
      </c>
      <c r="G5" s="5" t="str" cm="1">
        <f t="array" ref="G5">IFERROR(
  INDEX(Table13[Quartile],
    MATCH(1,
      (Table13[[#This Row],[OrgName]]=Table13[OrgName]) *
      (Table13[[#This Row],[Month Number]]-1=Table13[Month Number]),
    0)
  ),
"")</f>
        <v>TopQuartile</v>
      </c>
      <c r="H5" s="5">
        <f>IF(Table13[[#This Row],[Previous Quartile]]="TopQuartile", 1,
 IF(Table13[[#This Row],[Previous Quartile]]="SecondQuartile", 2,
 IF(Table13[[#This Row],[Previous Quartile]]="ThirdQuartile", 3,
 IF(Table13[[#This Row],[Previous Quartile]]="FourthQuartile", 4, ""))))</f>
        <v>1</v>
      </c>
      <c r="I5" s="5" t="str">
        <f>IF(Table13[[#This Row],[Previous Quartile Value]]="", "",
   IF(Table13[[#This Row],[Quartile Value]] &lt; Table13[[#This Row],[Previous Quartile Value]], "Improved",
   IF(Table13[[#This Row],[Quartile Value]] &gt; Table13[[#This Row],[Previous Quartile Value]], "Dropped", "Same")))</f>
        <v>Same</v>
      </c>
      <c r="J5" s="7" t="s">
        <v>24</v>
      </c>
      <c r="K5" s="7" t="str">
        <f>VLOOKUP(J5,Introduction!$B$6:$C$14,2)</f>
        <v>North East and Yorkshire</v>
      </c>
      <c r="L5" s="7">
        <v>319</v>
      </c>
      <c r="M5" s="8" t="s">
        <v>332</v>
      </c>
    </row>
    <row r="6" spans="1:20" ht="19.95" customHeight="1" x14ac:dyDescent="0.25">
      <c r="A6" s="40">
        <v>45474</v>
      </c>
      <c r="B6" s="46">
        <f>MONTH(Table13[[#This Row],[YearMonth]])</f>
        <v>7</v>
      </c>
      <c r="C6" s="5" t="s">
        <v>89</v>
      </c>
      <c r="D6" s="6" t="s">
        <v>330</v>
      </c>
      <c r="E6" s="6">
        <f>IF(Table13[[#This Row],[Quartile]]="TopQuartile", 1,
 IF(Table13[[#This Row],[Quartile]]="SecondQuartile", 2,
 IF(Table13[[#This Row],[Quartile]]="ThirdQuartile", 3,
 IF(Table13[[#This Row],[Quartile]]="FourthQuartile", 4, ""))))</f>
        <v>1</v>
      </c>
      <c r="F6" s="5" t="s">
        <v>336</v>
      </c>
      <c r="G6" s="5" t="str" cm="1">
        <f t="array" ref="G6">IFERROR(
  INDEX(Table13[Quartile],
    MATCH(1,
      (Table13[[#This Row],[OrgName]]=Table13[OrgName]) *
      (Table13[[#This Row],[Month Number]]-1=Table13[Month Number]),
    0)
  ),
"")</f>
        <v>TopQuartile</v>
      </c>
      <c r="H6" s="5">
        <f>IF(Table13[[#This Row],[Previous Quartile]]="TopQuartile", 1,
 IF(Table13[[#This Row],[Previous Quartile]]="SecondQuartile", 2,
 IF(Table13[[#This Row],[Previous Quartile]]="ThirdQuartile", 3,
 IF(Table13[[#This Row],[Previous Quartile]]="FourthQuartile", 4, ""))))</f>
        <v>1</v>
      </c>
      <c r="I6" s="5" t="str">
        <f>IF(Table13[[#This Row],[Previous Quartile Value]]="", "",
   IF(Table13[[#This Row],[Quartile Value]] &lt; Table13[[#This Row],[Previous Quartile Value]], "Improved",
   IF(Table13[[#This Row],[Quartile Value]] &gt; Table13[[#This Row],[Previous Quartile Value]], "Dropped", "Same")))</f>
        <v>Same</v>
      </c>
      <c r="J6" s="7" t="s">
        <v>16</v>
      </c>
      <c r="K6" s="7" t="str">
        <f>VLOOKUP(J6,Introduction!$B$6:$C$14,2)</f>
        <v>South East</v>
      </c>
      <c r="L6" s="7">
        <v>192</v>
      </c>
      <c r="M6" s="8" t="s">
        <v>332</v>
      </c>
    </row>
    <row r="7" spans="1:20" ht="17.399999999999999" x14ac:dyDescent="0.25">
      <c r="A7" s="40">
        <v>45474</v>
      </c>
      <c r="B7" s="46">
        <f>MONTH(Table13[[#This Row],[YearMonth]])</f>
        <v>7</v>
      </c>
      <c r="C7" s="5" t="s">
        <v>91</v>
      </c>
      <c r="D7" s="6" t="s">
        <v>330</v>
      </c>
      <c r="E7" s="6">
        <f>IF(Table13[[#This Row],[Quartile]]="TopQuartile", 1,
 IF(Table13[[#This Row],[Quartile]]="SecondQuartile", 2,
 IF(Table13[[#This Row],[Quartile]]="ThirdQuartile", 3,
 IF(Table13[[#This Row],[Quartile]]="FourthQuartile", 4, ""))))</f>
        <v>1</v>
      </c>
      <c r="F7" s="5" t="s">
        <v>337</v>
      </c>
      <c r="G7" s="5" t="str" cm="1">
        <f t="array" ref="G7">IFERROR(
  INDEX(Table13[Quartile],
    MATCH(1,
      (Table13[[#This Row],[OrgName]]=Table13[OrgName]) *
      (Table13[[#This Row],[Month Number]]-1=Table13[Month Number]),
    0)
  ),
"")</f>
        <v>TopQuartile</v>
      </c>
      <c r="H7" s="5">
        <f>IF(Table13[[#This Row],[Previous Quartile]]="TopQuartile", 1,
 IF(Table13[[#This Row],[Previous Quartile]]="SecondQuartile", 2,
 IF(Table13[[#This Row],[Previous Quartile]]="ThirdQuartile", 3,
 IF(Table13[[#This Row],[Previous Quartile]]="FourthQuartile", 4, ""))))</f>
        <v>1</v>
      </c>
      <c r="I7" s="5" t="str">
        <f>IF(Table13[[#This Row],[Previous Quartile Value]]="", "",
   IF(Table13[[#This Row],[Quartile Value]] &lt; Table13[[#This Row],[Previous Quartile Value]], "Improved",
   IF(Table13[[#This Row],[Quartile Value]] &gt; Table13[[#This Row],[Previous Quartile Value]], "Dropped", "Same")))</f>
        <v>Same</v>
      </c>
      <c r="J7" s="7" t="s">
        <v>18</v>
      </c>
      <c r="K7" s="7" t="str">
        <f>VLOOKUP(J7,Introduction!$B$6:$C$14,2)</f>
        <v>Midlands</v>
      </c>
      <c r="L7" s="7">
        <v>357</v>
      </c>
      <c r="M7" s="8" t="s">
        <v>332</v>
      </c>
    </row>
    <row r="8" spans="1:20" ht="19.8" customHeight="1" x14ac:dyDescent="0.25">
      <c r="A8" s="40">
        <v>45474</v>
      </c>
      <c r="B8" s="46">
        <f>MONTH(Table13[[#This Row],[YearMonth]])</f>
        <v>7</v>
      </c>
      <c r="C8" s="5" t="s">
        <v>111</v>
      </c>
      <c r="D8" s="6" t="s">
        <v>338</v>
      </c>
      <c r="E8" s="6">
        <f>IF(Table13[[#This Row],[Quartile]]="TopQuartile", 1,
 IF(Table13[[#This Row],[Quartile]]="SecondQuartile", 2,
 IF(Table13[[#This Row],[Quartile]]="ThirdQuartile", 3,
 IF(Table13[[#This Row],[Quartile]]="FourthQuartile", 4, ""))))</f>
        <v>2</v>
      </c>
      <c r="F8" s="5" t="s">
        <v>339</v>
      </c>
      <c r="G8" s="5" t="str">
        <f t="array" ref="G8">IFERROR(
  INDEX(Table13[Quartile],
    MATCH(1,
      (Table13[[#This Row],[OrgName]]=Table13[OrgName]) *
      (Table13[Month Number]=Table13[[#This Row],[Month Number]]-1),
      0)
  ),
"")</f>
        <v>SecondQuartile</v>
      </c>
      <c r="H8" s="5">
        <f>IF(Table13[[#This Row],[Previous Quartile]]="TopQuartile", 1,
 IF(Table13[[#This Row],[Previous Quartile]]="SecondQuartile", 2,
 IF(Table13[[#This Row],[Previous Quartile]]="ThirdQuartile", 3,
 IF(Table13[[#This Row],[Previous Quartile]]="FourthQuartile", 4, ""))))</f>
        <v>2</v>
      </c>
      <c r="I8" s="5" t="str">
        <f>IF(Table13[[#This Row],[Previous Quartile Value]]="", "",
   IF(Table13[[#This Row],[Quartile Value]] &lt; Table13[[#This Row],[Previous Quartile Value]], "Improved",
   IF(Table13[[#This Row],[Quartile Value]] &gt; Table13[[#This Row],[Previous Quartile Value]], "Dropped", "Same")))</f>
        <v>Same</v>
      </c>
      <c r="J8" s="7" t="s">
        <v>20</v>
      </c>
      <c r="K8" s="7" t="str">
        <f>VLOOKUP(J8,Introduction!$B$6:$C$14,2)</f>
        <v>East of England</v>
      </c>
      <c r="L8" s="7">
        <v>432</v>
      </c>
      <c r="M8" s="8" t="s">
        <v>332</v>
      </c>
    </row>
    <row r="9" spans="1:20" ht="17.399999999999999" x14ac:dyDescent="0.25">
      <c r="A9" s="40">
        <v>45474</v>
      </c>
      <c r="B9" s="46">
        <f>MONTH(Table13[[#This Row],[YearMonth]])</f>
        <v>7</v>
      </c>
      <c r="C9" s="5" t="s">
        <v>137</v>
      </c>
      <c r="D9" s="6" t="s">
        <v>338</v>
      </c>
      <c r="E9" s="6">
        <f>IF(Table13[[#This Row],[Quartile]]="TopQuartile", 1,
 IF(Table13[[#This Row],[Quartile]]="SecondQuartile", 2,
 IF(Table13[[#This Row],[Quartile]]="ThirdQuartile", 3,
 IF(Table13[[#This Row],[Quartile]]="FourthQuartile", 4, ""))))</f>
        <v>2</v>
      </c>
      <c r="F9" s="5" t="s">
        <v>340</v>
      </c>
      <c r="G9" s="5" t="str" cm="1">
        <f t="array" ref="G9">IFERROR(
  INDEX(Table13[Quartile],
    MATCH(1,
      (Table13[[#This Row],[OrgName]]=Table13[OrgName]) *
      (Table13[[#This Row],[Month Number]]-1=Table13[Month Number]),
    0)
  ),
"")</f>
        <v>SecondQuartile</v>
      </c>
      <c r="H9" s="5">
        <f>IF(Table13[[#This Row],[Previous Quartile]]="TopQuartile", 1,
 IF(Table13[[#This Row],[Previous Quartile]]="SecondQuartile", 2,
 IF(Table13[[#This Row],[Previous Quartile]]="ThirdQuartile", 3,
 IF(Table13[[#This Row],[Previous Quartile]]="FourthQuartile", 4, ""))))</f>
        <v>2</v>
      </c>
      <c r="I9" s="5" t="str">
        <f>IF(Table13[[#This Row],[Previous Quartile Value]]="", "",
   IF(Table13[[#This Row],[Quartile Value]] &lt; Table13[[#This Row],[Previous Quartile Value]], "Improved",
   IF(Table13[[#This Row],[Quartile Value]] &gt; Table13[[#This Row],[Previous Quartile Value]], "Dropped", "Same")))</f>
        <v>Same</v>
      </c>
      <c r="J9" s="7" t="s">
        <v>18</v>
      </c>
      <c r="K9" s="7" t="str">
        <f>VLOOKUP(J9,Introduction!$B$6:$C$14,2)</f>
        <v>Midlands</v>
      </c>
      <c r="L9" s="7">
        <v>225</v>
      </c>
      <c r="M9" s="8" t="s">
        <v>332</v>
      </c>
    </row>
    <row r="10" spans="1:20" ht="19.95" customHeight="1" x14ac:dyDescent="0.25">
      <c r="A10" s="40">
        <v>45474</v>
      </c>
      <c r="B10" s="46">
        <f>MONTH(Table13[[#This Row],[YearMonth]])</f>
        <v>7</v>
      </c>
      <c r="C10" s="5" t="s">
        <v>174</v>
      </c>
      <c r="D10" s="6" t="s">
        <v>341</v>
      </c>
      <c r="E10" s="6">
        <f>IF(Table13[[#This Row],[Quartile]]="TopQuartile", 1,
 IF(Table13[[#This Row],[Quartile]]="SecondQuartile", 2,
 IF(Table13[[#This Row],[Quartile]]="ThirdQuartile", 3,
 IF(Table13[[#This Row],[Quartile]]="FourthQuartile", 4, ""))))</f>
        <v>3</v>
      </c>
      <c r="F10" s="5" t="s">
        <v>342</v>
      </c>
      <c r="G10" s="5" t="str" cm="1">
        <f t="array" ref="G10">IFERROR(
  INDEX(Table13[Quartile],
    MATCH(1,
      (Table13[[#This Row],[OrgName]]=Table13[OrgName]) *
      (Table13[[#This Row],[Month Number]]-1=Table13[Month Number]),
    0)
  ),
"")</f>
        <v>ThirdQuartile</v>
      </c>
      <c r="H10" s="5">
        <f>IF(Table13[[#This Row],[Previous Quartile]]="TopQuartile", 1,
 IF(Table13[[#This Row],[Previous Quartile]]="SecondQuartile", 2,
 IF(Table13[[#This Row],[Previous Quartile]]="ThirdQuartile", 3,
 IF(Table13[[#This Row],[Previous Quartile]]="FourthQuartile", 4, ""))))</f>
        <v>3</v>
      </c>
      <c r="I10" s="5" t="str">
        <f>IF(Table13[[#This Row],[Previous Quartile Value]]="", "",
   IF(Table13[[#This Row],[Quartile Value]] &lt; Table13[[#This Row],[Previous Quartile Value]], "Improved",
   IF(Table13[[#This Row],[Quartile Value]] &gt; Table13[[#This Row],[Previous Quartile Value]], "Dropped", "Same")))</f>
        <v>Same</v>
      </c>
      <c r="J10" s="7" t="s">
        <v>20</v>
      </c>
      <c r="K10" s="7" t="str">
        <f>VLOOKUP(J10,Introduction!$B$6:$C$14,2)</f>
        <v>East of England</v>
      </c>
      <c r="L10" s="7">
        <v>390</v>
      </c>
      <c r="M10" s="8" t="s">
        <v>332</v>
      </c>
    </row>
    <row r="11" spans="1:20" ht="19.95" customHeight="1" x14ac:dyDescent="0.25">
      <c r="A11" s="40">
        <v>45474</v>
      </c>
      <c r="B11" s="46">
        <f>MONTH(Table13[[#This Row],[YearMonth]])</f>
        <v>7</v>
      </c>
      <c r="C11" s="5" t="s">
        <v>200</v>
      </c>
      <c r="D11" s="6" t="s">
        <v>341</v>
      </c>
      <c r="E11" s="6">
        <f>IF(Table13[[#This Row],[Quartile]]="TopQuartile", 1,
 IF(Table13[[#This Row],[Quartile]]="SecondQuartile", 2,
 IF(Table13[[#This Row],[Quartile]]="ThirdQuartile", 3,
 IF(Table13[[#This Row],[Quartile]]="FourthQuartile", 4, ""))))</f>
        <v>3</v>
      </c>
      <c r="F11" s="5" t="s">
        <v>343</v>
      </c>
      <c r="G11" s="5" t="str" cm="1">
        <f t="array" ref="G11">IFERROR(
  INDEX(Table13[Quartile],
    MATCH(1,
      (Table13[[#This Row],[OrgName]]=Table13[OrgName]) *
      (Table13[[#This Row],[Month Number]]-1=Table13[Month Number]),
    0)
  ),
"")</f>
        <v>ThirdQuartile</v>
      </c>
      <c r="H11" s="5">
        <f>IF(Table13[[#This Row],[Previous Quartile]]="TopQuartile", 1,
 IF(Table13[[#This Row],[Previous Quartile]]="SecondQuartile", 2,
 IF(Table13[[#This Row],[Previous Quartile]]="ThirdQuartile", 3,
 IF(Table13[[#This Row],[Previous Quartile]]="FourthQuartile", 4, ""))))</f>
        <v>3</v>
      </c>
      <c r="I11" s="5" t="str">
        <f>IF(Table13[[#This Row],[Previous Quartile Value]]="", "",
   IF(Table13[[#This Row],[Quartile Value]] &lt; Table13[[#This Row],[Previous Quartile Value]], "Improved",
   IF(Table13[[#This Row],[Quartile Value]] &gt; Table13[[#This Row],[Previous Quartile Value]], "Dropped", "Same")))</f>
        <v>Same</v>
      </c>
      <c r="J11" s="7" t="s">
        <v>20</v>
      </c>
      <c r="K11" s="7" t="str">
        <f>VLOOKUP(J11,Introduction!$B$6:$C$14,2)</f>
        <v>East of England</v>
      </c>
      <c r="L11" s="7">
        <v>361</v>
      </c>
      <c r="M11" s="8" t="s">
        <v>332</v>
      </c>
    </row>
    <row r="12" spans="1:20" ht="19.95" customHeight="1" x14ac:dyDescent="0.25">
      <c r="A12" s="40">
        <v>45474</v>
      </c>
      <c r="B12" s="46">
        <f>MONTH(Table13[[#This Row],[YearMonth]])</f>
        <v>7</v>
      </c>
      <c r="C12" s="5" t="s">
        <v>205</v>
      </c>
      <c r="D12" s="6" t="s">
        <v>341</v>
      </c>
      <c r="E12" s="6">
        <f>IF(Table13[[#This Row],[Quartile]]="TopQuartile", 1,
 IF(Table13[[#This Row],[Quartile]]="SecondQuartile", 2,
 IF(Table13[[#This Row],[Quartile]]="ThirdQuartile", 3,
 IF(Table13[[#This Row],[Quartile]]="FourthQuartile", 4, ""))))</f>
        <v>3</v>
      </c>
      <c r="F12" s="5" t="s">
        <v>344</v>
      </c>
      <c r="G12" s="5" t="str" cm="1">
        <f t="array" ref="G12">IFERROR(
  INDEX(Table13[Quartile],
    MATCH(1,
      (Table13[[#This Row],[OrgName]]=Table13[OrgName]) *
      (Table13[[#This Row],[Month Number]]-1=Table13[Month Number]),
    0)
  ),
"")</f>
        <v>ThirdQuartile</v>
      </c>
      <c r="H12" s="5">
        <f>IF(Table13[[#This Row],[Previous Quartile]]="TopQuartile", 1,
 IF(Table13[[#This Row],[Previous Quartile]]="SecondQuartile", 2,
 IF(Table13[[#This Row],[Previous Quartile]]="ThirdQuartile", 3,
 IF(Table13[[#This Row],[Previous Quartile]]="FourthQuartile", 4, ""))))</f>
        <v>3</v>
      </c>
      <c r="I12" s="5" t="str">
        <f>IF(Table13[[#This Row],[Previous Quartile Value]]="", "",
   IF(Table13[[#This Row],[Quartile Value]] &lt; Table13[[#This Row],[Previous Quartile Value]], "Improved",
   IF(Table13[[#This Row],[Quartile Value]] &gt; Table13[[#This Row],[Previous Quartile Value]], "Dropped", "Same")))</f>
        <v>Same</v>
      </c>
      <c r="J12" s="7" t="s">
        <v>24</v>
      </c>
      <c r="K12" s="7" t="str">
        <f>VLOOKUP(J12,Introduction!$B$6:$C$14,2)</f>
        <v>North East and Yorkshire</v>
      </c>
      <c r="L12" s="7">
        <v>372</v>
      </c>
      <c r="M12" s="8" t="s">
        <v>332</v>
      </c>
    </row>
    <row r="13" spans="1:20" ht="19.95" customHeight="1" x14ac:dyDescent="0.25">
      <c r="A13" s="40">
        <v>45474</v>
      </c>
      <c r="B13" s="46">
        <f>MONTH(Table13[[#This Row],[YearMonth]])</f>
        <v>7</v>
      </c>
      <c r="C13" s="5" t="s">
        <v>214</v>
      </c>
      <c r="D13" s="6" t="s">
        <v>341</v>
      </c>
      <c r="E13" s="6">
        <f>IF(Table13[[#This Row],[Quartile]]="TopQuartile", 1,
 IF(Table13[[#This Row],[Quartile]]="SecondQuartile", 2,
 IF(Table13[[#This Row],[Quartile]]="ThirdQuartile", 3,
 IF(Table13[[#This Row],[Quartile]]="FourthQuartile", 4, ""))))</f>
        <v>3</v>
      </c>
      <c r="F13" s="5" t="s">
        <v>345</v>
      </c>
      <c r="G13" s="5" t="str" cm="1">
        <f t="array" ref="G13">IFERROR(
  INDEX(Table13[Quartile],
    MATCH(1,
      (Table13[[#This Row],[OrgName]]=Table13[OrgName]) *
      (Table13[[#This Row],[Month Number]]-1=Table13[Month Number]),
    0)
  ),
"")</f>
        <v>ThirdQuartile</v>
      </c>
      <c r="H13" s="5">
        <f>IF(Table13[[#This Row],[Previous Quartile]]="TopQuartile", 1,
 IF(Table13[[#This Row],[Previous Quartile]]="SecondQuartile", 2,
 IF(Table13[[#This Row],[Previous Quartile]]="ThirdQuartile", 3,
 IF(Table13[[#This Row],[Previous Quartile]]="FourthQuartile", 4, ""))))</f>
        <v>3</v>
      </c>
      <c r="I13" s="5" t="str">
        <f>IF(Table13[[#This Row],[Previous Quartile Value]]="", "",
   IF(Table13[[#This Row],[Quartile Value]] &lt; Table13[[#This Row],[Previous Quartile Value]], "Improved",
   IF(Table13[[#This Row],[Quartile Value]] &gt; Table13[[#This Row],[Previous Quartile Value]], "Dropped", "Same")))</f>
        <v>Same</v>
      </c>
      <c r="J13" s="7" t="s">
        <v>20</v>
      </c>
      <c r="K13" s="7" t="str">
        <f>VLOOKUP(J13,Introduction!$B$6:$C$14,2)</f>
        <v>East of England</v>
      </c>
      <c r="L13" s="7">
        <v>176</v>
      </c>
      <c r="M13" s="8" t="s">
        <v>332</v>
      </c>
    </row>
    <row r="14" spans="1:20" ht="19.95" customHeight="1" x14ac:dyDescent="0.25">
      <c r="A14" s="40">
        <v>45474</v>
      </c>
      <c r="B14" s="46">
        <f>MONTH(Table13[[#This Row],[YearMonth]])</f>
        <v>7</v>
      </c>
      <c r="C14" s="5" t="s">
        <v>220</v>
      </c>
      <c r="D14" s="6" t="s">
        <v>341</v>
      </c>
      <c r="E14" s="6">
        <f>IF(Table13[[#This Row],[Quartile]]="TopQuartile", 1,
 IF(Table13[[#This Row],[Quartile]]="SecondQuartile", 2,
 IF(Table13[[#This Row],[Quartile]]="ThirdQuartile", 3,
 IF(Table13[[#This Row],[Quartile]]="FourthQuartile", 4, ""))))</f>
        <v>3</v>
      </c>
      <c r="F14" s="5" t="s">
        <v>346</v>
      </c>
      <c r="G14" s="5" t="str" cm="1">
        <f t="array" ref="G14">IFERROR(
  INDEX(Table13[Quartile],
    MATCH(1,
      (Table13[[#This Row],[OrgName]]=Table13[OrgName]) *
      (Table13[[#This Row],[Month Number]]-1=Table13[Month Number]),
    0)
  ),
"")</f>
        <v>SecondQuartile</v>
      </c>
      <c r="H14" s="5">
        <f>IF(Table13[[#This Row],[Previous Quartile]]="TopQuartile", 1,
 IF(Table13[[#This Row],[Previous Quartile]]="SecondQuartile", 2,
 IF(Table13[[#This Row],[Previous Quartile]]="ThirdQuartile", 3,
 IF(Table13[[#This Row],[Previous Quartile]]="FourthQuartile", 4, ""))))</f>
        <v>2</v>
      </c>
      <c r="I14" s="5" t="str">
        <f>IF(Table13[[#This Row],[Previous Quartile Value]]="", "",
   IF(Table13[[#This Row],[Quartile Value]] &lt; Table13[[#This Row],[Previous Quartile Value]], "Improved",
   IF(Table13[[#This Row],[Quartile Value]] &gt; Table13[[#This Row],[Previous Quartile Value]], "Dropped", "Same")))</f>
        <v>Dropped</v>
      </c>
      <c r="J14" s="7" t="s">
        <v>16</v>
      </c>
      <c r="K14" s="7" t="str">
        <f>VLOOKUP(J14,Introduction!$B$6:$C$14,2)</f>
        <v>South East</v>
      </c>
      <c r="L14" s="7">
        <v>151</v>
      </c>
      <c r="M14" s="8" t="s">
        <v>332</v>
      </c>
    </row>
    <row r="15" spans="1:20" ht="19.95" customHeight="1" x14ac:dyDescent="0.25">
      <c r="A15" s="40">
        <v>45474</v>
      </c>
      <c r="B15" s="46">
        <f>MONTH(Table13[[#This Row],[YearMonth]])</f>
        <v>7</v>
      </c>
      <c r="C15" s="5" t="s">
        <v>228</v>
      </c>
      <c r="D15" s="6" t="s">
        <v>341</v>
      </c>
      <c r="E15" s="6">
        <f>IF(Table13[[#This Row],[Quartile]]="TopQuartile", 1,
 IF(Table13[[#This Row],[Quartile]]="SecondQuartile", 2,
 IF(Table13[[#This Row],[Quartile]]="ThirdQuartile", 3,
 IF(Table13[[#This Row],[Quartile]]="FourthQuartile", 4, ""))))</f>
        <v>3</v>
      </c>
      <c r="F15" s="5" t="s">
        <v>347</v>
      </c>
      <c r="G15" s="5" t="str" cm="1">
        <f t="array" ref="G15">IFERROR(
  INDEX(Table13[Quartile],
    MATCH(1,
      (Table13[[#This Row],[OrgName]]=Table13[OrgName]) *
      (Table13[[#This Row],[Month Number]]-1=Table13[Month Number]),
    0)
  ),
"")</f>
        <v>ThirdQuartile</v>
      </c>
      <c r="H15" s="5">
        <f>IF(Table13[[#This Row],[Previous Quartile]]="TopQuartile", 1,
 IF(Table13[[#This Row],[Previous Quartile]]="SecondQuartile", 2,
 IF(Table13[[#This Row],[Previous Quartile]]="ThirdQuartile", 3,
 IF(Table13[[#This Row],[Previous Quartile]]="FourthQuartile", 4, ""))))</f>
        <v>3</v>
      </c>
      <c r="I15" s="5" t="str">
        <f>IF(Table13[[#This Row],[Previous Quartile Value]]="", "",
   IF(Table13[[#This Row],[Quartile Value]] &lt; Table13[[#This Row],[Previous Quartile Value]], "Improved",
   IF(Table13[[#This Row],[Quartile Value]] &gt; Table13[[#This Row],[Previous Quartile Value]], "Dropped", "Same")))</f>
        <v>Same</v>
      </c>
      <c r="J15" s="7" t="s">
        <v>14</v>
      </c>
      <c r="K15" s="7" t="str">
        <f>VLOOKUP(J15,Introduction!$B$6:$C$14,2)</f>
        <v>South West</v>
      </c>
      <c r="L15" s="7">
        <v>339</v>
      </c>
      <c r="M15" s="8" t="s">
        <v>332</v>
      </c>
    </row>
    <row r="16" spans="1:20" ht="19.95" customHeight="1" x14ac:dyDescent="0.25">
      <c r="A16" s="40">
        <v>45474</v>
      </c>
      <c r="B16" s="46">
        <f>MONTH(Table13[[#This Row],[YearMonth]])</f>
        <v>7</v>
      </c>
      <c r="C16" s="5" t="s">
        <v>236</v>
      </c>
      <c r="D16" s="6" t="s">
        <v>341</v>
      </c>
      <c r="E16" s="6">
        <f>IF(Table13[[#This Row],[Quartile]]="TopQuartile", 1,
 IF(Table13[[#This Row],[Quartile]]="SecondQuartile", 2,
 IF(Table13[[#This Row],[Quartile]]="ThirdQuartile", 3,
 IF(Table13[[#This Row],[Quartile]]="FourthQuartile", 4, ""))))</f>
        <v>3</v>
      </c>
      <c r="F16" s="5" t="s">
        <v>348</v>
      </c>
      <c r="G16" s="5" t="str" cm="1">
        <f t="array" ref="G16">IFERROR(
  INDEX(Table13[Quartile],
    MATCH(1,
      (Table13[[#This Row],[OrgName]]=Table13[OrgName]) *
      (Table13[[#This Row],[Month Number]]-1=Table13[Month Number]),
    0)
  ),
"")</f>
        <v>ThirdQuartile</v>
      </c>
      <c r="H16" s="5">
        <f>IF(Table13[[#This Row],[Previous Quartile]]="TopQuartile", 1,
 IF(Table13[[#This Row],[Previous Quartile]]="SecondQuartile", 2,
 IF(Table13[[#This Row],[Previous Quartile]]="ThirdQuartile", 3,
 IF(Table13[[#This Row],[Previous Quartile]]="FourthQuartile", 4, ""))))</f>
        <v>3</v>
      </c>
      <c r="I16" s="5" t="str">
        <f>IF(Table13[[#This Row],[Previous Quartile Value]]="", "",
   IF(Table13[[#This Row],[Quartile Value]] &lt; Table13[[#This Row],[Previous Quartile Value]], "Improved",
   IF(Table13[[#This Row],[Quartile Value]] &gt; Table13[[#This Row],[Previous Quartile Value]], "Dropped", "Same")))</f>
        <v>Same</v>
      </c>
      <c r="J16" s="7" t="s">
        <v>18</v>
      </c>
      <c r="K16" s="7" t="str">
        <f>VLOOKUP(J16,Introduction!$B$6:$C$14,2)</f>
        <v>Midlands</v>
      </c>
      <c r="L16" s="7">
        <v>365</v>
      </c>
      <c r="M16" s="8" t="s">
        <v>332</v>
      </c>
    </row>
    <row r="17" spans="1:13" ht="19.95" customHeight="1" x14ac:dyDescent="0.25">
      <c r="A17" s="40">
        <v>45474</v>
      </c>
      <c r="B17" s="46">
        <f>MONTH(Table13[[#This Row],[YearMonth]])</f>
        <v>7</v>
      </c>
      <c r="C17" s="5" t="s">
        <v>237</v>
      </c>
      <c r="D17" s="6" t="s">
        <v>341</v>
      </c>
      <c r="E17" s="6">
        <f>IF(Table13[[#This Row],[Quartile]]="TopQuartile", 1,
 IF(Table13[[#This Row],[Quartile]]="SecondQuartile", 2,
 IF(Table13[[#This Row],[Quartile]]="ThirdQuartile", 3,
 IF(Table13[[#This Row],[Quartile]]="FourthQuartile", 4, ""))))</f>
        <v>3</v>
      </c>
      <c r="F17" s="5" t="s">
        <v>349</v>
      </c>
      <c r="G17" s="5" t="str" cm="1">
        <f t="array" ref="G17">IFERROR(
  INDEX(Table13[Quartile],
    MATCH(1,
      (Table13[[#This Row],[OrgName]]=Table13[OrgName]) *
      (Table13[[#This Row],[Month Number]]-1=Table13[Month Number]),
    0)
  ),
"")</f>
        <v>ThirdQuartile</v>
      </c>
      <c r="H17" s="5">
        <f>IF(Table13[[#This Row],[Previous Quartile]]="TopQuartile", 1,
 IF(Table13[[#This Row],[Previous Quartile]]="SecondQuartile", 2,
 IF(Table13[[#This Row],[Previous Quartile]]="ThirdQuartile", 3,
 IF(Table13[[#This Row],[Previous Quartile]]="FourthQuartile", 4, ""))))</f>
        <v>3</v>
      </c>
      <c r="I17" s="5" t="str">
        <f>IF(Table13[[#This Row],[Previous Quartile Value]]="", "",
   IF(Table13[[#This Row],[Quartile Value]] &lt; Table13[[#This Row],[Previous Quartile Value]], "Improved",
   IF(Table13[[#This Row],[Quartile Value]] &gt; Table13[[#This Row],[Previous Quartile Value]], "Dropped", "Same")))</f>
        <v>Same</v>
      </c>
      <c r="J17" s="7" t="s">
        <v>24</v>
      </c>
      <c r="K17" s="7" t="str">
        <f>VLOOKUP(J17,Introduction!$B$6:$C$14,2)</f>
        <v>North East and Yorkshire</v>
      </c>
      <c r="L17" s="7">
        <v>155</v>
      </c>
      <c r="M17" s="8" t="s">
        <v>332</v>
      </c>
    </row>
    <row r="18" spans="1:13" ht="19.95" customHeight="1" x14ac:dyDescent="0.25">
      <c r="A18" s="40">
        <v>45474</v>
      </c>
      <c r="B18" s="46">
        <f>MONTH(Table13[[#This Row],[YearMonth]])</f>
        <v>7</v>
      </c>
      <c r="C18" s="5" t="s">
        <v>246</v>
      </c>
      <c r="D18" s="6" t="s">
        <v>350</v>
      </c>
      <c r="E18" s="6">
        <f>IF(Table13[[#This Row],[Quartile]]="TopQuartile", 1,
 IF(Table13[[#This Row],[Quartile]]="SecondQuartile", 2,
 IF(Table13[[#This Row],[Quartile]]="ThirdQuartile", 3,
 IF(Table13[[#This Row],[Quartile]]="FourthQuartile", 4, ""))))</f>
        <v>4</v>
      </c>
      <c r="F18" s="5" t="s">
        <v>351</v>
      </c>
      <c r="G18" s="5" t="str" cm="1">
        <f t="array" ref="G18">IFERROR(
  INDEX(Table13[Quartile],
    MATCH(1,
      (Table13[[#This Row],[OrgName]]=Table13[OrgName]) *
      (Table13[[#This Row],[Month Number]]-1=Table13[Month Number]),
    0)
  ),
"")</f>
        <v>FourthQuartile</v>
      </c>
      <c r="H18" s="5">
        <f>IF(Table13[[#This Row],[Previous Quartile]]="TopQuartile", 1,
 IF(Table13[[#This Row],[Previous Quartile]]="SecondQuartile", 2,
 IF(Table13[[#This Row],[Previous Quartile]]="ThirdQuartile", 3,
 IF(Table13[[#This Row],[Previous Quartile]]="FourthQuartile", 4, ""))))</f>
        <v>4</v>
      </c>
      <c r="I18" s="5" t="str">
        <f>IF(Table13[[#This Row],[Previous Quartile Value]]="", "",
   IF(Table13[[#This Row],[Quartile Value]] &lt; Table13[[#This Row],[Previous Quartile Value]], "Improved",
   IF(Table13[[#This Row],[Quartile Value]] &gt; Table13[[#This Row],[Previous Quartile Value]], "Dropped", "Same")))</f>
        <v>Same</v>
      </c>
      <c r="J18" s="7" t="s">
        <v>14</v>
      </c>
      <c r="K18" s="7" t="str">
        <f>VLOOKUP(J18,Introduction!$B$6:$C$14,2)</f>
        <v>South West</v>
      </c>
      <c r="L18" s="7">
        <v>318</v>
      </c>
      <c r="M18" s="8" t="s">
        <v>332</v>
      </c>
    </row>
    <row r="19" spans="1:13" ht="19.95" customHeight="1" x14ac:dyDescent="0.25">
      <c r="A19" s="40">
        <v>45474</v>
      </c>
      <c r="B19" s="46">
        <f>MONTH(Table13[[#This Row],[YearMonth]])</f>
        <v>7</v>
      </c>
      <c r="C19" s="5" t="s">
        <v>254</v>
      </c>
      <c r="D19" s="6" t="s">
        <v>350</v>
      </c>
      <c r="E19" s="6">
        <f>IF(Table13[[#This Row],[Quartile]]="TopQuartile", 1,
 IF(Table13[[#This Row],[Quartile]]="SecondQuartile", 2,
 IF(Table13[[#This Row],[Quartile]]="ThirdQuartile", 3,
 IF(Table13[[#This Row],[Quartile]]="FourthQuartile", 4, ""))))</f>
        <v>4</v>
      </c>
      <c r="F19" s="5" t="s">
        <v>352</v>
      </c>
      <c r="G19" s="5" t="str" cm="1">
        <f t="array" ref="G19">IFERROR(
  INDEX(Table13[Quartile],
    MATCH(1,
      (Table13[[#This Row],[OrgName]]=Table13[OrgName]) *
      (Table13[[#This Row],[Month Number]]-1=Table13[Month Number]),
    0)
  ),
"")</f>
        <v>FourthQuartile</v>
      </c>
      <c r="H19" s="5">
        <f>IF(Table13[[#This Row],[Previous Quartile]]="TopQuartile", 1,
 IF(Table13[[#This Row],[Previous Quartile]]="SecondQuartile", 2,
 IF(Table13[[#This Row],[Previous Quartile]]="ThirdQuartile", 3,
 IF(Table13[[#This Row],[Previous Quartile]]="FourthQuartile", 4, ""))))</f>
        <v>4</v>
      </c>
      <c r="I19" s="5" t="str">
        <f>IF(Table13[[#This Row],[Previous Quartile Value]]="", "",
   IF(Table13[[#This Row],[Quartile Value]] &lt; Table13[[#This Row],[Previous Quartile Value]], "Improved",
   IF(Table13[[#This Row],[Quartile Value]] &gt; Table13[[#This Row],[Previous Quartile Value]], "Dropped", "Same")))</f>
        <v>Same</v>
      </c>
      <c r="J19" s="7" t="s">
        <v>22</v>
      </c>
      <c r="K19" s="7" t="str">
        <f>VLOOKUP(J19,Introduction!$B$6:$C$14,2)</f>
        <v>North West</v>
      </c>
      <c r="L19" s="7">
        <v>435</v>
      </c>
      <c r="M19" s="8" t="s">
        <v>332</v>
      </c>
    </row>
    <row r="20" spans="1:13" ht="19.95" customHeight="1" x14ac:dyDescent="0.25">
      <c r="A20" s="40">
        <v>45474</v>
      </c>
      <c r="B20" s="46">
        <f>MONTH(Table13[[#This Row],[YearMonth]])</f>
        <v>7</v>
      </c>
      <c r="C20" s="5" t="s">
        <v>257</v>
      </c>
      <c r="D20" s="6" t="s">
        <v>350</v>
      </c>
      <c r="E20" s="6">
        <f>IF(Table13[[#This Row],[Quartile]]="TopQuartile", 1,
 IF(Table13[[#This Row],[Quartile]]="SecondQuartile", 2,
 IF(Table13[[#This Row],[Quartile]]="ThirdQuartile", 3,
 IF(Table13[[#This Row],[Quartile]]="FourthQuartile", 4, ""))))</f>
        <v>4</v>
      </c>
      <c r="F20" s="5" t="s">
        <v>353</v>
      </c>
      <c r="G20" s="5" t="str" cm="1">
        <f t="array" ref="G20">IFERROR(
  INDEX(Table13[Quartile],
    MATCH(1,
      (Table13[[#This Row],[OrgName]]=Table13[OrgName]) *
      (Table13[[#This Row],[Month Number]]-1=Table13[Month Number]),
    0)
  ),
"")</f>
        <v>FourthQuartile</v>
      </c>
      <c r="H20" s="5">
        <f>IF(Table13[[#This Row],[Previous Quartile]]="TopQuartile", 1,
 IF(Table13[[#This Row],[Previous Quartile]]="SecondQuartile", 2,
 IF(Table13[[#This Row],[Previous Quartile]]="ThirdQuartile", 3,
 IF(Table13[[#This Row],[Previous Quartile]]="FourthQuartile", 4, ""))))</f>
        <v>4</v>
      </c>
      <c r="I20" s="5" t="str">
        <f>IF(Table13[[#This Row],[Previous Quartile Value]]="", "",
   IF(Table13[[#This Row],[Quartile Value]] &lt; Table13[[#This Row],[Previous Quartile Value]], "Improved",
   IF(Table13[[#This Row],[Quartile Value]] &gt; Table13[[#This Row],[Previous Quartile Value]], "Dropped", "Same")))</f>
        <v>Same</v>
      </c>
      <c r="J20" s="7" t="s">
        <v>14</v>
      </c>
      <c r="K20" s="7" t="str">
        <f>VLOOKUP(J20,Introduction!$B$6:$C$14,2)</f>
        <v>South West</v>
      </c>
      <c r="L20" s="7">
        <v>185</v>
      </c>
      <c r="M20" s="8" t="s">
        <v>332</v>
      </c>
    </row>
    <row r="21" spans="1:13" ht="19.95" customHeight="1" x14ac:dyDescent="0.25">
      <c r="A21" s="40">
        <v>45474</v>
      </c>
      <c r="B21" s="46">
        <f>MONTH(Table13[[#This Row],[YearMonth]])</f>
        <v>7</v>
      </c>
      <c r="C21" s="5" t="s">
        <v>270</v>
      </c>
      <c r="D21" s="6" t="s">
        <v>350</v>
      </c>
      <c r="E21" s="6">
        <f>IF(Table13[[#This Row],[Quartile]]="TopQuartile", 1,
 IF(Table13[[#This Row],[Quartile]]="SecondQuartile", 2,
 IF(Table13[[#This Row],[Quartile]]="ThirdQuartile", 3,
 IF(Table13[[#This Row],[Quartile]]="FourthQuartile", 4, ""))))</f>
        <v>4</v>
      </c>
      <c r="F21" s="5" t="s">
        <v>354</v>
      </c>
      <c r="G21" s="5" t="str" cm="1">
        <f t="array" ref="G21">IFERROR(
  INDEX(Table13[Quartile],
    MATCH(1,
      (Table13[[#This Row],[OrgName]]=Table13[OrgName]) *
      (Table13[[#This Row],[Month Number]]-1=Table13[Month Number]),
    0)
  ),
"")</f>
        <v>FourthQuartile</v>
      </c>
      <c r="H21" s="5">
        <f>IF(Table13[[#This Row],[Previous Quartile]]="TopQuartile", 1,
 IF(Table13[[#This Row],[Previous Quartile]]="SecondQuartile", 2,
 IF(Table13[[#This Row],[Previous Quartile]]="ThirdQuartile", 3,
 IF(Table13[[#This Row],[Previous Quartile]]="FourthQuartile", 4, ""))))</f>
        <v>4</v>
      </c>
      <c r="I21" s="5" t="str">
        <f>IF(Table13[[#This Row],[Previous Quartile Value]]="", "",
   IF(Table13[[#This Row],[Quartile Value]] &lt; Table13[[#This Row],[Previous Quartile Value]], "Improved",
   IF(Table13[[#This Row],[Quartile Value]] &gt; Table13[[#This Row],[Previous Quartile Value]], "Dropped", "Same")))</f>
        <v>Same</v>
      </c>
      <c r="J21" s="7" t="s">
        <v>16</v>
      </c>
      <c r="K21" s="7" t="str">
        <f>VLOOKUP(J21,Introduction!$B$6:$C$14,2)</f>
        <v>South East</v>
      </c>
      <c r="L21" s="7">
        <v>251</v>
      </c>
      <c r="M21" s="8" t="s">
        <v>332</v>
      </c>
    </row>
    <row r="22" spans="1:13" ht="19.95" customHeight="1" x14ac:dyDescent="0.25">
      <c r="A22" s="40">
        <v>45474</v>
      </c>
      <c r="B22" s="46">
        <f>MONTH(Table13[[#This Row],[YearMonth]])</f>
        <v>7</v>
      </c>
      <c r="C22" s="5" t="s">
        <v>283</v>
      </c>
      <c r="D22" s="6" t="s">
        <v>350</v>
      </c>
      <c r="E22" s="6">
        <f>IF(Table13[[#This Row],[Quartile]]="TopQuartile", 1,
 IF(Table13[[#This Row],[Quartile]]="SecondQuartile", 2,
 IF(Table13[[#This Row],[Quartile]]="ThirdQuartile", 3,
 IF(Table13[[#This Row],[Quartile]]="FourthQuartile", 4, ""))))</f>
        <v>4</v>
      </c>
      <c r="F22" s="5" t="s">
        <v>355</v>
      </c>
      <c r="G22" s="5" t="str" cm="1">
        <f t="array" ref="G22">IFERROR(
  INDEX(Table13[Quartile],
    MATCH(1,
      (Table13[[#This Row],[OrgName]]=Table13[OrgName]) *
      (Table13[[#This Row],[Month Number]]-1=Table13[Month Number]),
    0)
  ),
"")</f>
        <v>FourthQuartile</v>
      </c>
      <c r="H22" s="5">
        <f>IF(Table13[[#This Row],[Previous Quartile]]="TopQuartile", 1,
 IF(Table13[[#This Row],[Previous Quartile]]="SecondQuartile", 2,
 IF(Table13[[#This Row],[Previous Quartile]]="ThirdQuartile", 3,
 IF(Table13[[#This Row],[Previous Quartile]]="FourthQuartile", 4, ""))))</f>
        <v>4</v>
      </c>
      <c r="I22" s="5" t="str">
        <f>IF(Table13[[#This Row],[Previous Quartile Value]]="", "",
   IF(Table13[[#This Row],[Quartile Value]] &lt; Table13[[#This Row],[Previous Quartile Value]], "Improved",
   IF(Table13[[#This Row],[Quartile Value]] &gt; Table13[[#This Row],[Previous Quartile Value]], "Dropped", "Same")))</f>
        <v>Same</v>
      </c>
      <c r="J22" s="7" t="s">
        <v>16</v>
      </c>
      <c r="K22" s="7" t="str">
        <f>VLOOKUP(J22,Introduction!$B$6:$C$14,2)</f>
        <v>South East</v>
      </c>
      <c r="L22" s="7">
        <v>193</v>
      </c>
      <c r="M22" s="8" t="s">
        <v>332</v>
      </c>
    </row>
    <row r="23" spans="1:13" ht="19.95" customHeight="1" x14ac:dyDescent="0.25">
      <c r="A23" s="40">
        <v>45474</v>
      </c>
      <c r="B23" s="46">
        <f>MONTH(Table13[[#This Row],[YearMonth]])</f>
        <v>7</v>
      </c>
      <c r="C23" s="5" t="s">
        <v>290</v>
      </c>
      <c r="D23" s="6" t="s">
        <v>350</v>
      </c>
      <c r="E23" s="6">
        <f>IF(Table13[[#This Row],[Quartile]]="TopQuartile", 1,
 IF(Table13[[#This Row],[Quartile]]="SecondQuartile", 2,
 IF(Table13[[#This Row],[Quartile]]="ThirdQuartile", 3,
 IF(Table13[[#This Row],[Quartile]]="FourthQuartile", 4, ""))))</f>
        <v>4</v>
      </c>
      <c r="F23" s="5" t="s">
        <v>356</v>
      </c>
      <c r="G23" s="5" t="str" cm="1">
        <f t="array" ref="G23">IFERROR(
  INDEX(Table13[Quartile],
    MATCH(1,
      (Table13[[#This Row],[OrgName]]=Table13[OrgName]) *
      (Table13[[#This Row],[Month Number]]-1=Table13[Month Number]),
    0)
  ),
"")</f>
        <v>FourthQuartile</v>
      </c>
      <c r="H23" s="5">
        <f>IF(Table13[[#This Row],[Previous Quartile]]="TopQuartile", 1,
 IF(Table13[[#This Row],[Previous Quartile]]="SecondQuartile", 2,
 IF(Table13[[#This Row],[Previous Quartile]]="ThirdQuartile", 3,
 IF(Table13[[#This Row],[Previous Quartile]]="FourthQuartile", 4, ""))))</f>
        <v>4</v>
      </c>
      <c r="I23" s="5" t="str">
        <f>IF(Table13[[#This Row],[Previous Quartile Value]]="", "",
   IF(Table13[[#This Row],[Quartile Value]] &lt; Table13[[#This Row],[Previous Quartile Value]], "Improved",
   IF(Table13[[#This Row],[Quartile Value]] &gt; Table13[[#This Row],[Previous Quartile Value]], "Dropped", "Same")))</f>
        <v>Same</v>
      </c>
      <c r="J23" s="7" t="s">
        <v>18</v>
      </c>
      <c r="K23" s="7" t="str">
        <f>VLOOKUP(J23,Introduction!$B$6:$C$14,2)</f>
        <v>Midlands</v>
      </c>
      <c r="L23" s="7">
        <v>381</v>
      </c>
      <c r="M23" s="8" t="s">
        <v>332</v>
      </c>
    </row>
    <row r="24" spans="1:13" ht="19.95" customHeight="1" x14ac:dyDescent="0.25">
      <c r="A24" s="40">
        <v>45474</v>
      </c>
      <c r="B24" s="46">
        <f>MONTH(Table13[[#This Row],[YearMonth]])</f>
        <v>7</v>
      </c>
      <c r="C24" s="5" t="s">
        <v>292</v>
      </c>
      <c r="D24" s="6" t="s">
        <v>350</v>
      </c>
      <c r="E24" s="6">
        <f>IF(Table13[[#This Row],[Quartile]]="TopQuartile", 1,
 IF(Table13[[#This Row],[Quartile]]="SecondQuartile", 2,
 IF(Table13[[#This Row],[Quartile]]="ThirdQuartile", 3,
 IF(Table13[[#This Row],[Quartile]]="FourthQuartile", 4, ""))))</f>
        <v>4</v>
      </c>
      <c r="F24" s="5" t="s">
        <v>357</v>
      </c>
      <c r="G24" s="5" t="str" cm="1">
        <f t="array" ref="G24">IFERROR(
  INDEX(Table13[Quartile],
    MATCH(1,
      (Table13[[#This Row],[OrgName]]=Table13[OrgName]) *
      (Table13[[#This Row],[Month Number]]-1=Table13[Month Number]),
    0)
  ),
"")</f>
        <v>FourthQuartile</v>
      </c>
      <c r="H24" s="5">
        <f>IF(Table13[[#This Row],[Previous Quartile]]="TopQuartile", 1,
 IF(Table13[[#This Row],[Previous Quartile]]="SecondQuartile", 2,
 IF(Table13[[#This Row],[Previous Quartile]]="ThirdQuartile", 3,
 IF(Table13[[#This Row],[Previous Quartile]]="FourthQuartile", 4, ""))))</f>
        <v>4</v>
      </c>
      <c r="I24" s="5" t="str">
        <f>IF(Table13[[#This Row],[Previous Quartile Value]]="", "",
   IF(Table13[[#This Row],[Quartile Value]] &lt; Table13[[#This Row],[Previous Quartile Value]], "Improved",
   IF(Table13[[#This Row],[Quartile Value]] &gt; Table13[[#This Row],[Previous Quartile Value]], "Dropped", "Same")))</f>
        <v>Same</v>
      </c>
      <c r="J24" s="7" t="s">
        <v>14</v>
      </c>
      <c r="K24" s="7" t="str">
        <f>VLOOKUP(J24,Introduction!$B$6:$C$14,2)</f>
        <v>South West</v>
      </c>
      <c r="L24" s="7">
        <v>156</v>
      </c>
      <c r="M24" s="8" t="s">
        <v>332</v>
      </c>
    </row>
    <row r="25" spans="1:13" ht="19.95" customHeight="1" x14ac:dyDescent="0.25">
      <c r="A25" s="40">
        <v>45474</v>
      </c>
      <c r="B25" s="46">
        <f>MONTH(Table13[[#This Row],[YearMonth]])</f>
        <v>7</v>
      </c>
      <c r="C25" s="5" t="s">
        <v>37</v>
      </c>
      <c r="D25" s="6" t="s">
        <v>330</v>
      </c>
      <c r="E25" s="6">
        <f>IF(Table13[[#This Row],[Quartile]]="TopQuartile", 1,
 IF(Table13[[#This Row],[Quartile]]="SecondQuartile", 2,
 IF(Table13[[#This Row],[Quartile]]="ThirdQuartile", 3,
 IF(Table13[[#This Row],[Quartile]]="FourthQuartile", 4, ""))))</f>
        <v>1</v>
      </c>
      <c r="F25" s="5" t="s">
        <v>358</v>
      </c>
      <c r="G25" s="5" t="str" cm="1">
        <f t="array" ref="G25">IFERROR(
  INDEX(Table13[Quartile],
    MATCH(1,
      (Table13[[#This Row],[OrgName]]=Table13[OrgName]) *
      (Table13[[#This Row],[Month Number]]-1=Table13[Month Number]),
    0)
  ),
"")</f>
        <v>TopQuartile</v>
      </c>
      <c r="H25" s="5">
        <f>IF(Table13[[#This Row],[Previous Quartile]]="TopQuartile", 1,
 IF(Table13[[#This Row],[Previous Quartile]]="SecondQuartile", 2,
 IF(Table13[[#This Row],[Previous Quartile]]="ThirdQuartile", 3,
 IF(Table13[[#This Row],[Previous Quartile]]="FourthQuartile", 4, ""))))</f>
        <v>1</v>
      </c>
      <c r="I25" s="5" t="str">
        <f>IF(Table13[[#This Row],[Previous Quartile Value]]="", "",
   IF(Table13[[#This Row],[Quartile Value]] &lt; Table13[[#This Row],[Previous Quartile Value]], "Improved",
   IF(Table13[[#This Row],[Quartile Value]] &gt; Table13[[#This Row],[Previous Quartile Value]], "Dropped", "Same")))</f>
        <v>Same</v>
      </c>
      <c r="J25" s="7" t="s">
        <v>18</v>
      </c>
      <c r="K25" s="7" t="str">
        <f>VLOOKUP(J25,Introduction!$B$6:$C$14,2)</f>
        <v>Midlands</v>
      </c>
      <c r="L25" s="7">
        <v>223</v>
      </c>
      <c r="M25" s="8" t="s">
        <v>359</v>
      </c>
    </row>
    <row r="26" spans="1:13" ht="19.95" customHeight="1" x14ac:dyDescent="0.25">
      <c r="A26" s="40">
        <v>45474</v>
      </c>
      <c r="B26" s="46">
        <f>MONTH(Table13[[#This Row],[YearMonth]])</f>
        <v>7</v>
      </c>
      <c r="C26" s="5" t="s">
        <v>50</v>
      </c>
      <c r="D26" s="6" t="s">
        <v>330</v>
      </c>
      <c r="E26" s="6">
        <f>IF(Table13[[#This Row],[Quartile]]="TopQuartile", 1,
 IF(Table13[[#This Row],[Quartile]]="SecondQuartile", 2,
 IF(Table13[[#This Row],[Quartile]]="ThirdQuartile", 3,
 IF(Table13[[#This Row],[Quartile]]="FourthQuartile", 4, ""))))</f>
        <v>1</v>
      </c>
      <c r="F26" s="5" t="s">
        <v>360</v>
      </c>
      <c r="G26" s="5" t="str" cm="1">
        <f t="array" ref="G26">IFERROR(
  INDEX(Table13[Quartile],
    MATCH(1,
      (Table13[[#This Row],[OrgName]]=Table13[OrgName]) *
      (Table13[[#This Row],[Month Number]]-1=Table13[Month Number]),
    0)
  ),
"")</f>
        <v>TopQuartile</v>
      </c>
      <c r="H26" s="5">
        <f>IF(Table13[[#This Row],[Previous Quartile]]="TopQuartile", 1,
 IF(Table13[[#This Row],[Previous Quartile]]="SecondQuartile", 2,
 IF(Table13[[#This Row],[Previous Quartile]]="ThirdQuartile", 3,
 IF(Table13[[#This Row],[Previous Quartile]]="FourthQuartile", 4, ""))))</f>
        <v>1</v>
      </c>
      <c r="I26" s="5" t="str">
        <f>IF(Table13[[#This Row],[Previous Quartile Value]]="", "",
   IF(Table13[[#This Row],[Quartile Value]] &lt; Table13[[#This Row],[Previous Quartile Value]], "Improved",
   IF(Table13[[#This Row],[Quartile Value]] &gt; Table13[[#This Row],[Previous Quartile Value]], "Dropped", "Same")))</f>
        <v>Same</v>
      </c>
      <c r="J26" s="7" t="s">
        <v>12</v>
      </c>
      <c r="K26" s="7" t="str">
        <f>VLOOKUP(J26,Introduction!$B$6:$C$14,2)</f>
        <v>London</v>
      </c>
      <c r="L26" s="7">
        <v>199</v>
      </c>
      <c r="M26" s="8" t="s">
        <v>359</v>
      </c>
    </row>
    <row r="27" spans="1:13" ht="19.95" customHeight="1" x14ac:dyDescent="0.25">
      <c r="A27" s="40">
        <v>45474</v>
      </c>
      <c r="B27" s="46">
        <f>MONTH(Table13[[#This Row],[YearMonth]])</f>
        <v>7</v>
      </c>
      <c r="C27" s="5" t="s">
        <v>54</v>
      </c>
      <c r="D27" s="6" t="s">
        <v>330</v>
      </c>
      <c r="E27" s="6">
        <f>IF(Table13[[#This Row],[Quartile]]="TopQuartile", 1,
 IF(Table13[[#This Row],[Quartile]]="SecondQuartile", 2,
 IF(Table13[[#This Row],[Quartile]]="ThirdQuartile", 3,
 IF(Table13[[#This Row],[Quartile]]="FourthQuartile", 4, ""))))</f>
        <v>1</v>
      </c>
      <c r="F27" s="5" t="s">
        <v>361</v>
      </c>
      <c r="G27" s="5" t="str" cm="1">
        <f t="array" ref="G27">IFERROR(
  INDEX(Table13[Quartile],
    MATCH(1,
      (Table13[[#This Row],[OrgName]]=Table13[OrgName]) *
      (Table13[[#This Row],[Month Number]]-1=Table13[Month Number]),
    0)
  ),
"")</f>
        <v>TopQuartile</v>
      </c>
      <c r="H27" s="5">
        <f>IF(Table13[[#This Row],[Previous Quartile]]="TopQuartile", 1,
 IF(Table13[[#This Row],[Previous Quartile]]="SecondQuartile", 2,
 IF(Table13[[#This Row],[Previous Quartile]]="ThirdQuartile", 3,
 IF(Table13[[#This Row],[Previous Quartile]]="FourthQuartile", 4, ""))))</f>
        <v>1</v>
      </c>
      <c r="I27" s="5" t="str">
        <f>IF(Table13[[#This Row],[Previous Quartile Value]]="", "",
   IF(Table13[[#This Row],[Quartile Value]] &lt; Table13[[#This Row],[Previous Quartile Value]], "Improved",
   IF(Table13[[#This Row],[Quartile Value]] &gt; Table13[[#This Row],[Previous Quartile Value]], "Dropped", "Same")))</f>
        <v>Same</v>
      </c>
      <c r="J27" s="7" t="s">
        <v>24</v>
      </c>
      <c r="K27" s="7" t="str">
        <f>VLOOKUP(J27,Introduction!$B$6:$C$14,2)</f>
        <v>North East and Yorkshire</v>
      </c>
      <c r="L27" s="7">
        <v>297</v>
      </c>
      <c r="M27" s="8" t="s">
        <v>359</v>
      </c>
    </row>
    <row r="28" spans="1:13" ht="19.95" customHeight="1" x14ac:dyDescent="0.25">
      <c r="A28" s="40">
        <v>45474</v>
      </c>
      <c r="B28" s="46">
        <f>MONTH(Table13[[#This Row],[YearMonth]])</f>
        <v>7</v>
      </c>
      <c r="C28" s="5" t="s">
        <v>55</v>
      </c>
      <c r="D28" s="6" t="s">
        <v>330</v>
      </c>
      <c r="E28" s="6">
        <f>IF(Table13[[#This Row],[Quartile]]="TopQuartile", 1,
 IF(Table13[[#This Row],[Quartile]]="SecondQuartile", 2,
 IF(Table13[[#This Row],[Quartile]]="ThirdQuartile", 3,
 IF(Table13[[#This Row],[Quartile]]="FourthQuartile", 4, ""))))</f>
        <v>1</v>
      </c>
      <c r="F28" s="5" t="s">
        <v>362</v>
      </c>
      <c r="G28" s="5" t="str" cm="1">
        <f t="array" ref="G28">IFERROR(
  INDEX(Table13[Quartile],
    MATCH(1,
      (Table13[[#This Row],[OrgName]]=Table13[OrgName]) *
      (Table13[[#This Row],[Month Number]]-1=Table13[Month Number]),
    0)
  ),
"")</f>
        <v>TopQuartile</v>
      </c>
      <c r="H28" s="5">
        <f>IF(Table13[[#This Row],[Previous Quartile]]="TopQuartile", 1,
 IF(Table13[[#This Row],[Previous Quartile]]="SecondQuartile", 2,
 IF(Table13[[#This Row],[Previous Quartile]]="ThirdQuartile", 3,
 IF(Table13[[#This Row],[Previous Quartile]]="FourthQuartile", 4, ""))))</f>
        <v>1</v>
      </c>
      <c r="I28" s="5" t="str">
        <f>IF(Table13[[#This Row],[Previous Quartile Value]]="", "",
   IF(Table13[[#This Row],[Quartile Value]] &lt; Table13[[#This Row],[Previous Quartile Value]], "Improved",
   IF(Table13[[#This Row],[Quartile Value]] &gt; Table13[[#This Row],[Previous Quartile Value]], "Dropped", "Same")))</f>
        <v>Same</v>
      </c>
      <c r="J28" s="7" t="s">
        <v>18</v>
      </c>
      <c r="K28" s="7" t="str">
        <f>VLOOKUP(J28,Introduction!$B$6:$C$14,2)</f>
        <v>Midlands</v>
      </c>
      <c r="L28" s="7">
        <v>214</v>
      </c>
      <c r="M28" s="8" t="s">
        <v>359</v>
      </c>
    </row>
    <row r="29" spans="1:13" ht="19.95" customHeight="1" x14ac:dyDescent="0.25">
      <c r="A29" s="40">
        <v>45474</v>
      </c>
      <c r="B29" s="46">
        <f>MONTH(Table13[[#This Row],[YearMonth]])</f>
        <v>7</v>
      </c>
      <c r="C29" s="5" t="s">
        <v>59</v>
      </c>
      <c r="D29" s="6" t="s">
        <v>330</v>
      </c>
      <c r="E29" s="6">
        <f>IF(Table13[[#This Row],[Quartile]]="TopQuartile", 1,
 IF(Table13[[#This Row],[Quartile]]="SecondQuartile", 2,
 IF(Table13[[#This Row],[Quartile]]="ThirdQuartile", 3,
 IF(Table13[[#This Row],[Quartile]]="FourthQuartile", 4, ""))))</f>
        <v>1</v>
      </c>
      <c r="F29" s="5" t="s">
        <v>363</v>
      </c>
      <c r="G29" s="5" t="str" cm="1">
        <f t="array" ref="G29">IFERROR(
  INDEX(Table13[Quartile],
    MATCH(1,
      (Table13[[#This Row],[OrgName]]=Table13[OrgName]) *
      (Table13[[#This Row],[Month Number]]-1=Table13[Month Number]),
    0)
  ),
"")</f>
        <v>TopQuartile</v>
      </c>
      <c r="H29" s="5">
        <f>IF(Table13[[#This Row],[Previous Quartile]]="TopQuartile", 1,
 IF(Table13[[#This Row],[Previous Quartile]]="SecondQuartile", 2,
 IF(Table13[[#This Row],[Previous Quartile]]="ThirdQuartile", 3,
 IF(Table13[[#This Row],[Previous Quartile]]="FourthQuartile", 4, ""))))</f>
        <v>1</v>
      </c>
      <c r="I29" s="5" t="str">
        <f>IF(Table13[[#This Row],[Previous Quartile Value]]="", "",
   IF(Table13[[#This Row],[Quartile Value]] &lt; Table13[[#This Row],[Previous Quartile Value]], "Improved",
   IF(Table13[[#This Row],[Quartile Value]] &gt; Table13[[#This Row],[Previous Quartile Value]], "Dropped", "Same")))</f>
        <v>Same</v>
      </c>
      <c r="J29" s="7" t="s">
        <v>24</v>
      </c>
      <c r="K29" s="7" t="str">
        <f>VLOOKUP(J29,Introduction!$B$6:$C$14,2)</f>
        <v>North East and Yorkshire</v>
      </c>
      <c r="L29" s="7">
        <v>208</v>
      </c>
      <c r="M29" s="8" t="s">
        <v>359</v>
      </c>
    </row>
    <row r="30" spans="1:13" ht="19.95" customHeight="1" x14ac:dyDescent="0.25">
      <c r="A30" s="40">
        <v>45474</v>
      </c>
      <c r="B30" s="46">
        <f>MONTH(Table13[[#This Row],[YearMonth]])</f>
        <v>7</v>
      </c>
      <c r="C30" s="5" t="s">
        <v>97</v>
      </c>
      <c r="D30" s="6" t="s">
        <v>330</v>
      </c>
      <c r="E30" s="6">
        <f>IF(Table13[[#This Row],[Quartile]]="TopQuartile", 1,
 IF(Table13[[#This Row],[Quartile]]="SecondQuartile", 2,
 IF(Table13[[#This Row],[Quartile]]="ThirdQuartile", 3,
 IF(Table13[[#This Row],[Quartile]]="FourthQuartile", 4, ""))))</f>
        <v>1</v>
      </c>
      <c r="F30" s="5" t="s">
        <v>364</v>
      </c>
      <c r="G30" s="5" t="str" cm="1">
        <f t="array" ref="G30">IFERROR(
  INDEX(Table13[Quartile],
    MATCH(1,
      (Table13[[#This Row],[OrgName]]=Table13[OrgName]) *
      (Table13[[#This Row],[Month Number]]-1=Table13[Month Number]),
    0)
  ),
"")</f>
        <v>SecondQuartile</v>
      </c>
      <c r="H30" s="5">
        <f>IF(Table13[[#This Row],[Previous Quartile]]="TopQuartile", 1,
 IF(Table13[[#This Row],[Previous Quartile]]="SecondQuartile", 2,
 IF(Table13[[#This Row],[Previous Quartile]]="ThirdQuartile", 3,
 IF(Table13[[#This Row],[Previous Quartile]]="FourthQuartile", 4, ""))))</f>
        <v>2</v>
      </c>
      <c r="I30" s="5" t="str">
        <f>IF(Table13[[#This Row],[Previous Quartile Value]]="", "",
   IF(Table13[[#This Row],[Quartile Value]] &lt; Table13[[#This Row],[Previous Quartile Value]], "Improved",
   IF(Table13[[#This Row],[Quartile Value]] &gt; Table13[[#This Row],[Previous Quartile Value]], "Dropped", "Same")))</f>
        <v>Improved</v>
      </c>
      <c r="J30" s="7" t="s">
        <v>14</v>
      </c>
      <c r="K30" s="7" t="str">
        <f>VLOOKUP(J30,Introduction!$B$6:$C$14,2)</f>
        <v>South West</v>
      </c>
      <c r="L30" s="7">
        <v>427</v>
      </c>
      <c r="M30" s="8" t="s">
        <v>359</v>
      </c>
    </row>
    <row r="31" spans="1:13" ht="19.95" customHeight="1" x14ac:dyDescent="0.25">
      <c r="A31" s="40">
        <v>45474</v>
      </c>
      <c r="B31" s="46">
        <f>MONTH(Table13[[#This Row],[YearMonth]])</f>
        <v>7</v>
      </c>
      <c r="C31" s="5" t="s">
        <v>105</v>
      </c>
      <c r="D31" s="6" t="s">
        <v>338</v>
      </c>
      <c r="E31" s="6">
        <f>IF(Table13[[#This Row],[Quartile]]="TopQuartile", 1,
 IF(Table13[[#This Row],[Quartile]]="SecondQuartile", 2,
 IF(Table13[[#This Row],[Quartile]]="ThirdQuartile", 3,
 IF(Table13[[#This Row],[Quartile]]="FourthQuartile", 4, ""))))</f>
        <v>2</v>
      </c>
      <c r="F31" s="5" t="s">
        <v>365</v>
      </c>
      <c r="G31" s="5" t="str" cm="1">
        <f t="array" ref="G31">IFERROR(
  INDEX(Table13[Quartile],
    MATCH(1,
      (Table13[[#This Row],[OrgName]]=Table13[OrgName]) *
      (Table13[[#This Row],[Month Number]]-1=Table13[Month Number]),
    0)
  ),
"")</f>
        <v>SecondQuartile</v>
      </c>
      <c r="H31" s="5">
        <f>IF(Table13[[#This Row],[Previous Quartile]]="TopQuartile", 1,
 IF(Table13[[#This Row],[Previous Quartile]]="SecondQuartile", 2,
 IF(Table13[[#This Row],[Previous Quartile]]="ThirdQuartile", 3,
 IF(Table13[[#This Row],[Previous Quartile]]="FourthQuartile", 4, ""))))</f>
        <v>2</v>
      </c>
      <c r="I31" s="5" t="str">
        <f>IF(Table13[[#This Row],[Previous Quartile Value]]="", "",
   IF(Table13[[#This Row],[Quartile Value]] &lt; Table13[[#This Row],[Previous Quartile Value]], "Improved",
   IF(Table13[[#This Row],[Quartile Value]] &gt; Table13[[#This Row],[Previous Quartile Value]], "Dropped", "Same")))</f>
        <v>Same</v>
      </c>
      <c r="J31" s="7" t="s">
        <v>12</v>
      </c>
      <c r="K31" s="7" t="str">
        <f>VLOOKUP(J31,Introduction!$B$6:$C$14,2)</f>
        <v>London</v>
      </c>
      <c r="L31" s="7">
        <v>396</v>
      </c>
      <c r="M31" s="8" t="s">
        <v>359</v>
      </c>
    </row>
    <row r="32" spans="1:13" ht="19.95" customHeight="1" x14ac:dyDescent="0.25">
      <c r="A32" s="40">
        <v>45474</v>
      </c>
      <c r="B32" s="46">
        <f>MONTH(Table13[[#This Row],[YearMonth]])</f>
        <v>7</v>
      </c>
      <c r="C32" s="5" t="s">
        <v>121</v>
      </c>
      <c r="D32" s="6" t="s">
        <v>338</v>
      </c>
      <c r="E32" s="6">
        <f>IF(Table13[[#This Row],[Quartile]]="TopQuartile", 1,
 IF(Table13[[#This Row],[Quartile]]="SecondQuartile", 2,
 IF(Table13[[#This Row],[Quartile]]="ThirdQuartile", 3,
 IF(Table13[[#This Row],[Quartile]]="FourthQuartile", 4, ""))))</f>
        <v>2</v>
      </c>
      <c r="F32" s="5" t="s">
        <v>366</v>
      </c>
      <c r="G32" s="5" t="str" cm="1">
        <f t="array" ref="G32">IFERROR(
  INDEX(Table13[Quartile],
    MATCH(1,
      (Table13[[#This Row],[OrgName]]=Table13[OrgName]) *
      (Table13[[#This Row],[Month Number]]-1=Table13[Month Number]),
    0)
  ),
"")</f>
        <v>SecondQuartile</v>
      </c>
      <c r="H32" s="5">
        <f>IF(Table13[[#This Row],[Previous Quartile]]="TopQuartile", 1,
 IF(Table13[[#This Row],[Previous Quartile]]="SecondQuartile", 2,
 IF(Table13[[#This Row],[Previous Quartile]]="ThirdQuartile", 3,
 IF(Table13[[#This Row],[Previous Quartile]]="FourthQuartile", 4, ""))))</f>
        <v>2</v>
      </c>
      <c r="I32" s="5" t="str">
        <f>IF(Table13[[#This Row],[Previous Quartile Value]]="", "",
   IF(Table13[[#This Row],[Quartile Value]] &lt; Table13[[#This Row],[Previous Quartile Value]], "Improved",
   IF(Table13[[#This Row],[Quartile Value]] &gt; Table13[[#This Row],[Previous Quartile Value]], "Dropped", "Same")))</f>
        <v>Same</v>
      </c>
      <c r="J32" s="7" t="s">
        <v>24</v>
      </c>
      <c r="K32" s="7" t="str">
        <f>VLOOKUP(J32,Introduction!$B$6:$C$14,2)</f>
        <v>North East and Yorkshire</v>
      </c>
      <c r="L32" s="7">
        <v>345</v>
      </c>
      <c r="M32" s="8" t="s">
        <v>359</v>
      </c>
    </row>
    <row r="33" spans="1:13" ht="19.95" customHeight="1" x14ac:dyDescent="0.25">
      <c r="A33" s="40">
        <v>45474</v>
      </c>
      <c r="B33" s="46">
        <f>MONTH(Table13[[#This Row],[YearMonth]])</f>
        <v>7</v>
      </c>
      <c r="C33" s="5" t="s">
        <v>129</v>
      </c>
      <c r="D33" s="6" t="s">
        <v>338</v>
      </c>
      <c r="E33" s="6">
        <f>IF(Table13[[#This Row],[Quartile]]="TopQuartile", 1,
 IF(Table13[[#This Row],[Quartile]]="SecondQuartile", 2,
 IF(Table13[[#This Row],[Quartile]]="ThirdQuartile", 3,
 IF(Table13[[#This Row],[Quartile]]="FourthQuartile", 4, ""))))</f>
        <v>2</v>
      </c>
      <c r="F33" s="5" t="s">
        <v>367</v>
      </c>
      <c r="G33" s="5" t="str" cm="1">
        <f t="array" ref="G33">IFERROR(
  INDEX(Table13[Quartile],
    MATCH(1,
      (Table13[[#This Row],[OrgName]]=Table13[OrgName]) *
      (Table13[[#This Row],[Month Number]]-1=Table13[Month Number]),
    0)
  ),
"")</f>
        <v>SecondQuartile</v>
      </c>
      <c r="H33" s="5">
        <f>IF(Table13[[#This Row],[Previous Quartile]]="TopQuartile", 1,
 IF(Table13[[#This Row],[Previous Quartile]]="SecondQuartile", 2,
 IF(Table13[[#This Row],[Previous Quartile]]="ThirdQuartile", 3,
 IF(Table13[[#This Row],[Previous Quartile]]="FourthQuartile", 4, ""))))</f>
        <v>2</v>
      </c>
      <c r="I33" s="5" t="str">
        <f>IF(Table13[[#This Row],[Previous Quartile Value]]="", "",
   IF(Table13[[#This Row],[Quartile Value]] &lt; Table13[[#This Row],[Previous Quartile Value]], "Improved",
   IF(Table13[[#This Row],[Quartile Value]] &gt; Table13[[#This Row],[Previous Quartile Value]], "Dropped", "Same")))</f>
        <v>Same</v>
      </c>
      <c r="J33" s="7" t="s">
        <v>18</v>
      </c>
      <c r="K33" s="7" t="str">
        <f>VLOOKUP(J33,Introduction!$B$6:$C$14,2)</f>
        <v>Midlands</v>
      </c>
      <c r="L33" s="7">
        <v>265</v>
      </c>
      <c r="M33" s="8" t="s">
        <v>359</v>
      </c>
    </row>
    <row r="34" spans="1:13" ht="19.95" customHeight="1" x14ac:dyDescent="0.25">
      <c r="A34" s="40">
        <v>45474</v>
      </c>
      <c r="B34" s="46">
        <f>MONTH(Table13[[#This Row],[YearMonth]])</f>
        <v>7</v>
      </c>
      <c r="C34" s="5" t="s">
        <v>136</v>
      </c>
      <c r="D34" s="6" t="s">
        <v>338</v>
      </c>
      <c r="E34" s="6">
        <f>IF(Table13[[#This Row],[Quartile]]="TopQuartile", 1,
 IF(Table13[[#This Row],[Quartile]]="SecondQuartile", 2,
 IF(Table13[[#This Row],[Quartile]]="ThirdQuartile", 3,
 IF(Table13[[#This Row],[Quartile]]="FourthQuartile", 4, ""))))</f>
        <v>2</v>
      </c>
      <c r="F34" s="5" t="s">
        <v>368</v>
      </c>
      <c r="G34" s="5" t="str" cm="1">
        <f t="array" ref="G34">IFERROR(
  INDEX(Table13[Quartile],
    MATCH(1,
      (Table13[[#This Row],[OrgName]]=Table13[OrgName]) *
      (Table13[[#This Row],[Month Number]]-1=Table13[Month Number]),
    0)
  ),
"")</f>
        <v>SecondQuartile</v>
      </c>
      <c r="H34" s="5">
        <f>IF(Table13[[#This Row],[Previous Quartile]]="TopQuartile", 1,
 IF(Table13[[#This Row],[Previous Quartile]]="SecondQuartile", 2,
 IF(Table13[[#This Row],[Previous Quartile]]="ThirdQuartile", 3,
 IF(Table13[[#This Row],[Previous Quartile]]="FourthQuartile", 4, ""))))</f>
        <v>2</v>
      </c>
      <c r="I34" s="5" t="str">
        <f>IF(Table13[[#This Row],[Previous Quartile Value]]="", "",
   IF(Table13[[#This Row],[Quartile Value]] &lt; Table13[[#This Row],[Previous Quartile Value]], "Improved",
   IF(Table13[[#This Row],[Quartile Value]] &gt; Table13[[#This Row],[Previous Quartile Value]], "Dropped", "Same")))</f>
        <v>Same</v>
      </c>
      <c r="J34" s="7" t="s">
        <v>16</v>
      </c>
      <c r="K34" s="7" t="str">
        <f>VLOOKUP(J34,Introduction!$B$6:$C$14,2)</f>
        <v>South East</v>
      </c>
      <c r="L34" s="7">
        <v>326</v>
      </c>
      <c r="M34" s="8" t="s">
        <v>359</v>
      </c>
    </row>
    <row r="35" spans="1:13" ht="19.95" customHeight="1" x14ac:dyDescent="0.25">
      <c r="A35" s="40">
        <v>45474</v>
      </c>
      <c r="B35" s="46">
        <f>MONTH(Table13[[#This Row],[YearMonth]])</f>
        <v>7</v>
      </c>
      <c r="C35" s="5" t="s">
        <v>143</v>
      </c>
      <c r="D35" s="6" t="s">
        <v>338</v>
      </c>
      <c r="E35" s="6">
        <f>IF(Table13[[#This Row],[Quartile]]="TopQuartile", 1,
 IF(Table13[[#This Row],[Quartile]]="SecondQuartile", 2,
 IF(Table13[[#This Row],[Quartile]]="ThirdQuartile", 3,
 IF(Table13[[#This Row],[Quartile]]="FourthQuartile", 4, ""))))</f>
        <v>2</v>
      </c>
      <c r="F35" s="5" t="s">
        <v>369</v>
      </c>
      <c r="G35" s="5" t="str" cm="1">
        <f t="array" ref="G35">IFERROR(
  INDEX(Table13[Quartile],
    MATCH(1,
      (Table13[[#This Row],[OrgName]]=Table13[OrgName]) *
      (Table13[[#This Row],[Month Number]]-1=Table13[Month Number]),
    0)
  ),
"")</f>
        <v>SecondQuartile</v>
      </c>
      <c r="H35" s="5">
        <f>IF(Table13[[#This Row],[Previous Quartile]]="TopQuartile", 1,
 IF(Table13[[#This Row],[Previous Quartile]]="SecondQuartile", 2,
 IF(Table13[[#This Row],[Previous Quartile]]="ThirdQuartile", 3,
 IF(Table13[[#This Row],[Previous Quartile]]="FourthQuartile", 4, ""))))</f>
        <v>2</v>
      </c>
      <c r="I35" s="5" t="str">
        <f>IF(Table13[[#This Row],[Previous Quartile Value]]="", "",
   IF(Table13[[#This Row],[Quartile Value]] &lt; Table13[[#This Row],[Previous Quartile Value]], "Improved",
   IF(Table13[[#This Row],[Quartile Value]] &gt; Table13[[#This Row],[Previous Quartile Value]], "Dropped", "Same")))</f>
        <v>Same</v>
      </c>
      <c r="J35" s="7" t="s">
        <v>16</v>
      </c>
      <c r="K35" s="7" t="str">
        <f>VLOOKUP(J35,Introduction!$B$6:$C$14,2)</f>
        <v>South East</v>
      </c>
      <c r="L35" s="7">
        <v>384</v>
      </c>
      <c r="M35" s="8" t="s">
        <v>359</v>
      </c>
    </row>
    <row r="36" spans="1:13" ht="19.95" customHeight="1" x14ac:dyDescent="0.25">
      <c r="A36" s="40">
        <v>45474</v>
      </c>
      <c r="B36" s="46">
        <f>MONTH(Table13[[#This Row],[YearMonth]])</f>
        <v>7</v>
      </c>
      <c r="C36" s="5" t="s">
        <v>169</v>
      </c>
      <c r="D36" s="6" t="s">
        <v>338</v>
      </c>
      <c r="E36" s="6">
        <f>IF(Table13[[#This Row],[Quartile]]="TopQuartile", 1,
 IF(Table13[[#This Row],[Quartile]]="SecondQuartile", 2,
 IF(Table13[[#This Row],[Quartile]]="ThirdQuartile", 3,
 IF(Table13[[#This Row],[Quartile]]="FourthQuartile", 4, ""))))</f>
        <v>2</v>
      </c>
      <c r="F36" s="5" t="s">
        <v>370</v>
      </c>
      <c r="G36" s="5" t="str" cm="1">
        <f t="array" ref="G36">IFERROR(
  INDEX(Table13[Quartile],
    MATCH(1,
      (Table13[[#This Row],[OrgName]]=Table13[OrgName]) *
      (Table13[[#This Row],[Month Number]]-1=Table13[Month Number]),
    0)
  ),
"")</f>
        <v>SecondQuartile</v>
      </c>
      <c r="H36" s="5">
        <f>IF(Table13[[#This Row],[Previous Quartile]]="TopQuartile", 1,
 IF(Table13[[#This Row],[Previous Quartile]]="SecondQuartile", 2,
 IF(Table13[[#This Row],[Previous Quartile]]="ThirdQuartile", 3,
 IF(Table13[[#This Row],[Previous Quartile]]="FourthQuartile", 4, ""))))</f>
        <v>2</v>
      </c>
      <c r="I36" s="5" t="str">
        <f>IF(Table13[[#This Row],[Previous Quartile Value]]="", "",
   IF(Table13[[#This Row],[Quartile Value]] &lt; Table13[[#This Row],[Previous Quartile Value]], "Improved",
   IF(Table13[[#This Row],[Quartile Value]] &gt; Table13[[#This Row],[Previous Quartile Value]], "Dropped", "Same")))</f>
        <v>Same</v>
      </c>
      <c r="J36" s="7" t="s">
        <v>16</v>
      </c>
      <c r="K36" s="7" t="str">
        <f>VLOOKUP(J36,Introduction!$B$6:$C$14,2)</f>
        <v>South East</v>
      </c>
      <c r="L36" s="7">
        <v>275</v>
      </c>
      <c r="M36" s="8" t="s">
        <v>359</v>
      </c>
    </row>
    <row r="37" spans="1:13" ht="19.95" customHeight="1" x14ac:dyDescent="0.25">
      <c r="A37" s="40">
        <v>45474</v>
      </c>
      <c r="B37" s="46">
        <f>MONTH(Table13[[#This Row],[YearMonth]])</f>
        <v>7</v>
      </c>
      <c r="C37" s="5" t="s">
        <v>173</v>
      </c>
      <c r="D37" s="6" t="s">
        <v>341</v>
      </c>
      <c r="E37" s="6">
        <f>IF(Table13[[#This Row],[Quartile]]="TopQuartile", 1,
 IF(Table13[[#This Row],[Quartile]]="SecondQuartile", 2,
 IF(Table13[[#This Row],[Quartile]]="ThirdQuartile", 3,
 IF(Table13[[#This Row],[Quartile]]="FourthQuartile", 4, ""))))</f>
        <v>3</v>
      </c>
      <c r="F37" s="5" t="s">
        <v>371</v>
      </c>
      <c r="G37" s="5" t="str" cm="1">
        <f t="array" ref="G37">IFERROR(
  INDEX(Table13[Quartile],
    MATCH(1,
      (Table13[[#This Row],[OrgName]]=Table13[OrgName]) *
      (Table13[[#This Row],[Month Number]]-1=Table13[Month Number]),
    0)
  ),
"")</f>
        <v>SecondQuartile</v>
      </c>
      <c r="H37" s="5">
        <f>IF(Table13[[#This Row],[Previous Quartile]]="TopQuartile", 1,
 IF(Table13[[#This Row],[Previous Quartile]]="SecondQuartile", 2,
 IF(Table13[[#This Row],[Previous Quartile]]="ThirdQuartile", 3,
 IF(Table13[[#This Row],[Previous Quartile]]="FourthQuartile", 4, ""))))</f>
        <v>2</v>
      </c>
      <c r="I37" s="5" t="str">
        <f>IF(Table13[[#This Row],[Previous Quartile Value]]="", "",
   IF(Table13[[#This Row],[Quartile Value]] &lt; Table13[[#This Row],[Previous Quartile Value]], "Improved",
   IF(Table13[[#This Row],[Quartile Value]] &gt; Table13[[#This Row],[Previous Quartile Value]], "Dropped", "Same")))</f>
        <v>Dropped</v>
      </c>
      <c r="J37" s="7" t="s">
        <v>22</v>
      </c>
      <c r="K37" s="7" t="str">
        <f>VLOOKUP(J37,Introduction!$B$6:$C$14,2)</f>
        <v>North West</v>
      </c>
      <c r="L37" s="7">
        <v>241</v>
      </c>
      <c r="M37" s="8" t="s">
        <v>359</v>
      </c>
    </row>
    <row r="38" spans="1:13" ht="19.95" customHeight="1" x14ac:dyDescent="0.25">
      <c r="A38" s="40">
        <v>45474</v>
      </c>
      <c r="B38" s="46">
        <f>MONTH(Table13[[#This Row],[YearMonth]])</f>
        <v>7</v>
      </c>
      <c r="C38" s="5" t="s">
        <v>188</v>
      </c>
      <c r="D38" s="6" t="s">
        <v>341</v>
      </c>
      <c r="E38" s="6">
        <f>IF(Table13[[#This Row],[Quartile]]="TopQuartile", 1,
 IF(Table13[[#This Row],[Quartile]]="SecondQuartile", 2,
 IF(Table13[[#This Row],[Quartile]]="ThirdQuartile", 3,
 IF(Table13[[#This Row],[Quartile]]="FourthQuartile", 4, ""))))</f>
        <v>3</v>
      </c>
      <c r="F38" s="5" t="s">
        <v>372</v>
      </c>
      <c r="G38" s="5" t="str" cm="1">
        <f t="array" ref="G38">IFERROR(
  INDEX(Table13[Quartile],
    MATCH(1,
      (Table13[[#This Row],[OrgName]]=Table13[OrgName]) *
      (Table13[[#This Row],[Month Number]]-1=Table13[Month Number]),
    0)
  ),
"")</f>
        <v>ThirdQuartile</v>
      </c>
      <c r="H38" s="5">
        <f>IF(Table13[[#This Row],[Previous Quartile]]="TopQuartile", 1,
 IF(Table13[[#This Row],[Previous Quartile]]="SecondQuartile", 2,
 IF(Table13[[#This Row],[Previous Quartile]]="ThirdQuartile", 3,
 IF(Table13[[#This Row],[Previous Quartile]]="FourthQuartile", 4, ""))))</f>
        <v>3</v>
      </c>
      <c r="I38" s="5" t="str">
        <f>IF(Table13[[#This Row],[Previous Quartile Value]]="", "",
   IF(Table13[[#This Row],[Quartile Value]] &lt; Table13[[#This Row],[Previous Quartile Value]], "Improved",
   IF(Table13[[#This Row],[Quartile Value]] &gt; Table13[[#This Row],[Previous Quartile Value]], "Dropped", "Same")))</f>
        <v>Same</v>
      </c>
      <c r="J38" s="7" t="s">
        <v>22</v>
      </c>
      <c r="K38" s="7" t="str">
        <f>VLOOKUP(J38,Introduction!$B$6:$C$14,2)</f>
        <v>North West</v>
      </c>
      <c r="L38" s="7">
        <v>362</v>
      </c>
      <c r="M38" s="8" t="s">
        <v>359</v>
      </c>
    </row>
    <row r="39" spans="1:13" ht="19.95" customHeight="1" x14ac:dyDescent="0.25">
      <c r="A39" s="40">
        <v>45474</v>
      </c>
      <c r="B39" s="46">
        <f>MONTH(Table13[[#This Row],[YearMonth]])</f>
        <v>7</v>
      </c>
      <c r="C39" s="5" t="s">
        <v>202</v>
      </c>
      <c r="D39" s="6" t="s">
        <v>341</v>
      </c>
      <c r="E39" s="6">
        <f>IF(Table13[[#This Row],[Quartile]]="TopQuartile", 1,
 IF(Table13[[#This Row],[Quartile]]="SecondQuartile", 2,
 IF(Table13[[#This Row],[Quartile]]="ThirdQuartile", 3,
 IF(Table13[[#This Row],[Quartile]]="FourthQuartile", 4, ""))))</f>
        <v>3</v>
      </c>
      <c r="F39" s="5" t="s">
        <v>373</v>
      </c>
      <c r="G39" s="5" t="str" cm="1">
        <f t="array" ref="G39">IFERROR(
  INDEX(Table13[Quartile],
    MATCH(1,
      (Table13[[#This Row],[OrgName]]=Table13[OrgName]) *
      (Table13[[#This Row],[Month Number]]-1=Table13[Month Number]),
    0)
  ),
"")</f>
        <v>ThirdQuartile</v>
      </c>
      <c r="H39" s="5">
        <f>IF(Table13[[#This Row],[Previous Quartile]]="TopQuartile", 1,
 IF(Table13[[#This Row],[Previous Quartile]]="SecondQuartile", 2,
 IF(Table13[[#This Row],[Previous Quartile]]="ThirdQuartile", 3,
 IF(Table13[[#This Row],[Previous Quartile]]="FourthQuartile", 4, ""))))</f>
        <v>3</v>
      </c>
      <c r="I39" s="5" t="str">
        <f>IF(Table13[[#This Row],[Previous Quartile Value]]="", "",
   IF(Table13[[#This Row],[Quartile Value]] &lt; Table13[[#This Row],[Previous Quartile Value]], "Improved",
   IF(Table13[[#This Row],[Quartile Value]] &gt; Table13[[#This Row],[Previous Quartile Value]], "Dropped", "Same")))</f>
        <v>Same</v>
      </c>
      <c r="J39" s="7" t="s">
        <v>24</v>
      </c>
      <c r="K39" s="7" t="str">
        <f>VLOOKUP(J39,Introduction!$B$6:$C$14,2)</f>
        <v>North East and Yorkshire</v>
      </c>
      <c r="L39" s="7">
        <v>262</v>
      </c>
      <c r="M39" s="8" t="s">
        <v>359</v>
      </c>
    </row>
    <row r="40" spans="1:13" ht="19.95" customHeight="1" x14ac:dyDescent="0.25">
      <c r="A40" s="40">
        <v>45474</v>
      </c>
      <c r="B40" s="46">
        <f>MONTH(Table13[[#This Row],[YearMonth]])</f>
        <v>7</v>
      </c>
      <c r="C40" s="5" t="s">
        <v>203</v>
      </c>
      <c r="D40" s="6" t="s">
        <v>341</v>
      </c>
      <c r="E40" s="6">
        <f>IF(Table13[[#This Row],[Quartile]]="TopQuartile", 1,
 IF(Table13[[#This Row],[Quartile]]="SecondQuartile", 2,
 IF(Table13[[#This Row],[Quartile]]="ThirdQuartile", 3,
 IF(Table13[[#This Row],[Quartile]]="FourthQuartile", 4, ""))))</f>
        <v>3</v>
      </c>
      <c r="F40" s="5" t="s">
        <v>374</v>
      </c>
      <c r="G40" s="5" t="str" cm="1">
        <f t="array" ref="G40">IFERROR(
  INDEX(Table13[Quartile],
    MATCH(1,
      (Table13[[#This Row],[OrgName]]=Table13[OrgName]) *
      (Table13[[#This Row],[Month Number]]-1=Table13[Month Number]),
    0)
  ),
"")</f>
        <v>ThirdQuartile</v>
      </c>
      <c r="H40" s="5">
        <f>IF(Table13[[#This Row],[Previous Quartile]]="TopQuartile", 1,
 IF(Table13[[#This Row],[Previous Quartile]]="SecondQuartile", 2,
 IF(Table13[[#This Row],[Previous Quartile]]="ThirdQuartile", 3,
 IF(Table13[[#This Row],[Previous Quartile]]="FourthQuartile", 4, ""))))</f>
        <v>3</v>
      </c>
      <c r="I40" s="5" t="str">
        <f>IF(Table13[[#This Row],[Previous Quartile Value]]="", "",
   IF(Table13[[#This Row],[Quartile Value]] &lt; Table13[[#This Row],[Previous Quartile Value]], "Improved",
   IF(Table13[[#This Row],[Quartile Value]] &gt; Table13[[#This Row],[Previous Quartile Value]], "Dropped", "Same")))</f>
        <v>Same</v>
      </c>
      <c r="J40" s="7" t="s">
        <v>20</v>
      </c>
      <c r="K40" s="7" t="str">
        <f>VLOOKUP(J40,Introduction!$B$6:$C$14,2)</f>
        <v>East of England</v>
      </c>
      <c r="L40" s="7">
        <v>418</v>
      </c>
      <c r="M40" s="8" t="s">
        <v>359</v>
      </c>
    </row>
    <row r="41" spans="1:13" ht="19.95" customHeight="1" x14ac:dyDescent="0.25">
      <c r="A41" s="40">
        <v>45474</v>
      </c>
      <c r="B41" s="46">
        <f>MONTH(Table13[[#This Row],[YearMonth]])</f>
        <v>7</v>
      </c>
      <c r="C41" s="5" t="s">
        <v>204</v>
      </c>
      <c r="D41" s="6" t="s">
        <v>341</v>
      </c>
      <c r="E41" s="6">
        <f>IF(Table13[[#This Row],[Quartile]]="TopQuartile", 1,
 IF(Table13[[#This Row],[Quartile]]="SecondQuartile", 2,
 IF(Table13[[#This Row],[Quartile]]="ThirdQuartile", 3,
 IF(Table13[[#This Row],[Quartile]]="FourthQuartile", 4, ""))))</f>
        <v>3</v>
      </c>
      <c r="F41" s="5" t="s">
        <v>375</v>
      </c>
      <c r="G41" s="5" t="str" cm="1">
        <f t="array" ref="G41">IFERROR(
  INDEX(Table13[Quartile],
    MATCH(1,
      (Table13[[#This Row],[OrgName]]=Table13[OrgName]) *
      (Table13[[#This Row],[Month Number]]-1=Table13[Month Number]),
    0)
  ),
"")</f>
        <v>ThirdQuartile</v>
      </c>
      <c r="H41" s="5">
        <f>IF(Table13[[#This Row],[Previous Quartile]]="TopQuartile", 1,
 IF(Table13[[#This Row],[Previous Quartile]]="SecondQuartile", 2,
 IF(Table13[[#This Row],[Previous Quartile]]="ThirdQuartile", 3,
 IF(Table13[[#This Row],[Previous Quartile]]="FourthQuartile", 4, ""))))</f>
        <v>3</v>
      </c>
      <c r="I41" s="5" t="str">
        <f>IF(Table13[[#This Row],[Previous Quartile Value]]="", "",
   IF(Table13[[#This Row],[Quartile Value]] &lt; Table13[[#This Row],[Previous Quartile Value]], "Improved",
   IF(Table13[[#This Row],[Quartile Value]] &gt; Table13[[#This Row],[Previous Quartile Value]], "Dropped", "Same")))</f>
        <v>Same</v>
      </c>
      <c r="J41" s="7" t="s">
        <v>14</v>
      </c>
      <c r="K41" s="7" t="str">
        <f>VLOOKUP(J41,Introduction!$B$6:$C$14,2)</f>
        <v>South West</v>
      </c>
      <c r="L41" s="7">
        <v>249</v>
      </c>
      <c r="M41" s="8" t="s">
        <v>359</v>
      </c>
    </row>
    <row r="42" spans="1:13" ht="19.95" customHeight="1" x14ac:dyDescent="0.25">
      <c r="A42" s="40">
        <v>45474</v>
      </c>
      <c r="B42" s="46">
        <f>MONTH(Table13[[#This Row],[YearMonth]])</f>
        <v>7</v>
      </c>
      <c r="C42" s="5" t="s">
        <v>227</v>
      </c>
      <c r="D42" s="6" t="s">
        <v>341</v>
      </c>
      <c r="E42" s="6">
        <f>IF(Table13[[#This Row],[Quartile]]="TopQuartile", 1,
 IF(Table13[[#This Row],[Quartile]]="SecondQuartile", 2,
 IF(Table13[[#This Row],[Quartile]]="ThirdQuartile", 3,
 IF(Table13[[#This Row],[Quartile]]="FourthQuartile", 4, ""))))</f>
        <v>3</v>
      </c>
      <c r="F42" s="5" t="s">
        <v>376</v>
      </c>
      <c r="G42" s="5" t="str" cm="1">
        <f t="array" ref="G42">IFERROR(
  INDEX(Table13[Quartile],
    MATCH(1,
      (Table13[[#This Row],[OrgName]]=Table13[OrgName]) *
      (Table13[[#This Row],[Month Number]]-1=Table13[Month Number]),
    0)
  ),
"")</f>
        <v>ThirdQuartile</v>
      </c>
      <c r="H42" s="5">
        <f>IF(Table13[[#This Row],[Previous Quartile]]="TopQuartile", 1,
 IF(Table13[[#This Row],[Previous Quartile]]="SecondQuartile", 2,
 IF(Table13[[#This Row],[Previous Quartile]]="ThirdQuartile", 3,
 IF(Table13[[#This Row],[Previous Quartile]]="FourthQuartile", 4, ""))))</f>
        <v>3</v>
      </c>
      <c r="I42" s="5" t="str">
        <f>IF(Table13[[#This Row],[Previous Quartile Value]]="", "",
   IF(Table13[[#This Row],[Quartile Value]] &lt; Table13[[#This Row],[Previous Quartile Value]], "Improved",
   IF(Table13[[#This Row],[Quartile Value]] &gt; Table13[[#This Row],[Previous Quartile Value]], "Dropped", "Same")))</f>
        <v>Same</v>
      </c>
      <c r="J42" s="7" t="s">
        <v>22</v>
      </c>
      <c r="K42" s="7" t="str">
        <f>VLOOKUP(J42,Introduction!$B$6:$C$14,2)</f>
        <v>North West</v>
      </c>
      <c r="L42" s="7">
        <v>302</v>
      </c>
      <c r="M42" s="8" t="s">
        <v>359</v>
      </c>
    </row>
    <row r="43" spans="1:13" ht="19.95" customHeight="1" x14ac:dyDescent="0.25">
      <c r="A43" s="40">
        <v>45474</v>
      </c>
      <c r="B43" s="46">
        <f>MONTH(Table13[[#This Row],[YearMonth]])</f>
        <v>7</v>
      </c>
      <c r="C43" s="5" t="s">
        <v>242</v>
      </c>
      <c r="D43" s="6" t="s">
        <v>341</v>
      </c>
      <c r="E43" s="6">
        <f>IF(Table13[[#This Row],[Quartile]]="TopQuartile", 1,
 IF(Table13[[#This Row],[Quartile]]="SecondQuartile", 2,
 IF(Table13[[#This Row],[Quartile]]="ThirdQuartile", 3,
 IF(Table13[[#This Row],[Quartile]]="FourthQuartile", 4, ""))))</f>
        <v>3</v>
      </c>
      <c r="F43" s="5" t="s">
        <v>377</v>
      </c>
      <c r="G43" s="5" t="str" cm="1">
        <f t="array" ref="G43">IFERROR(
  INDEX(Table13[Quartile],
    MATCH(1,
      (Table13[[#This Row],[OrgName]]=Table13[OrgName]) *
      (Table13[[#This Row],[Month Number]]-1=Table13[Month Number]),
    0)
  ),
"")</f>
        <v>ThirdQuartile</v>
      </c>
      <c r="H43" s="5">
        <f>IF(Table13[[#This Row],[Previous Quartile]]="TopQuartile", 1,
 IF(Table13[[#This Row],[Previous Quartile]]="SecondQuartile", 2,
 IF(Table13[[#This Row],[Previous Quartile]]="ThirdQuartile", 3,
 IF(Table13[[#This Row],[Previous Quartile]]="FourthQuartile", 4, ""))))</f>
        <v>3</v>
      </c>
      <c r="I43" s="5" t="str">
        <f>IF(Table13[[#This Row],[Previous Quartile Value]]="", "",
   IF(Table13[[#This Row],[Quartile Value]] &lt; Table13[[#This Row],[Previous Quartile Value]], "Improved",
   IF(Table13[[#This Row],[Quartile Value]] &gt; Table13[[#This Row],[Previous Quartile Value]], "Dropped", "Same")))</f>
        <v>Same</v>
      </c>
      <c r="J43" s="7" t="s">
        <v>16</v>
      </c>
      <c r="K43" s="7" t="str">
        <f>VLOOKUP(J43,Introduction!$B$6:$C$14,2)</f>
        <v>South East</v>
      </c>
      <c r="L43" s="7">
        <v>323</v>
      </c>
      <c r="M43" s="8" t="s">
        <v>359</v>
      </c>
    </row>
    <row r="44" spans="1:13" ht="19.95" customHeight="1" x14ac:dyDescent="0.25">
      <c r="A44" s="40">
        <v>45474</v>
      </c>
      <c r="B44" s="46">
        <f>MONTH(Table13[[#This Row],[YearMonth]])</f>
        <v>7</v>
      </c>
      <c r="C44" s="5" t="s">
        <v>252</v>
      </c>
      <c r="D44" s="6" t="s">
        <v>350</v>
      </c>
      <c r="E44" s="6">
        <f>IF(Table13[[#This Row],[Quartile]]="TopQuartile", 1,
 IF(Table13[[#This Row],[Quartile]]="SecondQuartile", 2,
 IF(Table13[[#This Row],[Quartile]]="ThirdQuartile", 3,
 IF(Table13[[#This Row],[Quartile]]="FourthQuartile", 4, ""))))</f>
        <v>4</v>
      </c>
      <c r="F44" s="5" t="s">
        <v>378</v>
      </c>
      <c r="G44" s="5" t="str" cm="1">
        <f t="array" ref="G44">IFERROR(
  INDEX(Table13[Quartile],
    MATCH(1,
      (Table13[[#This Row],[OrgName]]=Table13[OrgName]) *
      (Table13[[#This Row],[Month Number]]-1=Table13[Month Number]),
    0)
  ),
"")</f>
        <v>FourthQuartile</v>
      </c>
      <c r="H44" s="5">
        <f>IF(Table13[[#This Row],[Previous Quartile]]="TopQuartile", 1,
 IF(Table13[[#This Row],[Previous Quartile]]="SecondQuartile", 2,
 IF(Table13[[#This Row],[Previous Quartile]]="ThirdQuartile", 3,
 IF(Table13[[#This Row],[Previous Quartile]]="FourthQuartile", 4, ""))))</f>
        <v>4</v>
      </c>
      <c r="I44" s="5" t="str">
        <f>IF(Table13[[#This Row],[Previous Quartile Value]]="", "",
   IF(Table13[[#This Row],[Quartile Value]] &lt; Table13[[#This Row],[Previous Quartile Value]], "Improved",
   IF(Table13[[#This Row],[Quartile Value]] &gt; Table13[[#This Row],[Previous Quartile Value]], "Dropped", "Same")))</f>
        <v>Same</v>
      </c>
      <c r="J44" s="7" t="s">
        <v>18</v>
      </c>
      <c r="K44" s="7" t="str">
        <f>VLOOKUP(J44,Introduction!$B$6:$C$14,2)</f>
        <v>Midlands</v>
      </c>
      <c r="L44" s="7">
        <v>253</v>
      </c>
      <c r="M44" s="8" t="s">
        <v>359</v>
      </c>
    </row>
    <row r="45" spans="1:13" ht="19.95" customHeight="1" x14ac:dyDescent="0.25">
      <c r="A45" s="40">
        <v>45474</v>
      </c>
      <c r="B45" s="46">
        <f>MONTH(Table13[[#This Row],[YearMonth]])</f>
        <v>7</v>
      </c>
      <c r="C45" s="5" t="s">
        <v>104</v>
      </c>
      <c r="D45" s="6" t="s">
        <v>338</v>
      </c>
      <c r="E45" s="6">
        <f>IF(Table13[[#This Row],[Quartile]]="TopQuartile", 1,
 IF(Table13[[#This Row],[Quartile]]="SecondQuartile", 2,
 IF(Table13[[#This Row],[Quartile]]="ThirdQuartile", 3,
 IF(Table13[[#This Row],[Quartile]]="FourthQuartile", 4, ""))))</f>
        <v>2</v>
      </c>
      <c r="F45" s="5" t="s">
        <v>379</v>
      </c>
      <c r="G45" s="5" t="str" cm="1">
        <f t="array" ref="G45">IFERROR(
  INDEX(Table13[Quartile],
    MATCH(1,
      (Table13[[#This Row],[OrgName]]=Table13[OrgName]) *
      (Table13[[#This Row],[Month Number]]-1=Table13[Month Number]),
    0)
  ),
"")</f>
        <v>TopQuartile</v>
      </c>
      <c r="H45" s="5">
        <f>IF(Table13[[#This Row],[Previous Quartile]]="TopQuartile", 1,
 IF(Table13[[#This Row],[Previous Quartile]]="SecondQuartile", 2,
 IF(Table13[[#This Row],[Previous Quartile]]="ThirdQuartile", 3,
 IF(Table13[[#This Row],[Previous Quartile]]="FourthQuartile", 4, ""))))</f>
        <v>1</v>
      </c>
      <c r="I45" s="5" t="str">
        <f>IF(Table13[[#This Row],[Previous Quartile Value]]="", "",
   IF(Table13[[#This Row],[Quartile Value]] &lt; Table13[[#This Row],[Previous Quartile Value]], "Improved",
   IF(Table13[[#This Row],[Quartile Value]] &gt; Table13[[#This Row],[Previous Quartile Value]], "Dropped", "Same")))</f>
        <v>Dropped</v>
      </c>
      <c r="J45" s="7" t="s">
        <v>16</v>
      </c>
      <c r="K45" s="7" t="str">
        <f>VLOOKUP(J45,Introduction!$B$6:$C$14,2)</f>
        <v>South East</v>
      </c>
      <c r="L45" s="7">
        <v>434</v>
      </c>
      <c r="M45" s="8" t="s">
        <v>380</v>
      </c>
    </row>
    <row r="46" spans="1:13" ht="19.95" customHeight="1" x14ac:dyDescent="0.25">
      <c r="A46" s="40">
        <v>45474</v>
      </c>
      <c r="B46" s="46">
        <f>MONTH(Table13[[#This Row],[YearMonth]])</f>
        <v>7</v>
      </c>
      <c r="C46" s="5" t="s">
        <v>106</v>
      </c>
      <c r="D46" s="6" t="s">
        <v>338</v>
      </c>
      <c r="E46" s="6">
        <f>IF(Table13[[#This Row],[Quartile]]="TopQuartile", 1,
 IF(Table13[[#This Row],[Quartile]]="SecondQuartile", 2,
 IF(Table13[[#This Row],[Quartile]]="ThirdQuartile", 3,
 IF(Table13[[#This Row],[Quartile]]="FourthQuartile", 4, ""))))</f>
        <v>2</v>
      </c>
      <c r="F46" s="5" t="s">
        <v>381</v>
      </c>
      <c r="G46" s="5" t="str" cm="1">
        <f t="array" ref="G46">IFERROR(
  INDEX(Table13[Quartile],
    MATCH(1,
      (Table13[[#This Row],[OrgName]]=Table13[OrgName]) *
      (Table13[[#This Row],[Month Number]]-1=Table13[Month Number]),
    0)
  ),
"")</f>
        <v>SecondQuartile</v>
      </c>
      <c r="H46" s="5">
        <f>IF(Table13[[#This Row],[Previous Quartile]]="TopQuartile", 1,
 IF(Table13[[#This Row],[Previous Quartile]]="SecondQuartile", 2,
 IF(Table13[[#This Row],[Previous Quartile]]="ThirdQuartile", 3,
 IF(Table13[[#This Row],[Previous Quartile]]="FourthQuartile", 4, ""))))</f>
        <v>2</v>
      </c>
      <c r="I46" s="5" t="str">
        <f>IF(Table13[[#This Row],[Previous Quartile Value]]="", "",
   IF(Table13[[#This Row],[Quartile Value]] &lt; Table13[[#This Row],[Previous Quartile Value]], "Improved",
   IF(Table13[[#This Row],[Quartile Value]] &gt; Table13[[#This Row],[Previous Quartile Value]], "Dropped", "Same")))</f>
        <v>Same</v>
      </c>
      <c r="J46" s="7" t="s">
        <v>14</v>
      </c>
      <c r="K46" s="7" t="str">
        <f>VLOOKUP(J46,Introduction!$B$6:$C$14,2)</f>
        <v>South West</v>
      </c>
      <c r="L46" s="7">
        <v>388</v>
      </c>
      <c r="M46" s="8" t="s">
        <v>380</v>
      </c>
    </row>
    <row r="47" spans="1:13" ht="19.95" customHeight="1" x14ac:dyDescent="0.25">
      <c r="A47" s="40">
        <v>45474</v>
      </c>
      <c r="B47" s="46">
        <f>MONTH(Table13[[#This Row],[YearMonth]])</f>
        <v>7</v>
      </c>
      <c r="C47" s="5" t="s">
        <v>138</v>
      </c>
      <c r="D47" s="6" t="s">
        <v>338</v>
      </c>
      <c r="E47" s="6">
        <f>IF(Table13[[#This Row],[Quartile]]="TopQuartile", 1,
 IF(Table13[[#This Row],[Quartile]]="SecondQuartile", 2,
 IF(Table13[[#This Row],[Quartile]]="ThirdQuartile", 3,
 IF(Table13[[#This Row],[Quartile]]="FourthQuartile", 4, ""))))</f>
        <v>2</v>
      </c>
      <c r="F47" s="5" t="s">
        <v>382</v>
      </c>
      <c r="G47" s="5" t="str" cm="1">
        <f t="array" ref="G47">IFERROR(
  INDEX(Table13[Quartile],
    MATCH(1,
      (Table13[[#This Row],[OrgName]]=Table13[OrgName]) *
      (Table13[[#This Row],[Month Number]]-1=Table13[Month Number]),
    0)
  ),
"")</f>
        <v>TopQuartile</v>
      </c>
      <c r="H47" s="5">
        <f>IF(Table13[[#This Row],[Previous Quartile]]="TopQuartile", 1,
 IF(Table13[[#This Row],[Previous Quartile]]="SecondQuartile", 2,
 IF(Table13[[#This Row],[Previous Quartile]]="ThirdQuartile", 3,
 IF(Table13[[#This Row],[Previous Quartile]]="FourthQuartile", 4, ""))))</f>
        <v>1</v>
      </c>
      <c r="I47" s="5" t="str">
        <f>IF(Table13[[#This Row],[Previous Quartile Value]]="", "",
   IF(Table13[[#This Row],[Quartile Value]] &lt; Table13[[#This Row],[Previous Quartile Value]], "Improved",
   IF(Table13[[#This Row],[Quartile Value]] &gt; Table13[[#This Row],[Previous Quartile Value]], "Dropped", "Same")))</f>
        <v>Dropped</v>
      </c>
      <c r="J47" s="7" t="s">
        <v>24</v>
      </c>
      <c r="K47" s="7" t="str">
        <f>VLOOKUP(J47,Introduction!$B$6:$C$14,2)</f>
        <v>North East and Yorkshire</v>
      </c>
      <c r="L47" s="7">
        <v>439</v>
      </c>
      <c r="M47" s="8" t="s">
        <v>380</v>
      </c>
    </row>
    <row r="48" spans="1:13" ht="19.95" customHeight="1" x14ac:dyDescent="0.25">
      <c r="A48" s="40">
        <v>45474</v>
      </c>
      <c r="B48" s="46">
        <f>MONTH(Table13[[#This Row],[YearMonth]])</f>
        <v>7</v>
      </c>
      <c r="C48" s="5" t="s">
        <v>148</v>
      </c>
      <c r="D48" s="6" t="s">
        <v>338</v>
      </c>
      <c r="E48" s="6">
        <f>IF(Table13[[#This Row],[Quartile]]="TopQuartile", 1,
 IF(Table13[[#This Row],[Quartile]]="SecondQuartile", 2,
 IF(Table13[[#This Row],[Quartile]]="ThirdQuartile", 3,
 IF(Table13[[#This Row],[Quartile]]="FourthQuartile", 4, ""))))</f>
        <v>2</v>
      </c>
      <c r="F48" s="5" t="s">
        <v>383</v>
      </c>
      <c r="G48" s="5" t="str" cm="1">
        <f t="array" ref="G48">IFERROR(
  INDEX(Table13[Quartile],
    MATCH(1,
      (Table13[[#This Row],[OrgName]]=Table13[OrgName]) *
      (Table13[[#This Row],[Month Number]]-1=Table13[Month Number]),
    0)
  ),
"")</f>
        <v>SecondQuartile</v>
      </c>
      <c r="H48" s="5">
        <f>IF(Table13[[#This Row],[Previous Quartile]]="TopQuartile", 1,
 IF(Table13[[#This Row],[Previous Quartile]]="SecondQuartile", 2,
 IF(Table13[[#This Row],[Previous Quartile]]="ThirdQuartile", 3,
 IF(Table13[[#This Row],[Previous Quartile]]="FourthQuartile", 4, ""))))</f>
        <v>2</v>
      </c>
      <c r="I48" s="5" t="str">
        <f>IF(Table13[[#This Row],[Previous Quartile Value]]="", "",
   IF(Table13[[#This Row],[Quartile Value]] &lt; Table13[[#This Row],[Previous Quartile Value]], "Improved",
   IF(Table13[[#This Row],[Quartile Value]] &gt; Table13[[#This Row],[Previous Quartile Value]], "Dropped", "Same")))</f>
        <v>Same</v>
      </c>
      <c r="J48" s="7" t="s">
        <v>18</v>
      </c>
      <c r="K48" s="7" t="str">
        <f>VLOOKUP(J48,Introduction!$B$6:$C$14,2)</f>
        <v>Midlands</v>
      </c>
      <c r="L48" s="7">
        <v>229</v>
      </c>
      <c r="M48" s="8" t="s">
        <v>380</v>
      </c>
    </row>
    <row r="49" spans="1:13" ht="19.95" customHeight="1" x14ac:dyDescent="0.25">
      <c r="A49" s="40">
        <v>45474</v>
      </c>
      <c r="B49" s="46">
        <f>MONTH(Table13[[#This Row],[YearMonth]])</f>
        <v>7</v>
      </c>
      <c r="C49" s="5" t="s">
        <v>164</v>
      </c>
      <c r="D49" s="6" t="s">
        <v>338</v>
      </c>
      <c r="E49" s="6">
        <f>IF(Table13[[#This Row],[Quartile]]="TopQuartile", 1,
 IF(Table13[[#This Row],[Quartile]]="SecondQuartile", 2,
 IF(Table13[[#This Row],[Quartile]]="ThirdQuartile", 3,
 IF(Table13[[#This Row],[Quartile]]="FourthQuartile", 4, ""))))</f>
        <v>2</v>
      </c>
      <c r="F49" s="5" t="s">
        <v>384</v>
      </c>
      <c r="G49" s="5" t="str" cm="1">
        <f t="array" ref="G49">IFERROR(
  INDEX(Table13[Quartile],
    MATCH(1,
      (Table13[[#This Row],[OrgName]]=Table13[OrgName]) *
      (Table13[[#This Row],[Month Number]]-1=Table13[Month Number]),
    0)
  ),
"")</f>
        <v>SecondQuartile</v>
      </c>
      <c r="H49" s="5">
        <f>IF(Table13[[#This Row],[Previous Quartile]]="TopQuartile", 1,
 IF(Table13[[#This Row],[Previous Quartile]]="SecondQuartile", 2,
 IF(Table13[[#This Row],[Previous Quartile]]="ThirdQuartile", 3,
 IF(Table13[[#This Row],[Previous Quartile]]="FourthQuartile", 4, ""))))</f>
        <v>2</v>
      </c>
      <c r="I49" s="5" t="str">
        <f>IF(Table13[[#This Row],[Previous Quartile Value]]="", "",
   IF(Table13[[#This Row],[Quartile Value]] &lt; Table13[[#This Row],[Previous Quartile Value]], "Improved",
   IF(Table13[[#This Row],[Quartile Value]] &gt; Table13[[#This Row],[Previous Quartile Value]], "Dropped", "Same")))</f>
        <v>Same</v>
      </c>
      <c r="J49" s="7" t="s">
        <v>14</v>
      </c>
      <c r="K49" s="7" t="str">
        <f>VLOOKUP(J49,Introduction!$B$6:$C$14,2)</f>
        <v>South West</v>
      </c>
      <c r="L49" s="7">
        <v>184</v>
      </c>
      <c r="M49" s="8" t="s">
        <v>380</v>
      </c>
    </row>
    <row r="50" spans="1:13" ht="19.95" customHeight="1" x14ac:dyDescent="0.25">
      <c r="A50" s="40">
        <v>45474</v>
      </c>
      <c r="B50" s="46">
        <f>MONTH(Table13[[#This Row],[YearMonth]])</f>
        <v>7</v>
      </c>
      <c r="C50" s="5" t="s">
        <v>243</v>
      </c>
      <c r="D50" s="6" t="s">
        <v>341</v>
      </c>
      <c r="E50" s="6">
        <f>IF(Table13[[#This Row],[Quartile]]="TopQuartile", 1,
 IF(Table13[[#This Row],[Quartile]]="SecondQuartile", 2,
 IF(Table13[[#This Row],[Quartile]]="ThirdQuartile", 3,
 IF(Table13[[#This Row],[Quartile]]="FourthQuartile", 4, ""))))</f>
        <v>3</v>
      </c>
      <c r="F50" s="5" t="s">
        <v>385</v>
      </c>
      <c r="G50" s="5" t="str" cm="1">
        <f t="array" ref="G50">IFERROR(
  INDEX(Table13[Quartile],
    MATCH(1,
      (Table13[[#This Row],[OrgName]]=Table13[OrgName]) *
      (Table13[[#This Row],[Month Number]]-1=Table13[Month Number]),
    0)
  ),
"")</f>
        <v>SecondQuartile</v>
      </c>
      <c r="H50" s="5">
        <f>IF(Table13[[#This Row],[Previous Quartile]]="TopQuartile", 1,
 IF(Table13[[#This Row],[Previous Quartile]]="SecondQuartile", 2,
 IF(Table13[[#This Row],[Previous Quartile]]="ThirdQuartile", 3,
 IF(Table13[[#This Row],[Previous Quartile]]="FourthQuartile", 4, ""))))</f>
        <v>2</v>
      </c>
      <c r="I50" s="5" t="str">
        <f>IF(Table13[[#This Row],[Previous Quartile Value]]="", "",
   IF(Table13[[#This Row],[Quartile Value]] &lt; Table13[[#This Row],[Previous Quartile Value]], "Improved",
   IF(Table13[[#This Row],[Quartile Value]] &gt; Table13[[#This Row],[Previous Quartile Value]], "Dropped", "Same")))</f>
        <v>Dropped</v>
      </c>
      <c r="J50" s="7" t="s">
        <v>16</v>
      </c>
      <c r="K50" s="7" t="str">
        <f>VLOOKUP(J50,Introduction!$B$6:$C$14,2)</f>
        <v>South East</v>
      </c>
      <c r="L50" s="7">
        <v>470</v>
      </c>
      <c r="M50" s="8" t="s">
        <v>380</v>
      </c>
    </row>
    <row r="51" spans="1:13" ht="19.95" customHeight="1" x14ac:dyDescent="0.25">
      <c r="A51" s="40">
        <v>45474</v>
      </c>
      <c r="B51" s="46">
        <f>MONTH(Table13[[#This Row],[YearMonth]])</f>
        <v>7</v>
      </c>
      <c r="C51" s="5" t="s">
        <v>310</v>
      </c>
      <c r="D51" s="6" t="s">
        <v>350</v>
      </c>
      <c r="E51" s="6">
        <f>IF(Table13[[#This Row],[Quartile]]="TopQuartile", 1,
 IF(Table13[[#This Row],[Quartile]]="SecondQuartile", 2,
 IF(Table13[[#This Row],[Quartile]]="ThirdQuartile", 3,
 IF(Table13[[#This Row],[Quartile]]="FourthQuartile", 4, ""))))</f>
        <v>4</v>
      </c>
      <c r="F51" s="5" t="s">
        <v>386</v>
      </c>
      <c r="G51" s="5" t="str" cm="1">
        <f t="array" ref="G51">IFERROR(
  INDEX(Table13[Quartile],
    MATCH(1,
      (Table13[[#This Row],[OrgName]]=Table13[OrgName]) *
      (Table13[[#This Row],[Month Number]]-1=Table13[Month Number]),
    0)
  ),
"")</f>
        <v>FourthQuartile</v>
      </c>
      <c r="H51" s="5">
        <f>IF(Table13[[#This Row],[Previous Quartile]]="TopQuartile", 1,
 IF(Table13[[#This Row],[Previous Quartile]]="SecondQuartile", 2,
 IF(Table13[[#This Row],[Previous Quartile]]="ThirdQuartile", 3,
 IF(Table13[[#This Row],[Previous Quartile]]="FourthQuartile", 4, ""))))</f>
        <v>4</v>
      </c>
      <c r="I51" s="5" t="str">
        <f>IF(Table13[[#This Row],[Previous Quartile Value]]="", "",
   IF(Table13[[#This Row],[Quartile Value]] &lt; Table13[[#This Row],[Previous Quartile Value]], "Improved",
   IF(Table13[[#This Row],[Quartile Value]] &gt; Table13[[#This Row],[Previous Quartile Value]], "Dropped", "Same")))</f>
        <v>Same</v>
      </c>
      <c r="J51" s="7" t="s">
        <v>12</v>
      </c>
      <c r="K51" s="7" t="str">
        <f>VLOOKUP(J51,Introduction!$B$6:$C$14,2)</f>
        <v>London</v>
      </c>
      <c r="L51" s="7">
        <v>220</v>
      </c>
      <c r="M51" s="8" t="s">
        <v>380</v>
      </c>
    </row>
    <row r="52" spans="1:13" ht="19.95" customHeight="1" x14ac:dyDescent="0.25">
      <c r="A52" s="40">
        <v>45474</v>
      </c>
      <c r="B52" s="46">
        <f>MONTH(Table13[[#This Row],[YearMonth]])</f>
        <v>7</v>
      </c>
      <c r="C52" s="5" t="s">
        <v>39</v>
      </c>
      <c r="D52" s="6" t="s">
        <v>330</v>
      </c>
      <c r="E52" s="6">
        <f>IF(Table13[[#This Row],[Quartile]]="TopQuartile", 1,
 IF(Table13[[#This Row],[Quartile]]="SecondQuartile", 2,
 IF(Table13[[#This Row],[Quartile]]="ThirdQuartile", 3,
 IF(Table13[[#This Row],[Quartile]]="FourthQuartile", 4, ""))))</f>
        <v>1</v>
      </c>
      <c r="F52" s="5" t="s">
        <v>387</v>
      </c>
      <c r="G52" s="5" t="str" cm="1">
        <f t="array" ref="G52">IFERROR(
  INDEX(Table13[Quartile],
    MATCH(1,
      (Table13[[#This Row],[OrgName]]=Table13[OrgName]) *
      (Table13[[#This Row],[Month Number]]-1=Table13[Month Number]),
    0)
  ),
"")</f>
        <v>TopQuartile</v>
      </c>
      <c r="H52" s="5">
        <f>IF(Table13[[#This Row],[Previous Quartile]]="TopQuartile", 1,
 IF(Table13[[#This Row],[Previous Quartile]]="SecondQuartile", 2,
 IF(Table13[[#This Row],[Previous Quartile]]="ThirdQuartile", 3,
 IF(Table13[[#This Row],[Previous Quartile]]="FourthQuartile", 4, ""))))</f>
        <v>1</v>
      </c>
      <c r="I52" s="5" t="str">
        <f>IF(Table13[[#This Row],[Previous Quartile Value]]="", "",
   IF(Table13[[#This Row],[Quartile Value]] &lt; Table13[[#This Row],[Previous Quartile Value]], "Improved",
   IF(Table13[[#This Row],[Quartile Value]] &gt; Table13[[#This Row],[Previous Quartile Value]], "Dropped", "Same")))</f>
        <v>Same</v>
      </c>
      <c r="J52" s="7" t="s">
        <v>24</v>
      </c>
      <c r="K52" s="7" t="str">
        <f>VLOOKUP(J52,Introduction!$B$6:$C$14,2)</f>
        <v>North East and Yorkshire</v>
      </c>
      <c r="L52" s="7">
        <v>163</v>
      </c>
      <c r="M52" s="8" t="s">
        <v>388</v>
      </c>
    </row>
    <row r="53" spans="1:13" ht="19.95" customHeight="1" x14ac:dyDescent="0.25">
      <c r="A53" s="40">
        <v>45474</v>
      </c>
      <c r="B53" s="46">
        <f>MONTH(Table13[[#This Row],[YearMonth]])</f>
        <v>7</v>
      </c>
      <c r="C53" s="5" t="s">
        <v>43</v>
      </c>
      <c r="D53" s="6" t="s">
        <v>330</v>
      </c>
      <c r="E53" s="6">
        <f>IF(Table13[[#This Row],[Quartile]]="TopQuartile", 1,
 IF(Table13[[#This Row],[Quartile]]="SecondQuartile", 2,
 IF(Table13[[#This Row],[Quartile]]="ThirdQuartile", 3,
 IF(Table13[[#This Row],[Quartile]]="FourthQuartile", 4, ""))))</f>
        <v>1</v>
      </c>
      <c r="F53" s="5" t="s">
        <v>389</v>
      </c>
      <c r="G53" s="5" t="str" cm="1">
        <f t="array" ref="G53">IFERROR(
  INDEX(Table13[Quartile],
    MATCH(1,
      (Table13[[#This Row],[OrgName]]=Table13[OrgName]) *
      (Table13[[#This Row],[Month Number]]-1=Table13[Month Number]),
    0)
  ),
"")</f>
        <v>TopQuartile</v>
      </c>
      <c r="H53" s="5">
        <f>IF(Table13[[#This Row],[Previous Quartile]]="TopQuartile", 1,
 IF(Table13[[#This Row],[Previous Quartile]]="SecondQuartile", 2,
 IF(Table13[[#This Row],[Previous Quartile]]="ThirdQuartile", 3,
 IF(Table13[[#This Row],[Previous Quartile]]="FourthQuartile", 4, ""))))</f>
        <v>1</v>
      </c>
      <c r="I53" s="5" t="str">
        <f>IF(Table13[[#This Row],[Previous Quartile Value]]="", "",
   IF(Table13[[#This Row],[Quartile Value]] &lt; Table13[[#This Row],[Previous Quartile Value]], "Improved",
   IF(Table13[[#This Row],[Quartile Value]] &gt; Table13[[#This Row],[Previous Quartile Value]], "Dropped", "Same")))</f>
        <v>Same</v>
      </c>
      <c r="J53" s="7" t="s">
        <v>24</v>
      </c>
      <c r="K53" s="7" t="str">
        <f>VLOOKUP(J53,Introduction!$B$6:$C$14,2)</f>
        <v>North East and Yorkshire</v>
      </c>
      <c r="L53" s="7">
        <v>423</v>
      </c>
      <c r="M53" s="8" t="s">
        <v>388</v>
      </c>
    </row>
    <row r="54" spans="1:13" ht="19.95" customHeight="1" x14ac:dyDescent="0.25">
      <c r="A54" s="40">
        <v>45474</v>
      </c>
      <c r="B54" s="46">
        <f>MONTH(Table13[[#This Row],[YearMonth]])</f>
        <v>7</v>
      </c>
      <c r="C54" s="5" t="s">
        <v>53</v>
      </c>
      <c r="D54" s="6" t="s">
        <v>330</v>
      </c>
      <c r="E54" s="6">
        <f>IF(Table13[[#This Row],[Quartile]]="TopQuartile", 1,
 IF(Table13[[#This Row],[Quartile]]="SecondQuartile", 2,
 IF(Table13[[#This Row],[Quartile]]="ThirdQuartile", 3,
 IF(Table13[[#This Row],[Quartile]]="FourthQuartile", 4, ""))))</f>
        <v>1</v>
      </c>
      <c r="F54" s="5" t="s">
        <v>390</v>
      </c>
      <c r="G54" s="5" t="str" cm="1">
        <f t="array" ref="G54">IFERROR(
  INDEX(Table13[Quartile],
    MATCH(1,
      (Table13[[#This Row],[OrgName]]=Table13[OrgName]) *
      (Table13[[#This Row],[Month Number]]-1=Table13[Month Number]),
    0)
  ),
"")</f>
        <v>TopQuartile</v>
      </c>
      <c r="H54" s="5">
        <f>IF(Table13[[#This Row],[Previous Quartile]]="TopQuartile", 1,
 IF(Table13[[#This Row],[Previous Quartile]]="SecondQuartile", 2,
 IF(Table13[[#This Row],[Previous Quartile]]="ThirdQuartile", 3,
 IF(Table13[[#This Row],[Previous Quartile]]="FourthQuartile", 4, ""))))</f>
        <v>1</v>
      </c>
      <c r="I54" s="5" t="str">
        <f>IF(Table13[[#This Row],[Previous Quartile Value]]="", "",
   IF(Table13[[#This Row],[Quartile Value]] &lt; Table13[[#This Row],[Previous Quartile Value]], "Improved",
   IF(Table13[[#This Row],[Quartile Value]] &gt; Table13[[#This Row],[Previous Quartile Value]], "Dropped", "Same")))</f>
        <v>Same</v>
      </c>
      <c r="J54" s="7" t="s">
        <v>22</v>
      </c>
      <c r="K54" s="7" t="str">
        <f>VLOOKUP(J54,Introduction!$B$6:$C$14,2)</f>
        <v>North West</v>
      </c>
      <c r="L54" s="7">
        <v>209</v>
      </c>
      <c r="M54" s="8" t="s">
        <v>388</v>
      </c>
    </row>
    <row r="55" spans="1:13" ht="19.95" customHeight="1" x14ac:dyDescent="0.25">
      <c r="A55" s="40">
        <v>45474</v>
      </c>
      <c r="B55" s="46">
        <f>MONTH(Table13[[#This Row],[YearMonth]])</f>
        <v>7</v>
      </c>
      <c r="C55" s="5" t="s">
        <v>60</v>
      </c>
      <c r="D55" s="6" t="s">
        <v>330</v>
      </c>
      <c r="E55" s="6">
        <f>IF(Table13[[#This Row],[Quartile]]="TopQuartile", 1,
 IF(Table13[[#This Row],[Quartile]]="SecondQuartile", 2,
 IF(Table13[[#This Row],[Quartile]]="ThirdQuartile", 3,
 IF(Table13[[#This Row],[Quartile]]="FourthQuartile", 4, ""))))</f>
        <v>1</v>
      </c>
      <c r="F55" s="5" t="s">
        <v>391</v>
      </c>
      <c r="G55" s="5" t="str" cm="1">
        <f t="array" ref="G55">IFERROR(
  INDEX(Table13[Quartile],
    MATCH(1,
      (Table13[[#This Row],[OrgName]]=Table13[OrgName]) *
      (Table13[[#This Row],[Month Number]]-1=Table13[Month Number]),
    0)
  ),
"")</f>
        <v>TopQuartile</v>
      </c>
      <c r="H55" s="5">
        <f>IF(Table13[[#This Row],[Previous Quartile]]="TopQuartile", 1,
 IF(Table13[[#This Row],[Previous Quartile]]="SecondQuartile", 2,
 IF(Table13[[#This Row],[Previous Quartile]]="ThirdQuartile", 3,
 IF(Table13[[#This Row],[Previous Quartile]]="FourthQuartile", 4, ""))))</f>
        <v>1</v>
      </c>
      <c r="I55" s="5" t="str">
        <f>IF(Table13[[#This Row],[Previous Quartile Value]]="", "",
   IF(Table13[[#This Row],[Quartile Value]] &lt; Table13[[#This Row],[Previous Quartile Value]], "Improved",
   IF(Table13[[#This Row],[Quartile Value]] &gt; Table13[[#This Row],[Previous Quartile Value]], "Dropped", "Same")))</f>
        <v>Same</v>
      </c>
      <c r="J55" s="7" t="s">
        <v>18</v>
      </c>
      <c r="K55" s="7" t="str">
        <f>VLOOKUP(J55,Introduction!$B$6:$C$14,2)</f>
        <v>Midlands</v>
      </c>
      <c r="L55" s="7">
        <v>166</v>
      </c>
      <c r="M55" s="8" t="s">
        <v>388</v>
      </c>
    </row>
    <row r="56" spans="1:13" ht="19.95" customHeight="1" x14ac:dyDescent="0.25">
      <c r="A56" s="40">
        <v>45474</v>
      </c>
      <c r="B56" s="46">
        <f>MONTH(Table13[[#This Row],[YearMonth]])</f>
        <v>7</v>
      </c>
      <c r="C56" s="5" t="s">
        <v>61</v>
      </c>
      <c r="D56" s="6" t="s">
        <v>330</v>
      </c>
      <c r="E56" s="6">
        <f>IF(Table13[[#This Row],[Quartile]]="TopQuartile", 1,
 IF(Table13[[#This Row],[Quartile]]="SecondQuartile", 2,
 IF(Table13[[#This Row],[Quartile]]="ThirdQuartile", 3,
 IF(Table13[[#This Row],[Quartile]]="FourthQuartile", 4, ""))))</f>
        <v>1</v>
      </c>
      <c r="F56" s="5" t="s">
        <v>392</v>
      </c>
      <c r="G56" s="5" t="str" cm="1">
        <f t="array" ref="G56">IFERROR(
  INDEX(Table13[Quartile],
    MATCH(1,
      (Table13[[#This Row],[OrgName]]=Table13[OrgName]) *
      (Table13[[#This Row],[Month Number]]-1=Table13[Month Number]),
    0)
  ),
"")</f>
        <v>TopQuartile</v>
      </c>
      <c r="H56" s="5">
        <f>IF(Table13[[#This Row],[Previous Quartile]]="TopQuartile", 1,
 IF(Table13[[#This Row],[Previous Quartile]]="SecondQuartile", 2,
 IF(Table13[[#This Row],[Previous Quartile]]="ThirdQuartile", 3,
 IF(Table13[[#This Row],[Previous Quartile]]="FourthQuartile", 4, ""))))</f>
        <v>1</v>
      </c>
      <c r="I56" s="5" t="str">
        <f>IF(Table13[[#This Row],[Previous Quartile Value]]="", "",
   IF(Table13[[#This Row],[Quartile Value]] &lt; Table13[[#This Row],[Previous Quartile Value]], "Improved",
   IF(Table13[[#This Row],[Quartile Value]] &gt; Table13[[#This Row],[Previous Quartile Value]], "Dropped", "Same")))</f>
        <v>Same</v>
      </c>
      <c r="J56" s="7" t="s">
        <v>20</v>
      </c>
      <c r="K56" s="7" t="str">
        <f>VLOOKUP(J56,Introduction!$B$6:$C$14,2)</f>
        <v>East of England</v>
      </c>
      <c r="L56" s="7">
        <v>426</v>
      </c>
      <c r="M56" s="8" t="s">
        <v>388</v>
      </c>
    </row>
    <row r="57" spans="1:13" ht="19.95" customHeight="1" x14ac:dyDescent="0.25">
      <c r="A57" s="40">
        <v>45474</v>
      </c>
      <c r="B57" s="46">
        <f>MONTH(Table13[[#This Row],[YearMonth]])</f>
        <v>7</v>
      </c>
      <c r="C57" s="5" t="s">
        <v>68</v>
      </c>
      <c r="D57" s="6" t="s">
        <v>330</v>
      </c>
      <c r="E57" s="6">
        <f>IF(Table13[[#This Row],[Quartile]]="TopQuartile", 1,
 IF(Table13[[#This Row],[Quartile]]="SecondQuartile", 2,
 IF(Table13[[#This Row],[Quartile]]="ThirdQuartile", 3,
 IF(Table13[[#This Row],[Quartile]]="FourthQuartile", 4, ""))))</f>
        <v>1</v>
      </c>
      <c r="F57" s="5" t="s">
        <v>393</v>
      </c>
      <c r="G57" s="5" t="str" cm="1">
        <f t="array" ref="G57">IFERROR(
  INDEX(Table13[Quartile],
    MATCH(1,
      (Table13[[#This Row],[OrgName]]=Table13[OrgName]) *
      (Table13[[#This Row],[Month Number]]-1=Table13[Month Number]),
    0)
  ),
"")</f>
        <v>TopQuartile</v>
      </c>
      <c r="H57" s="5">
        <f>IF(Table13[[#This Row],[Previous Quartile]]="TopQuartile", 1,
 IF(Table13[[#This Row],[Previous Quartile]]="SecondQuartile", 2,
 IF(Table13[[#This Row],[Previous Quartile]]="ThirdQuartile", 3,
 IF(Table13[[#This Row],[Previous Quartile]]="FourthQuartile", 4, ""))))</f>
        <v>1</v>
      </c>
      <c r="I57" s="5" t="str">
        <f>IF(Table13[[#This Row],[Previous Quartile Value]]="", "",
   IF(Table13[[#This Row],[Quartile Value]] &lt; Table13[[#This Row],[Previous Quartile Value]], "Improved",
   IF(Table13[[#This Row],[Quartile Value]] &gt; Table13[[#This Row],[Previous Quartile Value]], "Dropped", "Same")))</f>
        <v>Same</v>
      </c>
      <c r="J57" s="7" t="s">
        <v>24</v>
      </c>
      <c r="K57" s="7" t="str">
        <f>VLOOKUP(J57,Introduction!$B$6:$C$14,2)</f>
        <v>North East and Yorkshire</v>
      </c>
      <c r="L57" s="7">
        <v>165</v>
      </c>
      <c r="M57" s="8" t="s">
        <v>388</v>
      </c>
    </row>
    <row r="58" spans="1:13" ht="19.95" customHeight="1" x14ac:dyDescent="0.25">
      <c r="A58" s="40">
        <v>45474</v>
      </c>
      <c r="B58" s="46">
        <f>MONTH(Table13[[#This Row],[YearMonth]])</f>
        <v>7</v>
      </c>
      <c r="C58" s="5" t="s">
        <v>75</v>
      </c>
      <c r="D58" s="6" t="s">
        <v>330</v>
      </c>
      <c r="E58" s="6">
        <f>IF(Table13[[#This Row],[Quartile]]="TopQuartile", 1,
 IF(Table13[[#This Row],[Quartile]]="SecondQuartile", 2,
 IF(Table13[[#This Row],[Quartile]]="ThirdQuartile", 3,
 IF(Table13[[#This Row],[Quartile]]="FourthQuartile", 4, ""))))</f>
        <v>1</v>
      </c>
      <c r="F58" s="5" t="s">
        <v>394</v>
      </c>
      <c r="G58" s="5" t="str" cm="1">
        <f t="array" ref="G58">IFERROR(
  INDEX(Table13[Quartile],
    MATCH(1,
      (Table13[[#This Row],[OrgName]]=Table13[OrgName]) *
      (Table13[[#This Row],[Month Number]]-1=Table13[Month Number]),
    0)
  ),
"")</f>
        <v>TopQuartile</v>
      </c>
      <c r="H58" s="5">
        <f>IF(Table13[[#This Row],[Previous Quartile]]="TopQuartile", 1,
 IF(Table13[[#This Row],[Previous Quartile]]="SecondQuartile", 2,
 IF(Table13[[#This Row],[Previous Quartile]]="ThirdQuartile", 3,
 IF(Table13[[#This Row],[Previous Quartile]]="FourthQuartile", 4, ""))))</f>
        <v>1</v>
      </c>
      <c r="I58" s="5" t="str">
        <f>IF(Table13[[#This Row],[Previous Quartile Value]]="", "",
   IF(Table13[[#This Row],[Quartile Value]] &lt; Table13[[#This Row],[Previous Quartile Value]], "Improved",
   IF(Table13[[#This Row],[Quartile Value]] &gt; Table13[[#This Row],[Previous Quartile Value]], "Dropped", "Same")))</f>
        <v>Same</v>
      </c>
      <c r="J58" s="7" t="s">
        <v>16</v>
      </c>
      <c r="K58" s="7" t="str">
        <f>VLOOKUP(J58,Introduction!$B$6:$C$14,2)</f>
        <v>South East</v>
      </c>
      <c r="L58" s="7">
        <v>252</v>
      </c>
      <c r="M58" s="8" t="s">
        <v>388</v>
      </c>
    </row>
    <row r="59" spans="1:13" ht="19.95" customHeight="1" x14ac:dyDescent="0.25">
      <c r="A59" s="40">
        <v>45474</v>
      </c>
      <c r="B59" s="46">
        <f>MONTH(Table13[[#This Row],[YearMonth]])</f>
        <v>7</v>
      </c>
      <c r="C59" s="5" t="s">
        <v>122</v>
      </c>
      <c r="D59" s="6" t="s">
        <v>338</v>
      </c>
      <c r="E59" s="6">
        <f>IF(Table13[[#This Row],[Quartile]]="TopQuartile", 1,
 IF(Table13[[#This Row],[Quartile]]="SecondQuartile", 2,
 IF(Table13[[#This Row],[Quartile]]="ThirdQuartile", 3,
 IF(Table13[[#This Row],[Quartile]]="FourthQuartile", 4, ""))))</f>
        <v>2</v>
      </c>
      <c r="F59" s="5" t="s">
        <v>395</v>
      </c>
      <c r="G59" s="5" t="str" cm="1">
        <f t="array" ref="G59">IFERROR(
  INDEX(Table13[Quartile],
    MATCH(1,
      (Table13[[#This Row],[OrgName]]=Table13[OrgName]) *
      (Table13[[#This Row],[Month Number]]-1=Table13[Month Number]),
    0)
  ),
"")</f>
        <v>SecondQuartile</v>
      </c>
      <c r="H59" s="5">
        <f>IF(Table13[[#This Row],[Previous Quartile]]="TopQuartile", 1,
 IF(Table13[[#This Row],[Previous Quartile]]="SecondQuartile", 2,
 IF(Table13[[#This Row],[Previous Quartile]]="ThirdQuartile", 3,
 IF(Table13[[#This Row],[Previous Quartile]]="FourthQuartile", 4, ""))))</f>
        <v>2</v>
      </c>
      <c r="I59" s="5" t="str">
        <f>IF(Table13[[#This Row],[Previous Quartile Value]]="", "",
   IF(Table13[[#This Row],[Quartile Value]] &lt; Table13[[#This Row],[Previous Quartile Value]], "Improved",
   IF(Table13[[#This Row],[Quartile Value]] &gt; Table13[[#This Row],[Previous Quartile Value]], "Dropped", "Same")))</f>
        <v>Same</v>
      </c>
      <c r="J59" s="7" t="s">
        <v>24</v>
      </c>
      <c r="K59" s="7" t="str">
        <f>VLOOKUP(J59,Introduction!$B$6:$C$14,2)</f>
        <v>North East and Yorkshire</v>
      </c>
      <c r="L59" s="7">
        <v>421</v>
      </c>
      <c r="M59" s="8" t="s">
        <v>388</v>
      </c>
    </row>
    <row r="60" spans="1:13" ht="19.95" customHeight="1" x14ac:dyDescent="0.25">
      <c r="A60" s="40">
        <v>45474</v>
      </c>
      <c r="B60" s="46">
        <f>MONTH(Table13[[#This Row],[YearMonth]])</f>
        <v>7</v>
      </c>
      <c r="C60" s="5" t="s">
        <v>127</v>
      </c>
      <c r="D60" s="6" t="s">
        <v>338</v>
      </c>
      <c r="E60" s="6">
        <f>IF(Table13[[#This Row],[Quartile]]="TopQuartile", 1,
 IF(Table13[[#This Row],[Quartile]]="SecondQuartile", 2,
 IF(Table13[[#This Row],[Quartile]]="ThirdQuartile", 3,
 IF(Table13[[#This Row],[Quartile]]="FourthQuartile", 4, ""))))</f>
        <v>2</v>
      </c>
      <c r="F60" s="5" t="s">
        <v>396</v>
      </c>
      <c r="G60" s="5" t="str" cm="1">
        <f t="array" ref="G60">IFERROR(
  INDEX(Table13[Quartile],
    MATCH(1,
      (Table13[[#This Row],[OrgName]]=Table13[OrgName]) *
      (Table13[[#This Row],[Month Number]]-1=Table13[Month Number]),
    0)
  ),
"")</f>
        <v>SecondQuartile</v>
      </c>
      <c r="H60" s="5">
        <f>IF(Table13[[#This Row],[Previous Quartile]]="TopQuartile", 1,
 IF(Table13[[#This Row],[Previous Quartile]]="SecondQuartile", 2,
 IF(Table13[[#This Row],[Previous Quartile]]="ThirdQuartile", 3,
 IF(Table13[[#This Row],[Previous Quartile]]="FourthQuartile", 4, ""))))</f>
        <v>2</v>
      </c>
      <c r="I60" s="5" t="str">
        <f>IF(Table13[[#This Row],[Previous Quartile Value]]="", "",
   IF(Table13[[#This Row],[Quartile Value]] &lt; Table13[[#This Row],[Previous Quartile Value]], "Improved",
   IF(Table13[[#This Row],[Quartile Value]] &gt; Table13[[#This Row],[Previous Quartile Value]], "Dropped", "Same")))</f>
        <v>Same</v>
      </c>
      <c r="J60" s="7" t="s">
        <v>22</v>
      </c>
      <c r="K60" s="7" t="str">
        <f>VLOOKUP(J60,Introduction!$B$6:$C$14,2)</f>
        <v>North West</v>
      </c>
      <c r="L60" s="7">
        <v>210</v>
      </c>
      <c r="M60" s="8" t="s">
        <v>388</v>
      </c>
    </row>
    <row r="61" spans="1:13" ht="19.95" customHeight="1" x14ac:dyDescent="0.25">
      <c r="A61" s="40">
        <v>45474</v>
      </c>
      <c r="B61" s="46">
        <f>MONTH(Table13[[#This Row],[YearMonth]])</f>
        <v>7</v>
      </c>
      <c r="C61" s="5" t="s">
        <v>135</v>
      </c>
      <c r="D61" s="6" t="s">
        <v>338</v>
      </c>
      <c r="E61" s="6">
        <f>IF(Table13[[#This Row],[Quartile]]="TopQuartile", 1,
 IF(Table13[[#This Row],[Quartile]]="SecondQuartile", 2,
 IF(Table13[[#This Row],[Quartile]]="ThirdQuartile", 3,
 IF(Table13[[#This Row],[Quartile]]="FourthQuartile", 4, ""))))</f>
        <v>2</v>
      </c>
      <c r="F61" s="5" t="s">
        <v>397</v>
      </c>
      <c r="G61" s="5" t="str" cm="1">
        <f t="array" ref="G61">IFERROR(
  INDEX(Table13[Quartile],
    MATCH(1,
      (Table13[[#This Row],[OrgName]]=Table13[OrgName]) *
      (Table13[[#This Row],[Month Number]]-1=Table13[Month Number]),
    0)
  ),
"")</f>
        <v>SecondQuartile</v>
      </c>
      <c r="H61" s="5">
        <f>IF(Table13[[#This Row],[Previous Quartile]]="TopQuartile", 1,
 IF(Table13[[#This Row],[Previous Quartile]]="SecondQuartile", 2,
 IF(Table13[[#This Row],[Previous Quartile]]="ThirdQuartile", 3,
 IF(Table13[[#This Row],[Previous Quartile]]="FourthQuartile", 4, ""))))</f>
        <v>2</v>
      </c>
      <c r="I61" s="5" t="str">
        <f>IF(Table13[[#This Row],[Previous Quartile Value]]="", "",
   IF(Table13[[#This Row],[Quartile Value]] &lt; Table13[[#This Row],[Previous Quartile Value]], "Improved",
   IF(Table13[[#This Row],[Quartile Value]] &gt; Table13[[#This Row],[Previous Quartile Value]], "Dropped", "Same")))</f>
        <v>Same</v>
      </c>
      <c r="J61" s="7" t="s">
        <v>18</v>
      </c>
      <c r="K61" s="7" t="str">
        <f>VLOOKUP(J61,Introduction!$B$6:$C$14,2)</f>
        <v>Midlands</v>
      </c>
      <c r="L61" s="7">
        <v>264</v>
      </c>
      <c r="M61" s="8" t="s">
        <v>388</v>
      </c>
    </row>
    <row r="62" spans="1:13" ht="19.95" customHeight="1" x14ac:dyDescent="0.25">
      <c r="A62" s="40">
        <v>45474</v>
      </c>
      <c r="B62" s="46">
        <f>MONTH(Table13[[#This Row],[YearMonth]])</f>
        <v>7</v>
      </c>
      <c r="C62" s="5" t="s">
        <v>209</v>
      </c>
      <c r="D62" s="6" t="s">
        <v>341</v>
      </c>
      <c r="E62" s="6">
        <f>IF(Table13[[#This Row],[Quartile]]="TopQuartile", 1,
 IF(Table13[[#This Row],[Quartile]]="SecondQuartile", 2,
 IF(Table13[[#This Row],[Quartile]]="ThirdQuartile", 3,
 IF(Table13[[#This Row],[Quartile]]="FourthQuartile", 4, ""))))</f>
        <v>3</v>
      </c>
      <c r="F62" s="5" t="s">
        <v>398</v>
      </c>
      <c r="G62" s="5" t="str" cm="1">
        <f t="array" ref="G62">IFERROR(
  INDEX(Table13[Quartile],
    MATCH(1,
      (Table13[[#This Row],[OrgName]]=Table13[OrgName]) *
      (Table13[[#This Row],[Month Number]]-1=Table13[Month Number]),
    0)
  ),
"")</f>
        <v>ThirdQuartile</v>
      </c>
      <c r="H62" s="5">
        <f>IF(Table13[[#This Row],[Previous Quartile]]="TopQuartile", 1,
 IF(Table13[[#This Row],[Previous Quartile]]="SecondQuartile", 2,
 IF(Table13[[#This Row],[Previous Quartile]]="ThirdQuartile", 3,
 IF(Table13[[#This Row],[Previous Quartile]]="FourthQuartile", 4, ""))))</f>
        <v>3</v>
      </c>
      <c r="I62" s="5" t="str">
        <f>IF(Table13[[#This Row],[Previous Quartile Value]]="", "",
   IF(Table13[[#This Row],[Quartile Value]] &lt; Table13[[#This Row],[Previous Quartile Value]], "Improved",
   IF(Table13[[#This Row],[Quartile Value]] &gt; Table13[[#This Row],[Previous Quartile Value]], "Dropped", "Same")))</f>
        <v>Same</v>
      </c>
      <c r="J62" s="7" t="s">
        <v>22</v>
      </c>
      <c r="K62" s="7" t="str">
        <f>VLOOKUP(J62,Introduction!$B$6:$C$14,2)</f>
        <v>North West</v>
      </c>
      <c r="L62" s="7">
        <v>412</v>
      </c>
      <c r="M62" s="8" t="s">
        <v>388</v>
      </c>
    </row>
    <row r="63" spans="1:13" ht="19.95" customHeight="1" x14ac:dyDescent="0.25">
      <c r="A63" s="40">
        <v>45474</v>
      </c>
      <c r="B63" s="46">
        <f>MONTH(Table13[[#This Row],[YearMonth]])</f>
        <v>7</v>
      </c>
      <c r="C63" s="5" t="s">
        <v>217</v>
      </c>
      <c r="D63" s="6" t="s">
        <v>341</v>
      </c>
      <c r="E63" s="6">
        <f>IF(Table13[[#This Row],[Quartile]]="TopQuartile", 1,
 IF(Table13[[#This Row],[Quartile]]="SecondQuartile", 2,
 IF(Table13[[#This Row],[Quartile]]="ThirdQuartile", 3,
 IF(Table13[[#This Row],[Quartile]]="FourthQuartile", 4, ""))))</f>
        <v>3</v>
      </c>
      <c r="F63" s="5" t="s">
        <v>399</v>
      </c>
      <c r="G63" s="5" t="str" cm="1">
        <f t="array" ref="G63">IFERROR(
  INDEX(Table13[Quartile],
    MATCH(1,
      (Table13[[#This Row],[OrgName]]=Table13[OrgName]) *
      (Table13[[#This Row],[Month Number]]-1=Table13[Month Number]),
    0)
  ),
"")</f>
        <v>ThirdQuartile</v>
      </c>
      <c r="H63" s="5">
        <f>IF(Table13[[#This Row],[Previous Quartile]]="TopQuartile", 1,
 IF(Table13[[#This Row],[Previous Quartile]]="SecondQuartile", 2,
 IF(Table13[[#This Row],[Previous Quartile]]="ThirdQuartile", 3,
 IF(Table13[[#This Row],[Previous Quartile]]="FourthQuartile", 4, ""))))</f>
        <v>3</v>
      </c>
      <c r="I63" s="5" t="str">
        <f>IF(Table13[[#This Row],[Previous Quartile Value]]="", "",
   IF(Table13[[#This Row],[Quartile Value]] &lt; Table13[[#This Row],[Previous Quartile Value]], "Improved",
   IF(Table13[[#This Row],[Quartile Value]] &gt; Table13[[#This Row],[Previous Quartile Value]], "Dropped", "Same")))</f>
        <v>Same</v>
      </c>
      <c r="J63" s="7" t="s">
        <v>14</v>
      </c>
      <c r="K63" s="7" t="str">
        <f>VLOOKUP(J63,Introduction!$B$6:$C$14,2)</f>
        <v>South West</v>
      </c>
      <c r="L63" s="7">
        <v>269</v>
      </c>
      <c r="M63" s="8" t="s">
        <v>388</v>
      </c>
    </row>
    <row r="64" spans="1:13" ht="19.95" customHeight="1" x14ac:dyDescent="0.25">
      <c r="A64" s="40">
        <v>45474</v>
      </c>
      <c r="B64" s="46">
        <f>MONTH(Table13[[#This Row],[YearMonth]])</f>
        <v>7</v>
      </c>
      <c r="C64" s="5" t="s">
        <v>224</v>
      </c>
      <c r="D64" s="6" t="s">
        <v>341</v>
      </c>
      <c r="E64" s="6">
        <f>IF(Table13[[#This Row],[Quartile]]="TopQuartile", 1,
 IF(Table13[[#This Row],[Quartile]]="SecondQuartile", 2,
 IF(Table13[[#This Row],[Quartile]]="ThirdQuartile", 3,
 IF(Table13[[#This Row],[Quartile]]="FourthQuartile", 4, ""))))</f>
        <v>3</v>
      </c>
      <c r="F64" s="5" t="s">
        <v>400</v>
      </c>
      <c r="G64" s="5" t="str" cm="1">
        <f t="array" ref="G64">IFERROR(
  INDEX(Table13[Quartile],
    MATCH(1,
      (Table13[[#This Row],[OrgName]]=Table13[OrgName]) *
      (Table13[[#This Row],[Month Number]]-1=Table13[Month Number]),
    0)
  ),
"")</f>
        <v>ThirdQuartile</v>
      </c>
      <c r="H64" s="5">
        <f>IF(Table13[[#This Row],[Previous Quartile]]="TopQuartile", 1,
 IF(Table13[[#This Row],[Previous Quartile]]="SecondQuartile", 2,
 IF(Table13[[#This Row],[Previous Quartile]]="ThirdQuartile", 3,
 IF(Table13[[#This Row],[Previous Quartile]]="FourthQuartile", 4, ""))))</f>
        <v>3</v>
      </c>
      <c r="I64" s="5" t="str">
        <f>IF(Table13[[#This Row],[Previous Quartile Value]]="", "",
   IF(Table13[[#This Row],[Quartile Value]] &lt; Table13[[#This Row],[Previous Quartile Value]], "Improved",
   IF(Table13[[#This Row],[Quartile Value]] &gt; Table13[[#This Row],[Previous Quartile Value]], "Dropped", "Same")))</f>
        <v>Same</v>
      </c>
      <c r="J64" s="7" t="s">
        <v>18</v>
      </c>
      <c r="K64" s="7" t="str">
        <f>VLOOKUP(J64,Introduction!$B$6:$C$14,2)</f>
        <v>Midlands</v>
      </c>
      <c r="L64" s="7">
        <v>407</v>
      </c>
      <c r="M64" s="8" t="s">
        <v>388</v>
      </c>
    </row>
    <row r="65" spans="1:13" ht="19.95" customHeight="1" x14ac:dyDescent="0.25">
      <c r="A65" s="40">
        <v>45474</v>
      </c>
      <c r="B65" s="46">
        <f>MONTH(Table13[[#This Row],[YearMonth]])</f>
        <v>7</v>
      </c>
      <c r="C65" s="5" t="s">
        <v>226</v>
      </c>
      <c r="D65" s="6" t="s">
        <v>341</v>
      </c>
      <c r="E65" s="6">
        <f>IF(Table13[[#This Row],[Quartile]]="TopQuartile", 1,
 IF(Table13[[#This Row],[Quartile]]="SecondQuartile", 2,
 IF(Table13[[#This Row],[Quartile]]="ThirdQuartile", 3,
 IF(Table13[[#This Row],[Quartile]]="FourthQuartile", 4, ""))))</f>
        <v>3</v>
      </c>
      <c r="F65" s="5" t="s">
        <v>401</v>
      </c>
      <c r="G65" s="5" t="str" cm="1">
        <f t="array" ref="G65">IFERROR(
  INDEX(Table13[Quartile],
    MATCH(1,
      (Table13[[#This Row],[OrgName]]=Table13[OrgName]) *
      (Table13[[#This Row],[Month Number]]-1=Table13[Month Number]),
    0)
  ),
"")</f>
        <v>ThirdQuartile</v>
      </c>
      <c r="H65" s="5">
        <f>IF(Table13[[#This Row],[Previous Quartile]]="TopQuartile", 1,
 IF(Table13[[#This Row],[Previous Quartile]]="SecondQuartile", 2,
 IF(Table13[[#This Row],[Previous Quartile]]="ThirdQuartile", 3,
 IF(Table13[[#This Row],[Previous Quartile]]="FourthQuartile", 4, ""))))</f>
        <v>3</v>
      </c>
      <c r="I65" s="5" t="str">
        <f>IF(Table13[[#This Row],[Previous Quartile Value]]="", "",
   IF(Table13[[#This Row],[Quartile Value]] &lt; Table13[[#This Row],[Previous Quartile Value]], "Improved",
   IF(Table13[[#This Row],[Quartile Value]] &gt; Table13[[#This Row],[Previous Quartile Value]], "Dropped", "Same")))</f>
        <v>Same</v>
      </c>
      <c r="J65" s="7" t="s">
        <v>22</v>
      </c>
      <c r="K65" s="7" t="str">
        <f>VLOOKUP(J65,Introduction!$B$6:$C$14,2)</f>
        <v>North West</v>
      </c>
      <c r="L65" s="7">
        <v>245</v>
      </c>
      <c r="M65" s="8" t="s">
        <v>388</v>
      </c>
    </row>
    <row r="66" spans="1:13" ht="19.95" customHeight="1" x14ac:dyDescent="0.25">
      <c r="A66" s="40">
        <v>45474</v>
      </c>
      <c r="B66" s="46">
        <f>MONTH(Table13[[#This Row],[YearMonth]])</f>
        <v>7</v>
      </c>
      <c r="C66" s="5" t="s">
        <v>232</v>
      </c>
      <c r="D66" s="6" t="s">
        <v>341</v>
      </c>
      <c r="E66" s="6">
        <f>IF(Table13[[#This Row],[Quartile]]="TopQuartile", 1,
 IF(Table13[[#This Row],[Quartile]]="SecondQuartile", 2,
 IF(Table13[[#This Row],[Quartile]]="ThirdQuartile", 3,
 IF(Table13[[#This Row],[Quartile]]="FourthQuartile", 4, ""))))</f>
        <v>3</v>
      </c>
      <c r="F66" s="5" t="s">
        <v>402</v>
      </c>
      <c r="G66" s="5" t="str" cm="1">
        <f t="array" ref="G66">IFERROR(
  INDEX(Table13[Quartile],
    MATCH(1,
      (Table13[[#This Row],[OrgName]]=Table13[OrgName]) *
      (Table13[[#This Row],[Month Number]]-1=Table13[Month Number]),
    0)
  ),
"")</f>
        <v>ThirdQuartile</v>
      </c>
      <c r="H66" s="5">
        <f>IF(Table13[[#This Row],[Previous Quartile]]="TopQuartile", 1,
 IF(Table13[[#This Row],[Previous Quartile]]="SecondQuartile", 2,
 IF(Table13[[#This Row],[Previous Quartile]]="ThirdQuartile", 3,
 IF(Table13[[#This Row],[Previous Quartile]]="FourthQuartile", 4, ""))))</f>
        <v>3</v>
      </c>
      <c r="I66" s="5" t="str">
        <f>IF(Table13[[#This Row],[Previous Quartile Value]]="", "",
   IF(Table13[[#This Row],[Quartile Value]] &lt; Table13[[#This Row],[Previous Quartile Value]], "Improved",
   IF(Table13[[#This Row],[Quartile Value]] &gt; Table13[[#This Row],[Previous Quartile Value]], "Dropped", "Same")))</f>
        <v>Same</v>
      </c>
      <c r="J66" s="7" t="s">
        <v>12</v>
      </c>
      <c r="K66" s="7" t="str">
        <f>VLOOKUP(J66,Introduction!$B$6:$C$14,2)</f>
        <v>London</v>
      </c>
      <c r="L66" s="7">
        <v>394</v>
      </c>
      <c r="M66" s="8" t="s">
        <v>388</v>
      </c>
    </row>
    <row r="67" spans="1:13" ht="19.95" customHeight="1" x14ac:dyDescent="0.25">
      <c r="A67" s="40">
        <v>45474</v>
      </c>
      <c r="B67" s="46">
        <f>MONTH(Table13[[#This Row],[YearMonth]])</f>
        <v>7</v>
      </c>
      <c r="C67" s="5" t="s">
        <v>245</v>
      </c>
      <c r="D67" s="6" t="s">
        <v>350</v>
      </c>
      <c r="E67" s="6">
        <f>IF(Table13[[#This Row],[Quartile]]="TopQuartile", 1,
 IF(Table13[[#This Row],[Quartile]]="SecondQuartile", 2,
 IF(Table13[[#This Row],[Quartile]]="ThirdQuartile", 3,
 IF(Table13[[#This Row],[Quartile]]="FourthQuartile", 4, ""))))</f>
        <v>4</v>
      </c>
      <c r="F67" s="5" t="s">
        <v>403</v>
      </c>
      <c r="G67" s="5" t="str" cm="1">
        <f t="array" ref="G67">IFERROR(
  INDEX(Table13[Quartile],
    MATCH(1,
      (Table13[[#This Row],[OrgName]]=Table13[OrgName]) *
      (Table13[[#This Row],[Month Number]]-1=Table13[Month Number]),
    0)
  ),
"")</f>
        <v>ThirdQuartile</v>
      </c>
      <c r="H67" s="5">
        <f>IF(Table13[[#This Row],[Previous Quartile]]="TopQuartile", 1,
 IF(Table13[[#This Row],[Previous Quartile]]="SecondQuartile", 2,
 IF(Table13[[#This Row],[Previous Quartile]]="ThirdQuartile", 3,
 IF(Table13[[#This Row],[Previous Quartile]]="FourthQuartile", 4, ""))))</f>
        <v>3</v>
      </c>
      <c r="I67" s="5" t="str">
        <f>IF(Table13[[#This Row],[Previous Quartile Value]]="", "",
   IF(Table13[[#This Row],[Quartile Value]] &lt; Table13[[#This Row],[Previous Quartile Value]], "Improved",
   IF(Table13[[#This Row],[Quartile Value]] &gt; Table13[[#This Row],[Previous Quartile Value]], "Dropped", "Same")))</f>
        <v>Dropped</v>
      </c>
      <c r="J67" s="7" t="s">
        <v>18</v>
      </c>
      <c r="K67" s="7" t="str">
        <f>VLOOKUP(J67,Introduction!$B$6:$C$14,2)</f>
        <v>Midlands</v>
      </c>
      <c r="L67" s="7">
        <v>230</v>
      </c>
      <c r="M67" s="8" t="s">
        <v>388</v>
      </c>
    </row>
    <row r="68" spans="1:13" ht="19.95" customHeight="1" x14ac:dyDescent="0.25">
      <c r="A68" s="40">
        <v>45474</v>
      </c>
      <c r="B68" s="46">
        <f>MONTH(Table13[[#This Row],[YearMonth]])</f>
        <v>7</v>
      </c>
      <c r="C68" s="5" t="s">
        <v>249</v>
      </c>
      <c r="D68" s="6" t="s">
        <v>350</v>
      </c>
      <c r="E68" s="6">
        <f>IF(Table13[[#This Row],[Quartile]]="TopQuartile", 1,
 IF(Table13[[#This Row],[Quartile]]="SecondQuartile", 2,
 IF(Table13[[#This Row],[Quartile]]="ThirdQuartile", 3,
 IF(Table13[[#This Row],[Quartile]]="FourthQuartile", 4, ""))))</f>
        <v>4</v>
      </c>
      <c r="F68" s="5" t="s">
        <v>404</v>
      </c>
      <c r="G68" s="5" t="str" cm="1">
        <f t="array" ref="G68">IFERROR(
  INDEX(Table13[Quartile],
    MATCH(1,
      (Table13[[#This Row],[OrgName]]=Table13[OrgName]) *
      (Table13[[#This Row],[Month Number]]-1=Table13[Month Number]),
    0)
  ),
"")</f>
        <v>FourthQuartile</v>
      </c>
      <c r="H68" s="5">
        <f>IF(Table13[[#This Row],[Previous Quartile]]="TopQuartile", 1,
 IF(Table13[[#This Row],[Previous Quartile]]="SecondQuartile", 2,
 IF(Table13[[#This Row],[Previous Quartile]]="ThirdQuartile", 3,
 IF(Table13[[#This Row],[Previous Quartile]]="FourthQuartile", 4, ""))))</f>
        <v>4</v>
      </c>
      <c r="I68" s="5" t="str">
        <f>IF(Table13[[#This Row],[Previous Quartile Value]]="", "",
   IF(Table13[[#This Row],[Quartile Value]] &lt; Table13[[#This Row],[Previous Quartile Value]], "Improved",
   IF(Table13[[#This Row],[Quartile Value]] &gt; Table13[[#This Row],[Previous Quartile Value]], "Dropped", "Same")))</f>
        <v>Same</v>
      </c>
      <c r="J68" s="7" t="s">
        <v>20</v>
      </c>
      <c r="K68" s="7" t="str">
        <f>VLOOKUP(J68,Introduction!$B$6:$C$14,2)</f>
        <v>East of England</v>
      </c>
      <c r="L68" s="7">
        <v>292</v>
      </c>
      <c r="M68" s="8" t="s">
        <v>388</v>
      </c>
    </row>
    <row r="69" spans="1:13" ht="19.95" customHeight="1" x14ac:dyDescent="0.25">
      <c r="A69" s="40">
        <v>45474</v>
      </c>
      <c r="B69" s="46">
        <f>MONTH(Table13[[#This Row],[YearMonth]])</f>
        <v>7</v>
      </c>
      <c r="C69" s="5" t="s">
        <v>256</v>
      </c>
      <c r="D69" s="6" t="s">
        <v>350</v>
      </c>
      <c r="E69" s="6">
        <f>IF(Table13[[#This Row],[Quartile]]="TopQuartile", 1,
 IF(Table13[[#This Row],[Quartile]]="SecondQuartile", 2,
 IF(Table13[[#This Row],[Quartile]]="ThirdQuartile", 3,
 IF(Table13[[#This Row],[Quartile]]="FourthQuartile", 4, ""))))</f>
        <v>4</v>
      </c>
      <c r="F69" s="5" t="s">
        <v>405</v>
      </c>
      <c r="G69" s="5" t="str" cm="1">
        <f t="array" ref="G69">IFERROR(
  INDEX(Table13[Quartile],
    MATCH(1,
      (Table13[[#This Row],[OrgName]]=Table13[OrgName]) *
      (Table13[[#This Row],[Month Number]]-1=Table13[Month Number]),
    0)
  ),
"")</f>
        <v>FourthQuartile</v>
      </c>
      <c r="H69" s="5">
        <f>IF(Table13[[#This Row],[Previous Quartile]]="TopQuartile", 1,
 IF(Table13[[#This Row],[Previous Quartile]]="SecondQuartile", 2,
 IF(Table13[[#This Row],[Previous Quartile]]="ThirdQuartile", 3,
 IF(Table13[[#This Row],[Previous Quartile]]="FourthQuartile", 4, ""))))</f>
        <v>4</v>
      </c>
      <c r="I69" s="5" t="str">
        <f>IF(Table13[[#This Row],[Previous Quartile Value]]="", "",
   IF(Table13[[#This Row],[Quartile Value]] &lt; Table13[[#This Row],[Previous Quartile Value]], "Improved",
   IF(Table13[[#This Row],[Quartile Value]] &gt; Table13[[#This Row],[Previous Quartile Value]], "Dropped", "Same")))</f>
        <v>Same</v>
      </c>
      <c r="J69" s="7" t="s">
        <v>14</v>
      </c>
      <c r="K69" s="7" t="str">
        <f>VLOOKUP(J69,Introduction!$B$6:$C$14,2)</f>
        <v>South West</v>
      </c>
      <c r="L69" s="7">
        <v>405</v>
      </c>
      <c r="M69" s="8" t="s">
        <v>388</v>
      </c>
    </row>
    <row r="70" spans="1:13" ht="19.95" customHeight="1" x14ac:dyDescent="0.25">
      <c r="A70" s="40">
        <v>45474</v>
      </c>
      <c r="B70" s="46">
        <f>MONTH(Table13[[#This Row],[YearMonth]])</f>
        <v>7</v>
      </c>
      <c r="C70" s="5" t="s">
        <v>305</v>
      </c>
      <c r="D70" s="6" t="s">
        <v>350</v>
      </c>
      <c r="E70" s="6">
        <f>IF(Table13[[#This Row],[Quartile]]="TopQuartile", 1,
 IF(Table13[[#This Row],[Quartile]]="SecondQuartile", 2,
 IF(Table13[[#This Row],[Quartile]]="ThirdQuartile", 3,
 IF(Table13[[#This Row],[Quartile]]="FourthQuartile", 4, ""))))</f>
        <v>4</v>
      </c>
      <c r="F70" s="5" t="s">
        <v>406</v>
      </c>
      <c r="G70" s="5" t="str" cm="1">
        <f t="array" ref="G70">IFERROR(
  INDEX(Table13[Quartile],
    MATCH(1,
      (Table13[[#This Row],[OrgName]]=Table13[OrgName]) *
      (Table13[[#This Row],[Month Number]]-1=Table13[Month Number]),
    0)
  ),
"")</f>
        <v>FourthQuartile</v>
      </c>
      <c r="H70" s="5">
        <f>IF(Table13[[#This Row],[Previous Quartile]]="TopQuartile", 1,
 IF(Table13[[#This Row],[Previous Quartile]]="SecondQuartile", 2,
 IF(Table13[[#This Row],[Previous Quartile]]="ThirdQuartile", 3,
 IF(Table13[[#This Row],[Previous Quartile]]="FourthQuartile", 4, ""))))</f>
        <v>4</v>
      </c>
      <c r="I70" s="5" t="str">
        <f>IF(Table13[[#This Row],[Previous Quartile Value]]="", "",
   IF(Table13[[#This Row],[Quartile Value]] &lt; Table13[[#This Row],[Previous Quartile Value]], "Improved",
   IF(Table13[[#This Row],[Quartile Value]] &gt; Table13[[#This Row],[Previous Quartile Value]], "Dropped", "Same")))</f>
        <v>Same</v>
      </c>
      <c r="J70" s="7" t="s">
        <v>20</v>
      </c>
      <c r="K70" s="7" t="str">
        <f>VLOOKUP(J70,Introduction!$B$6:$C$14,2)</f>
        <v>East of England</v>
      </c>
      <c r="L70" s="7">
        <v>179</v>
      </c>
      <c r="M70" s="8" t="s">
        <v>388</v>
      </c>
    </row>
    <row r="71" spans="1:13" ht="19.95" customHeight="1" x14ac:dyDescent="0.25">
      <c r="A71" s="40">
        <v>45474</v>
      </c>
      <c r="B71" s="46">
        <f>MONTH(Table13[[#This Row],[YearMonth]])</f>
        <v>7</v>
      </c>
      <c r="C71" s="5" t="s">
        <v>56</v>
      </c>
      <c r="D71" s="6" t="s">
        <v>330</v>
      </c>
      <c r="E71" s="6">
        <f>IF(Table13[[#This Row],[Quartile]]="TopQuartile", 1,
 IF(Table13[[#This Row],[Quartile]]="SecondQuartile", 2,
 IF(Table13[[#This Row],[Quartile]]="ThirdQuartile", 3,
 IF(Table13[[#This Row],[Quartile]]="FourthQuartile", 4, ""))))</f>
        <v>1</v>
      </c>
      <c r="F71" s="5" t="s">
        <v>407</v>
      </c>
      <c r="G71" s="5" t="str" cm="1">
        <f t="array" ref="G71">IFERROR(
  INDEX(Table13[Quartile],
    MATCH(1,
      (Table13[[#This Row],[OrgName]]=Table13[OrgName]) *
      (Table13[[#This Row],[Month Number]]-1=Table13[Month Number]),
    0)
  ),
"")</f>
        <v>TopQuartile</v>
      </c>
      <c r="H71" s="5">
        <f>IF(Table13[[#This Row],[Previous Quartile]]="TopQuartile", 1,
 IF(Table13[[#This Row],[Previous Quartile]]="SecondQuartile", 2,
 IF(Table13[[#This Row],[Previous Quartile]]="ThirdQuartile", 3,
 IF(Table13[[#This Row],[Previous Quartile]]="FourthQuartile", 4, ""))))</f>
        <v>1</v>
      </c>
      <c r="I71" s="5" t="str">
        <f>IF(Table13[[#This Row],[Previous Quartile Value]]="", "",
   IF(Table13[[#This Row],[Quartile Value]] &lt; Table13[[#This Row],[Previous Quartile Value]], "Improved",
   IF(Table13[[#This Row],[Quartile Value]] &gt; Table13[[#This Row],[Previous Quartile Value]], "Dropped", "Same")))</f>
        <v>Same</v>
      </c>
      <c r="J71" s="7" t="s">
        <v>20</v>
      </c>
      <c r="K71" s="7" t="str">
        <f>VLOOKUP(J71,Introduction!$B$6:$C$14,2)</f>
        <v>East of England</v>
      </c>
      <c r="L71" s="7">
        <v>175</v>
      </c>
      <c r="M71" s="8" t="s">
        <v>408</v>
      </c>
    </row>
    <row r="72" spans="1:13" ht="19.95" customHeight="1" x14ac:dyDescent="0.25">
      <c r="A72" s="40">
        <v>45474</v>
      </c>
      <c r="B72" s="46">
        <f>MONTH(Table13[[#This Row],[YearMonth]])</f>
        <v>7</v>
      </c>
      <c r="C72" s="5" t="s">
        <v>84</v>
      </c>
      <c r="D72" s="6" t="s">
        <v>330</v>
      </c>
      <c r="E72" s="6">
        <f>IF(Table13[[#This Row],[Quartile]]="TopQuartile", 1,
 IF(Table13[[#This Row],[Quartile]]="SecondQuartile", 2,
 IF(Table13[[#This Row],[Quartile]]="ThirdQuartile", 3,
 IF(Table13[[#This Row],[Quartile]]="FourthQuartile", 4, ""))))</f>
        <v>1</v>
      </c>
      <c r="F72" s="5" t="s">
        <v>409</v>
      </c>
      <c r="G72" s="5" t="str" cm="1">
        <f t="array" ref="G72">IFERROR(
  INDEX(Table13[Quartile],
    MATCH(1,
      (Table13[[#This Row],[OrgName]]=Table13[OrgName]) *
      (Table13[[#This Row],[Month Number]]-1=Table13[Month Number]),
    0)
  ),
"")</f>
        <v>TopQuartile</v>
      </c>
      <c r="H72" s="5">
        <f>IF(Table13[[#This Row],[Previous Quartile]]="TopQuartile", 1,
 IF(Table13[[#This Row],[Previous Quartile]]="SecondQuartile", 2,
 IF(Table13[[#This Row],[Previous Quartile]]="ThirdQuartile", 3,
 IF(Table13[[#This Row],[Previous Quartile]]="FourthQuartile", 4, ""))))</f>
        <v>1</v>
      </c>
      <c r="I72" s="5" t="str">
        <f>IF(Table13[[#This Row],[Previous Quartile Value]]="", "",
   IF(Table13[[#This Row],[Quartile Value]] &lt; Table13[[#This Row],[Previous Quartile Value]], "Improved",
   IF(Table13[[#This Row],[Quartile Value]] &gt; Table13[[#This Row],[Previous Quartile Value]], "Dropped", "Same")))</f>
        <v>Same</v>
      </c>
      <c r="J72" s="7" t="s">
        <v>16</v>
      </c>
      <c r="K72" s="7" t="str">
        <f>VLOOKUP(J72,Introduction!$B$6:$C$14,2)</f>
        <v>South East</v>
      </c>
      <c r="L72" s="7">
        <v>276</v>
      </c>
      <c r="M72" s="8" t="s">
        <v>408</v>
      </c>
    </row>
    <row r="73" spans="1:13" ht="19.95" customHeight="1" x14ac:dyDescent="0.25">
      <c r="A73" s="40">
        <v>45474</v>
      </c>
      <c r="B73" s="46">
        <f>MONTH(Table13[[#This Row],[YearMonth]])</f>
        <v>7</v>
      </c>
      <c r="C73" s="5" t="s">
        <v>96</v>
      </c>
      <c r="D73" s="6" t="s">
        <v>330</v>
      </c>
      <c r="E73" s="6">
        <f>IF(Table13[[#This Row],[Quartile]]="TopQuartile", 1,
 IF(Table13[[#This Row],[Quartile]]="SecondQuartile", 2,
 IF(Table13[[#This Row],[Quartile]]="ThirdQuartile", 3,
 IF(Table13[[#This Row],[Quartile]]="FourthQuartile", 4, ""))))</f>
        <v>1</v>
      </c>
      <c r="F73" s="5" t="s">
        <v>410</v>
      </c>
      <c r="G73" s="5" t="str" cm="1">
        <f t="array" ref="G73">IFERROR(
  INDEX(Table13[Quartile],
    MATCH(1,
      (Table13[[#This Row],[OrgName]]=Table13[OrgName]) *
      (Table13[[#This Row],[Month Number]]-1=Table13[Month Number]),
    0)
  ),
"")</f>
        <v>SecondQuartile</v>
      </c>
      <c r="H73" s="5">
        <f>IF(Table13[[#This Row],[Previous Quartile]]="TopQuartile", 1,
 IF(Table13[[#This Row],[Previous Quartile]]="SecondQuartile", 2,
 IF(Table13[[#This Row],[Previous Quartile]]="ThirdQuartile", 3,
 IF(Table13[[#This Row],[Previous Quartile]]="FourthQuartile", 4, ""))))</f>
        <v>2</v>
      </c>
      <c r="I73" s="5" t="str">
        <f>IF(Table13[[#This Row],[Previous Quartile Value]]="", "",
   IF(Table13[[#This Row],[Quartile Value]] &lt; Table13[[#This Row],[Previous Quartile Value]], "Improved",
   IF(Table13[[#This Row],[Quartile Value]] &gt; Table13[[#This Row],[Previous Quartile Value]], "Dropped", "Same")))</f>
        <v>Improved</v>
      </c>
      <c r="J73" s="7" t="s">
        <v>18</v>
      </c>
      <c r="K73" s="7" t="str">
        <f>VLOOKUP(J73,Introduction!$B$6:$C$14,2)</f>
        <v>Midlands</v>
      </c>
      <c r="L73" s="7">
        <v>303</v>
      </c>
      <c r="M73" s="8" t="s">
        <v>408</v>
      </c>
    </row>
    <row r="74" spans="1:13" ht="19.95" customHeight="1" x14ac:dyDescent="0.25">
      <c r="A74" s="40">
        <v>45474</v>
      </c>
      <c r="B74" s="46">
        <f>MONTH(Table13[[#This Row],[YearMonth]])</f>
        <v>7</v>
      </c>
      <c r="C74" s="5" t="s">
        <v>99</v>
      </c>
      <c r="D74" s="6" t="s">
        <v>330</v>
      </c>
      <c r="E74" s="6">
        <f>IF(Table13[[#This Row],[Quartile]]="TopQuartile", 1,
 IF(Table13[[#This Row],[Quartile]]="SecondQuartile", 2,
 IF(Table13[[#This Row],[Quartile]]="ThirdQuartile", 3,
 IF(Table13[[#This Row],[Quartile]]="FourthQuartile", 4, ""))))</f>
        <v>1</v>
      </c>
      <c r="F74" s="5" t="s">
        <v>411</v>
      </c>
      <c r="G74" s="5" t="str" cm="1">
        <f t="array" ref="G74">IFERROR(
  INDEX(Table13[Quartile],
    MATCH(1,
      (Table13[[#This Row],[OrgName]]=Table13[OrgName]) *
      (Table13[[#This Row],[Month Number]]-1=Table13[Month Number]),
    0)
  ),
"")</f>
        <v>TopQuartile</v>
      </c>
      <c r="H74" s="5">
        <f>IF(Table13[[#This Row],[Previous Quartile]]="TopQuartile", 1,
 IF(Table13[[#This Row],[Previous Quartile]]="SecondQuartile", 2,
 IF(Table13[[#This Row],[Previous Quartile]]="ThirdQuartile", 3,
 IF(Table13[[#This Row],[Previous Quartile]]="FourthQuartile", 4, ""))))</f>
        <v>1</v>
      </c>
      <c r="I74" s="5" t="str">
        <f>IF(Table13[[#This Row],[Previous Quartile Value]]="", "",
   IF(Table13[[#This Row],[Quartile Value]] &lt; Table13[[#This Row],[Previous Quartile Value]], "Improved",
   IF(Table13[[#This Row],[Quartile Value]] &gt; Table13[[#This Row],[Previous Quartile Value]], "Dropped", "Same")))</f>
        <v>Same</v>
      </c>
      <c r="J74" s="7" t="s">
        <v>12</v>
      </c>
      <c r="K74" s="7" t="str">
        <f>VLOOKUP(J74,Introduction!$B$6:$C$14,2)</f>
        <v>London</v>
      </c>
      <c r="L74" s="7">
        <v>271</v>
      </c>
      <c r="M74" s="8" t="s">
        <v>408</v>
      </c>
    </row>
    <row r="75" spans="1:13" ht="19.95" customHeight="1" x14ac:dyDescent="0.25">
      <c r="A75" s="40">
        <v>45474</v>
      </c>
      <c r="B75" s="46">
        <f>MONTH(Table13[[#This Row],[YearMonth]])</f>
        <v>7</v>
      </c>
      <c r="C75" s="5" t="s">
        <v>102</v>
      </c>
      <c r="D75" s="6" t="s">
        <v>338</v>
      </c>
      <c r="E75" s="6">
        <f>IF(Table13[[#This Row],[Quartile]]="TopQuartile", 1,
 IF(Table13[[#This Row],[Quartile]]="SecondQuartile", 2,
 IF(Table13[[#This Row],[Quartile]]="ThirdQuartile", 3,
 IF(Table13[[#This Row],[Quartile]]="FourthQuartile", 4, ""))))</f>
        <v>2</v>
      </c>
      <c r="F75" s="5" t="s">
        <v>412</v>
      </c>
      <c r="G75" s="5" t="str" cm="1">
        <f t="array" ref="G75">IFERROR(
  INDEX(Table13[Quartile],
    MATCH(1,
      (Table13[[#This Row],[OrgName]]=Table13[OrgName]) *
      (Table13[[#This Row],[Month Number]]-1=Table13[Month Number]),
    0)
  ),
"")</f>
        <v>TopQuartile</v>
      </c>
      <c r="H75" s="5">
        <f>IF(Table13[[#This Row],[Previous Quartile]]="TopQuartile", 1,
 IF(Table13[[#This Row],[Previous Quartile]]="SecondQuartile", 2,
 IF(Table13[[#This Row],[Previous Quartile]]="ThirdQuartile", 3,
 IF(Table13[[#This Row],[Previous Quartile]]="FourthQuartile", 4, ""))))</f>
        <v>1</v>
      </c>
      <c r="I75" s="5" t="str">
        <f>IF(Table13[[#This Row],[Previous Quartile Value]]="", "",
   IF(Table13[[#This Row],[Quartile Value]] &lt; Table13[[#This Row],[Previous Quartile Value]], "Improved",
   IF(Table13[[#This Row],[Quartile Value]] &gt; Table13[[#This Row],[Previous Quartile Value]], "Dropped", "Same")))</f>
        <v>Dropped</v>
      </c>
      <c r="J75" s="7" t="s">
        <v>22</v>
      </c>
      <c r="K75" s="7" t="str">
        <f>VLOOKUP(J75,Introduction!$B$6:$C$14,2)</f>
        <v>North West</v>
      </c>
      <c r="L75" s="7">
        <v>411</v>
      </c>
      <c r="M75" s="8" t="s">
        <v>408</v>
      </c>
    </row>
    <row r="76" spans="1:13" ht="19.95" customHeight="1" x14ac:dyDescent="0.25">
      <c r="A76" s="40">
        <v>45474</v>
      </c>
      <c r="B76" s="46">
        <f>MONTH(Table13[[#This Row],[YearMonth]])</f>
        <v>7</v>
      </c>
      <c r="C76" s="5" t="s">
        <v>108</v>
      </c>
      <c r="D76" s="6" t="s">
        <v>338</v>
      </c>
      <c r="E76" s="6">
        <f>IF(Table13[[#This Row],[Quartile]]="TopQuartile", 1,
 IF(Table13[[#This Row],[Quartile]]="SecondQuartile", 2,
 IF(Table13[[#This Row],[Quartile]]="ThirdQuartile", 3,
 IF(Table13[[#This Row],[Quartile]]="FourthQuartile", 4, ""))))</f>
        <v>2</v>
      </c>
      <c r="F76" s="5" t="s">
        <v>413</v>
      </c>
      <c r="G76" s="5" t="str" cm="1">
        <f t="array" ref="G76">IFERROR(
  INDEX(Table13[Quartile],
    MATCH(1,
      (Table13[[#This Row],[OrgName]]=Table13[OrgName]) *
      (Table13[[#This Row],[Month Number]]-1=Table13[Month Number]),
    0)
  ),
"")</f>
        <v>SecondQuartile</v>
      </c>
      <c r="H76" s="5">
        <f>IF(Table13[[#This Row],[Previous Quartile]]="TopQuartile", 1,
 IF(Table13[[#This Row],[Previous Quartile]]="SecondQuartile", 2,
 IF(Table13[[#This Row],[Previous Quartile]]="ThirdQuartile", 3,
 IF(Table13[[#This Row],[Previous Quartile]]="FourthQuartile", 4, ""))))</f>
        <v>2</v>
      </c>
      <c r="I76" s="5" t="str">
        <f>IF(Table13[[#This Row],[Previous Quartile Value]]="", "",
   IF(Table13[[#This Row],[Quartile Value]] &lt; Table13[[#This Row],[Previous Quartile Value]], "Improved",
   IF(Table13[[#This Row],[Quartile Value]] &gt; Table13[[#This Row],[Previous Quartile Value]], "Dropped", "Same")))</f>
        <v>Same</v>
      </c>
      <c r="J76" s="7" t="s">
        <v>22</v>
      </c>
      <c r="K76" s="7" t="str">
        <f>VLOOKUP(J76,Introduction!$B$6:$C$14,2)</f>
        <v>North West</v>
      </c>
      <c r="L76" s="7">
        <v>158</v>
      </c>
      <c r="M76" s="8" t="s">
        <v>408</v>
      </c>
    </row>
    <row r="77" spans="1:13" ht="19.95" customHeight="1" x14ac:dyDescent="0.25">
      <c r="A77" s="40">
        <v>45474</v>
      </c>
      <c r="B77" s="46">
        <f>MONTH(Table13[[#This Row],[YearMonth]])</f>
        <v>7</v>
      </c>
      <c r="C77" s="5" t="s">
        <v>125</v>
      </c>
      <c r="D77" s="6" t="s">
        <v>338</v>
      </c>
      <c r="E77" s="6">
        <f>IF(Table13[[#This Row],[Quartile]]="TopQuartile", 1,
 IF(Table13[[#This Row],[Quartile]]="SecondQuartile", 2,
 IF(Table13[[#This Row],[Quartile]]="ThirdQuartile", 3,
 IF(Table13[[#This Row],[Quartile]]="FourthQuartile", 4, ""))))</f>
        <v>2</v>
      </c>
      <c r="F77" s="5" t="s">
        <v>414</v>
      </c>
      <c r="G77" s="5" t="str" cm="1">
        <f t="array" ref="G77">IFERROR(
  INDEX(Table13[Quartile],
    MATCH(1,
      (Table13[[#This Row],[OrgName]]=Table13[OrgName]) *
      (Table13[[#This Row],[Month Number]]-1=Table13[Month Number]),
    0)
  ),
"")</f>
        <v>SecondQuartile</v>
      </c>
      <c r="H77" s="5">
        <f>IF(Table13[[#This Row],[Previous Quartile]]="TopQuartile", 1,
 IF(Table13[[#This Row],[Previous Quartile]]="SecondQuartile", 2,
 IF(Table13[[#This Row],[Previous Quartile]]="ThirdQuartile", 3,
 IF(Table13[[#This Row],[Previous Quartile]]="FourthQuartile", 4, ""))))</f>
        <v>2</v>
      </c>
      <c r="I77" s="5" t="str">
        <f>IF(Table13[[#This Row],[Previous Quartile Value]]="", "",
   IF(Table13[[#This Row],[Quartile Value]] &lt; Table13[[#This Row],[Previous Quartile Value]], "Improved",
   IF(Table13[[#This Row],[Quartile Value]] &gt; Table13[[#This Row],[Previous Quartile Value]], "Dropped", "Same")))</f>
        <v>Same</v>
      </c>
      <c r="J77" s="7" t="s">
        <v>22</v>
      </c>
      <c r="K77" s="7" t="str">
        <f>VLOOKUP(J77,Introduction!$B$6:$C$14,2)</f>
        <v>North West</v>
      </c>
      <c r="L77" s="7">
        <v>160</v>
      </c>
      <c r="M77" s="8" t="s">
        <v>408</v>
      </c>
    </row>
    <row r="78" spans="1:13" ht="19.95" customHeight="1" x14ac:dyDescent="0.25">
      <c r="A78" s="40">
        <v>45474</v>
      </c>
      <c r="B78" s="46">
        <f>MONTH(Table13[[#This Row],[YearMonth]])</f>
        <v>7</v>
      </c>
      <c r="C78" s="5" t="s">
        <v>150</v>
      </c>
      <c r="D78" s="6" t="s">
        <v>338</v>
      </c>
      <c r="E78" s="6">
        <f>IF(Table13[[#This Row],[Quartile]]="TopQuartile", 1,
 IF(Table13[[#This Row],[Quartile]]="SecondQuartile", 2,
 IF(Table13[[#This Row],[Quartile]]="ThirdQuartile", 3,
 IF(Table13[[#This Row],[Quartile]]="FourthQuartile", 4, ""))))</f>
        <v>2</v>
      </c>
      <c r="F78" s="5" t="s">
        <v>415</v>
      </c>
      <c r="G78" s="5" t="str" cm="1">
        <f t="array" ref="G78">IFERROR(
  INDEX(Table13[Quartile],
    MATCH(1,
      (Table13[[#This Row],[OrgName]]=Table13[OrgName]) *
      (Table13[[#This Row],[Month Number]]-1=Table13[Month Number]),
    0)
  ),
"")</f>
        <v>SecondQuartile</v>
      </c>
      <c r="H78" s="5">
        <f>IF(Table13[[#This Row],[Previous Quartile]]="TopQuartile", 1,
 IF(Table13[[#This Row],[Previous Quartile]]="SecondQuartile", 2,
 IF(Table13[[#This Row],[Previous Quartile]]="ThirdQuartile", 3,
 IF(Table13[[#This Row],[Previous Quartile]]="FourthQuartile", 4, ""))))</f>
        <v>2</v>
      </c>
      <c r="I78" s="5" t="str">
        <f>IF(Table13[[#This Row],[Previous Quartile Value]]="", "",
   IF(Table13[[#This Row],[Quartile Value]] &lt; Table13[[#This Row],[Previous Quartile Value]], "Improved",
   IF(Table13[[#This Row],[Quartile Value]] &gt; Table13[[#This Row],[Previous Quartile Value]], "Dropped", "Same")))</f>
        <v>Same</v>
      </c>
      <c r="J78" s="7" t="s">
        <v>22</v>
      </c>
      <c r="K78" s="7" t="str">
        <f>VLOOKUP(J78,Introduction!$B$6:$C$14,2)</f>
        <v>North West</v>
      </c>
      <c r="L78" s="7">
        <v>413</v>
      </c>
      <c r="M78" s="8" t="s">
        <v>408</v>
      </c>
    </row>
    <row r="79" spans="1:13" ht="19.95" customHeight="1" x14ac:dyDescent="0.25">
      <c r="A79" s="40">
        <v>45474</v>
      </c>
      <c r="B79" s="46">
        <f>MONTH(Table13[[#This Row],[YearMonth]])</f>
        <v>7</v>
      </c>
      <c r="C79" s="5" t="s">
        <v>184</v>
      </c>
      <c r="D79" s="6" t="s">
        <v>341</v>
      </c>
      <c r="E79" s="6">
        <f>IF(Table13[[#This Row],[Quartile]]="TopQuartile", 1,
 IF(Table13[[#This Row],[Quartile]]="SecondQuartile", 2,
 IF(Table13[[#This Row],[Quartile]]="ThirdQuartile", 3,
 IF(Table13[[#This Row],[Quartile]]="FourthQuartile", 4, ""))))</f>
        <v>3</v>
      </c>
      <c r="F79" s="5" t="s">
        <v>416</v>
      </c>
      <c r="G79" s="5" t="str" cm="1">
        <f t="array" ref="G79">IFERROR(
  INDEX(Table13[Quartile],
    MATCH(1,
      (Table13[[#This Row],[OrgName]]=Table13[OrgName]) *
      (Table13[[#This Row],[Month Number]]-1=Table13[Month Number]),
    0)
  ),
"")</f>
        <v>ThirdQuartile</v>
      </c>
      <c r="H79" s="5">
        <f>IF(Table13[[#This Row],[Previous Quartile]]="TopQuartile", 1,
 IF(Table13[[#This Row],[Previous Quartile]]="SecondQuartile", 2,
 IF(Table13[[#This Row],[Previous Quartile]]="ThirdQuartile", 3,
 IF(Table13[[#This Row],[Previous Quartile]]="FourthQuartile", 4, ""))))</f>
        <v>3</v>
      </c>
      <c r="I79" s="5" t="str">
        <f>IF(Table13[[#This Row],[Previous Quartile Value]]="", "",
   IF(Table13[[#This Row],[Quartile Value]] &lt; Table13[[#This Row],[Previous Quartile Value]], "Improved",
   IF(Table13[[#This Row],[Quartile Value]] &gt; Table13[[#This Row],[Previous Quartile Value]], "Dropped", "Same")))</f>
        <v>Same</v>
      </c>
      <c r="J79" s="7" t="s">
        <v>12</v>
      </c>
      <c r="K79" s="7" t="str">
        <f>VLOOKUP(J79,Introduction!$B$6:$C$14,2)</f>
        <v>London</v>
      </c>
      <c r="L79" s="7">
        <v>282</v>
      </c>
      <c r="M79" s="8" t="s">
        <v>408</v>
      </c>
    </row>
    <row r="80" spans="1:13" ht="19.95" customHeight="1" x14ac:dyDescent="0.25">
      <c r="A80" s="40">
        <v>45474</v>
      </c>
      <c r="B80" s="46">
        <f>MONTH(Table13[[#This Row],[YearMonth]])</f>
        <v>7</v>
      </c>
      <c r="C80" s="5" t="s">
        <v>185</v>
      </c>
      <c r="D80" s="6" t="s">
        <v>341</v>
      </c>
      <c r="E80" s="6">
        <f>IF(Table13[[#This Row],[Quartile]]="TopQuartile", 1,
 IF(Table13[[#This Row],[Quartile]]="SecondQuartile", 2,
 IF(Table13[[#This Row],[Quartile]]="ThirdQuartile", 3,
 IF(Table13[[#This Row],[Quartile]]="FourthQuartile", 4, ""))))</f>
        <v>3</v>
      </c>
      <c r="F80" s="5" t="s">
        <v>417</v>
      </c>
      <c r="G80" s="5" t="str" cm="1">
        <f t="array" ref="G80">IFERROR(
  INDEX(Table13[Quartile],
    MATCH(1,
      (Table13[[#This Row],[OrgName]]=Table13[OrgName]) *
      (Table13[[#This Row],[Month Number]]-1=Table13[Month Number]),
    0)
  ),
"")</f>
        <v>ThirdQuartile</v>
      </c>
      <c r="H80" s="5">
        <f>IF(Table13[[#This Row],[Previous Quartile]]="TopQuartile", 1,
 IF(Table13[[#This Row],[Previous Quartile]]="SecondQuartile", 2,
 IF(Table13[[#This Row],[Previous Quartile]]="ThirdQuartile", 3,
 IF(Table13[[#This Row],[Previous Quartile]]="FourthQuartile", 4, ""))))</f>
        <v>3</v>
      </c>
      <c r="I80" s="5" t="str">
        <f>IF(Table13[[#This Row],[Previous Quartile Value]]="", "",
   IF(Table13[[#This Row],[Quartile Value]] &lt; Table13[[#This Row],[Previous Quartile Value]], "Improved",
   IF(Table13[[#This Row],[Quartile Value]] &gt; Table13[[#This Row],[Previous Quartile Value]], "Dropped", "Same")))</f>
        <v>Same</v>
      </c>
      <c r="J80" s="7" t="s">
        <v>12</v>
      </c>
      <c r="K80" s="7" t="str">
        <f>VLOOKUP(J80,Introduction!$B$6:$C$14,2)</f>
        <v>London</v>
      </c>
      <c r="L80" s="7">
        <v>273</v>
      </c>
      <c r="M80" s="8" t="s">
        <v>408</v>
      </c>
    </row>
    <row r="81" spans="1:13" ht="19.95" customHeight="1" x14ac:dyDescent="0.25">
      <c r="A81" s="40">
        <v>45474</v>
      </c>
      <c r="B81" s="46">
        <f>MONTH(Table13[[#This Row],[YearMonth]])</f>
        <v>7</v>
      </c>
      <c r="C81" s="5" t="s">
        <v>191</v>
      </c>
      <c r="D81" s="6" t="s">
        <v>341</v>
      </c>
      <c r="E81" s="6">
        <f>IF(Table13[[#This Row],[Quartile]]="TopQuartile", 1,
 IF(Table13[[#This Row],[Quartile]]="SecondQuartile", 2,
 IF(Table13[[#This Row],[Quartile]]="ThirdQuartile", 3,
 IF(Table13[[#This Row],[Quartile]]="FourthQuartile", 4, ""))))</f>
        <v>3</v>
      </c>
      <c r="F81" s="5" t="s">
        <v>418</v>
      </c>
      <c r="G81" s="5" t="str" cm="1">
        <f t="array" ref="G81">IFERROR(
  INDEX(Table13[Quartile],
    MATCH(1,
      (Table13[[#This Row],[OrgName]]=Table13[OrgName]) *
      (Table13[[#This Row],[Month Number]]-1=Table13[Month Number]),
    0)
  ),
"")</f>
        <v>ThirdQuartile</v>
      </c>
      <c r="H81" s="5">
        <f>IF(Table13[[#This Row],[Previous Quartile]]="TopQuartile", 1,
 IF(Table13[[#This Row],[Previous Quartile]]="SecondQuartile", 2,
 IF(Table13[[#This Row],[Previous Quartile]]="ThirdQuartile", 3,
 IF(Table13[[#This Row],[Previous Quartile]]="FourthQuartile", 4, ""))))</f>
        <v>3</v>
      </c>
      <c r="I81" s="5" t="str">
        <f>IF(Table13[[#This Row],[Previous Quartile Value]]="", "",
   IF(Table13[[#This Row],[Quartile Value]] &lt; Table13[[#This Row],[Previous Quartile Value]], "Improved",
   IF(Table13[[#This Row],[Quartile Value]] &gt; Table13[[#This Row],[Previous Quartile Value]], "Dropped", "Same")))</f>
        <v>Same</v>
      </c>
      <c r="J81" s="7" t="s">
        <v>22</v>
      </c>
      <c r="K81" s="7" t="str">
        <f>VLOOKUP(J81,Introduction!$B$6:$C$14,2)</f>
        <v>North West</v>
      </c>
      <c r="L81" s="7">
        <v>159</v>
      </c>
      <c r="M81" s="8" t="s">
        <v>408</v>
      </c>
    </row>
    <row r="82" spans="1:13" ht="19.95" customHeight="1" x14ac:dyDescent="0.25">
      <c r="A82" s="40">
        <v>45474</v>
      </c>
      <c r="B82" s="46">
        <f>MONTH(Table13[[#This Row],[YearMonth]])</f>
        <v>7</v>
      </c>
      <c r="C82" s="5" t="s">
        <v>215</v>
      </c>
      <c r="D82" s="6" t="s">
        <v>341</v>
      </c>
      <c r="E82" s="6">
        <f>IF(Table13[[#This Row],[Quartile]]="TopQuartile", 1,
 IF(Table13[[#This Row],[Quartile]]="SecondQuartile", 2,
 IF(Table13[[#This Row],[Quartile]]="ThirdQuartile", 3,
 IF(Table13[[#This Row],[Quartile]]="FourthQuartile", 4, ""))))</f>
        <v>3</v>
      </c>
      <c r="F82" s="5" t="s">
        <v>419</v>
      </c>
      <c r="G82" s="5" t="str" cm="1">
        <f t="array" ref="G82">IFERROR(
  INDEX(Table13[Quartile],
    MATCH(1,
      (Table13[[#This Row],[OrgName]]=Table13[OrgName]) *
      (Table13[[#This Row],[Month Number]]-1=Table13[Month Number]),
    0)
  ),
"")</f>
        <v>ThirdQuartile</v>
      </c>
      <c r="H82" s="5">
        <f>IF(Table13[[#This Row],[Previous Quartile]]="TopQuartile", 1,
 IF(Table13[[#This Row],[Previous Quartile]]="SecondQuartile", 2,
 IF(Table13[[#This Row],[Previous Quartile]]="ThirdQuartile", 3,
 IF(Table13[[#This Row],[Previous Quartile]]="FourthQuartile", 4, ""))))</f>
        <v>3</v>
      </c>
      <c r="I82" s="5" t="str">
        <f>IF(Table13[[#This Row],[Previous Quartile Value]]="", "",
   IF(Table13[[#This Row],[Quartile Value]] &lt; Table13[[#This Row],[Previous Quartile Value]], "Improved",
   IF(Table13[[#This Row],[Quartile Value]] &gt; Table13[[#This Row],[Previous Quartile Value]], "Dropped", "Same")))</f>
        <v>Same</v>
      </c>
      <c r="J82" s="7" t="s">
        <v>18</v>
      </c>
      <c r="K82" s="7" t="str">
        <f>VLOOKUP(J82,Introduction!$B$6:$C$14,2)</f>
        <v>Midlands</v>
      </c>
      <c r="L82" s="7">
        <v>224</v>
      </c>
      <c r="M82" s="8" t="s">
        <v>408</v>
      </c>
    </row>
    <row r="83" spans="1:13" ht="19.95" customHeight="1" x14ac:dyDescent="0.25">
      <c r="A83" s="40">
        <v>45474</v>
      </c>
      <c r="B83" s="46">
        <f>MONTH(Table13[[#This Row],[YearMonth]])</f>
        <v>7</v>
      </c>
      <c r="C83" s="5" t="s">
        <v>229</v>
      </c>
      <c r="D83" s="6" t="s">
        <v>341</v>
      </c>
      <c r="E83" s="6">
        <f>IF(Table13[[#This Row],[Quartile]]="TopQuartile", 1,
 IF(Table13[[#This Row],[Quartile]]="SecondQuartile", 2,
 IF(Table13[[#This Row],[Quartile]]="ThirdQuartile", 3,
 IF(Table13[[#This Row],[Quartile]]="FourthQuartile", 4, ""))))</f>
        <v>3</v>
      </c>
      <c r="F83" s="5" t="s">
        <v>420</v>
      </c>
      <c r="G83" s="5" t="str" cm="1">
        <f t="array" ref="G83">IFERROR(
  INDEX(Table13[Quartile],
    MATCH(1,
      (Table13[[#This Row],[OrgName]]=Table13[OrgName]) *
      (Table13[[#This Row],[Month Number]]-1=Table13[Month Number]),
    0)
  ),
"")</f>
        <v>ThirdQuartile</v>
      </c>
      <c r="H83" s="5">
        <f>IF(Table13[[#This Row],[Previous Quartile]]="TopQuartile", 1,
 IF(Table13[[#This Row],[Previous Quartile]]="SecondQuartile", 2,
 IF(Table13[[#This Row],[Previous Quartile]]="ThirdQuartile", 3,
 IF(Table13[[#This Row],[Previous Quartile]]="FourthQuartile", 4, ""))))</f>
        <v>3</v>
      </c>
      <c r="I83" s="5" t="str">
        <f>IF(Table13[[#This Row],[Previous Quartile Value]]="", "",
   IF(Table13[[#This Row],[Quartile Value]] &lt; Table13[[#This Row],[Previous Quartile Value]], "Improved",
   IF(Table13[[#This Row],[Quartile Value]] &gt; Table13[[#This Row],[Previous Quartile Value]], "Dropped", "Same")))</f>
        <v>Same</v>
      </c>
      <c r="J83" s="7" t="s">
        <v>18</v>
      </c>
      <c r="K83" s="7" t="str">
        <f>VLOOKUP(J83,Introduction!$B$6:$C$14,2)</f>
        <v>Midlands</v>
      </c>
      <c r="L83" s="7">
        <v>284</v>
      </c>
      <c r="M83" s="8" t="s">
        <v>408</v>
      </c>
    </row>
    <row r="84" spans="1:13" ht="19.95" customHeight="1" x14ac:dyDescent="0.25">
      <c r="A84" s="40">
        <v>45474</v>
      </c>
      <c r="B84" s="46">
        <f>MONTH(Table13[[#This Row],[YearMonth]])</f>
        <v>7</v>
      </c>
      <c r="C84" s="5" t="s">
        <v>239</v>
      </c>
      <c r="D84" s="6" t="s">
        <v>341</v>
      </c>
      <c r="E84" s="6">
        <f>IF(Table13[[#This Row],[Quartile]]="TopQuartile", 1,
 IF(Table13[[#This Row],[Quartile]]="SecondQuartile", 2,
 IF(Table13[[#This Row],[Quartile]]="ThirdQuartile", 3,
 IF(Table13[[#This Row],[Quartile]]="FourthQuartile", 4, ""))))</f>
        <v>3</v>
      </c>
      <c r="F84" s="5" t="s">
        <v>421</v>
      </c>
      <c r="G84" s="5" t="str" cm="1">
        <f t="array" ref="G84">IFERROR(
  INDEX(Table13[Quartile],
    MATCH(1,
      (Table13[[#This Row],[OrgName]]=Table13[OrgName]) *
      (Table13[[#This Row],[Month Number]]-1=Table13[Month Number]),
    0)
  ),
"")</f>
        <v>ThirdQuartile</v>
      </c>
      <c r="H84" s="5">
        <f>IF(Table13[[#This Row],[Previous Quartile]]="TopQuartile", 1,
 IF(Table13[[#This Row],[Previous Quartile]]="SecondQuartile", 2,
 IF(Table13[[#This Row],[Previous Quartile]]="ThirdQuartile", 3,
 IF(Table13[[#This Row],[Previous Quartile]]="FourthQuartile", 4, ""))))</f>
        <v>3</v>
      </c>
      <c r="I84" s="5" t="str">
        <f>IF(Table13[[#This Row],[Previous Quartile Value]]="", "",
   IF(Table13[[#This Row],[Quartile Value]] &lt; Table13[[#This Row],[Previous Quartile Value]], "Improved",
   IF(Table13[[#This Row],[Quartile Value]] &gt; Table13[[#This Row],[Previous Quartile Value]], "Dropped", "Same")))</f>
        <v>Same</v>
      </c>
      <c r="J84" s="7" t="s">
        <v>24</v>
      </c>
      <c r="K84" s="7" t="str">
        <f>VLOOKUP(J84,Introduction!$B$6:$C$14,2)</f>
        <v>North East and Yorkshire</v>
      </c>
      <c r="L84" s="7">
        <v>425</v>
      </c>
      <c r="M84" s="8" t="s">
        <v>408</v>
      </c>
    </row>
    <row r="85" spans="1:13" ht="19.95" customHeight="1" x14ac:dyDescent="0.25">
      <c r="A85" s="40">
        <v>45474</v>
      </c>
      <c r="B85" s="46">
        <f>MONTH(Table13[[#This Row],[YearMonth]])</f>
        <v>7</v>
      </c>
      <c r="C85" s="5" t="s">
        <v>273</v>
      </c>
      <c r="D85" s="6" t="s">
        <v>350</v>
      </c>
      <c r="E85" s="6">
        <f>IF(Table13[[#This Row],[Quartile]]="TopQuartile", 1,
 IF(Table13[[#This Row],[Quartile]]="SecondQuartile", 2,
 IF(Table13[[#This Row],[Quartile]]="ThirdQuartile", 3,
 IF(Table13[[#This Row],[Quartile]]="FourthQuartile", 4, ""))))</f>
        <v>4</v>
      </c>
      <c r="F85" s="5" t="s">
        <v>422</v>
      </c>
      <c r="G85" s="5" t="str" cm="1">
        <f t="array" ref="G85">IFERROR(
  INDEX(Table13[Quartile],
    MATCH(1,
      (Table13[[#This Row],[OrgName]]=Table13[OrgName]) *
      (Table13[[#This Row],[Month Number]]-1=Table13[Month Number]),
    0)
  ),
"")</f>
        <v>FourthQuartile</v>
      </c>
      <c r="H85" s="5">
        <f>IF(Table13[[#This Row],[Previous Quartile]]="TopQuartile", 1,
 IF(Table13[[#This Row],[Previous Quartile]]="SecondQuartile", 2,
 IF(Table13[[#This Row],[Previous Quartile]]="ThirdQuartile", 3,
 IF(Table13[[#This Row],[Previous Quartile]]="FourthQuartile", 4, ""))))</f>
        <v>4</v>
      </c>
      <c r="I85" s="5" t="str">
        <f>IF(Table13[[#This Row],[Previous Quartile Value]]="", "",
   IF(Table13[[#This Row],[Quartile Value]] &lt; Table13[[#This Row],[Previous Quartile Value]], "Improved",
   IF(Table13[[#This Row],[Quartile Value]] &gt; Table13[[#This Row],[Previous Quartile Value]], "Dropped", "Same")))</f>
        <v>Same</v>
      </c>
      <c r="J85" s="7" t="s">
        <v>12</v>
      </c>
      <c r="K85" s="7" t="str">
        <f>VLOOKUP(J85,Introduction!$B$6:$C$14,2)</f>
        <v>London</v>
      </c>
      <c r="L85" s="7">
        <v>392</v>
      </c>
      <c r="M85" s="8" t="s">
        <v>408</v>
      </c>
    </row>
    <row r="86" spans="1:13" ht="19.95" customHeight="1" x14ac:dyDescent="0.25">
      <c r="A86" s="40">
        <v>45474</v>
      </c>
      <c r="B86" s="46">
        <f>MONTH(Table13[[#This Row],[YearMonth]])</f>
        <v>7</v>
      </c>
      <c r="C86" s="5" t="s">
        <v>296</v>
      </c>
      <c r="D86" s="6" t="s">
        <v>350</v>
      </c>
      <c r="E86" s="6">
        <f>IF(Table13[[#This Row],[Quartile]]="TopQuartile", 1,
 IF(Table13[[#This Row],[Quartile]]="SecondQuartile", 2,
 IF(Table13[[#This Row],[Quartile]]="ThirdQuartile", 3,
 IF(Table13[[#This Row],[Quartile]]="FourthQuartile", 4, ""))))</f>
        <v>4</v>
      </c>
      <c r="F86" s="5" t="s">
        <v>423</v>
      </c>
      <c r="G86" s="5" t="str" cm="1">
        <f t="array" ref="G86">IFERROR(
  INDEX(Table13[Quartile],
    MATCH(1,
      (Table13[[#This Row],[OrgName]]=Table13[OrgName]) *
      (Table13[[#This Row],[Month Number]]-1=Table13[Month Number]),
    0)
  ),
"")</f>
        <v>FourthQuartile</v>
      </c>
      <c r="H86" s="5">
        <f>IF(Table13[[#This Row],[Previous Quartile]]="TopQuartile", 1,
 IF(Table13[[#This Row],[Previous Quartile]]="SecondQuartile", 2,
 IF(Table13[[#This Row],[Previous Quartile]]="ThirdQuartile", 3,
 IF(Table13[[#This Row],[Previous Quartile]]="FourthQuartile", 4, ""))))</f>
        <v>4</v>
      </c>
      <c r="I86" s="5" t="str">
        <f>IF(Table13[[#This Row],[Previous Quartile Value]]="", "",
   IF(Table13[[#This Row],[Quartile Value]] &lt; Table13[[#This Row],[Previous Quartile Value]], "Improved",
   IF(Table13[[#This Row],[Quartile Value]] &gt; Table13[[#This Row],[Previous Quartile Value]], "Dropped", "Same")))</f>
        <v>Same</v>
      </c>
      <c r="J86" s="7" t="s">
        <v>22</v>
      </c>
      <c r="K86" s="7" t="str">
        <f>VLOOKUP(J86,Introduction!$B$6:$C$14,2)</f>
        <v>North West</v>
      </c>
      <c r="L86" s="7">
        <v>410</v>
      </c>
      <c r="M86" s="8" t="s">
        <v>408</v>
      </c>
    </row>
    <row r="87" spans="1:13" ht="19.95" customHeight="1" x14ac:dyDescent="0.25">
      <c r="A87" s="40">
        <v>45474</v>
      </c>
      <c r="B87" s="46">
        <f>MONTH(Table13[[#This Row],[YearMonth]])</f>
        <v>7</v>
      </c>
      <c r="C87" s="5" t="s">
        <v>41</v>
      </c>
      <c r="D87" s="6" t="s">
        <v>330</v>
      </c>
      <c r="E87" s="6">
        <f>IF(Table13[[#This Row],[Quartile]]="TopQuartile", 1,
 IF(Table13[[#This Row],[Quartile]]="SecondQuartile", 2,
 IF(Table13[[#This Row],[Quartile]]="ThirdQuartile", 3,
 IF(Table13[[#This Row],[Quartile]]="FourthQuartile", 4, ""))))</f>
        <v>1</v>
      </c>
      <c r="F87" s="5" t="s">
        <v>424</v>
      </c>
      <c r="G87" s="5" t="str" cm="1">
        <f t="array" ref="G87">IFERROR(
  INDEX(Table13[Quartile],
    MATCH(1,
      (Table13[[#This Row],[OrgName]]=Table13[OrgName]) *
      (Table13[[#This Row],[Month Number]]-1=Table13[Month Number]),
    0)
  ),
"")</f>
        <v>TopQuartile</v>
      </c>
      <c r="H87" s="5">
        <f>IF(Table13[[#This Row],[Previous Quartile]]="TopQuartile", 1,
 IF(Table13[[#This Row],[Previous Quartile]]="SecondQuartile", 2,
 IF(Table13[[#This Row],[Previous Quartile]]="ThirdQuartile", 3,
 IF(Table13[[#This Row],[Previous Quartile]]="FourthQuartile", 4, ""))))</f>
        <v>1</v>
      </c>
      <c r="I87" s="5" t="str">
        <f>IF(Table13[[#This Row],[Previous Quartile Value]]="", "",
   IF(Table13[[#This Row],[Quartile Value]] &lt; Table13[[#This Row],[Previous Quartile Value]], "Improved",
   IF(Table13[[#This Row],[Quartile Value]] &gt; Table13[[#This Row],[Previous Quartile Value]], "Dropped", "Same")))</f>
        <v>Same</v>
      </c>
      <c r="J87" s="7" t="s">
        <v>24</v>
      </c>
      <c r="K87" s="7" t="str">
        <f>VLOOKUP(J87,Introduction!$B$6:$C$14,2)</f>
        <v>North East and Yorkshire</v>
      </c>
      <c r="L87" s="7">
        <v>389</v>
      </c>
      <c r="M87" s="8" t="s">
        <v>425</v>
      </c>
    </row>
    <row r="88" spans="1:13" ht="19.95" customHeight="1" x14ac:dyDescent="0.25">
      <c r="A88" s="40">
        <v>45474</v>
      </c>
      <c r="B88" s="46">
        <f>MONTH(Table13[[#This Row],[YearMonth]])</f>
        <v>7</v>
      </c>
      <c r="C88" s="5" t="s">
        <v>69</v>
      </c>
      <c r="D88" s="6" t="s">
        <v>330</v>
      </c>
      <c r="E88" s="6">
        <f>IF(Table13[[#This Row],[Quartile]]="TopQuartile", 1,
 IF(Table13[[#This Row],[Quartile]]="SecondQuartile", 2,
 IF(Table13[[#This Row],[Quartile]]="ThirdQuartile", 3,
 IF(Table13[[#This Row],[Quartile]]="FourthQuartile", 4, ""))))</f>
        <v>1</v>
      </c>
      <c r="F88" s="5" t="s">
        <v>426</v>
      </c>
      <c r="G88" s="5" t="str" cm="1">
        <f t="array" ref="G88">IFERROR(
  INDEX(Table13[Quartile],
    MATCH(1,
      (Table13[[#This Row],[OrgName]]=Table13[OrgName]) *
      (Table13[[#This Row],[Month Number]]-1=Table13[Month Number]),
    0)
  ),
"")</f>
        <v>TopQuartile</v>
      </c>
      <c r="H88" s="5">
        <f>IF(Table13[[#This Row],[Previous Quartile]]="TopQuartile", 1,
 IF(Table13[[#This Row],[Previous Quartile]]="SecondQuartile", 2,
 IF(Table13[[#This Row],[Previous Quartile]]="ThirdQuartile", 3,
 IF(Table13[[#This Row],[Previous Quartile]]="FourthQuartile", 4, ""))))</f>
        <v>1</v>
      </c>
      <c r="I88" s="5" t="str">
        <f>IF(Table13[[#This Row],[Previous Quartile Value]]="", "",
   IF(Table13[[#This Row],[Quartile Value]] &lt; Table13[[#This Row],[Previous Quartile Value]], "Improved",
   IF(Table13[[#This Row],[Quartile Value]] &gt; Table13[[#This Row],[Previous Quartile Value]], "Dropped", "Same")))</f>
        <v>Same</v>
      </c>
      <c r="J88" s="7" t="s">
        <v>18</v>
      </c>
      <c r="K88" s="7" t="str">
        <f>VLOOKUP(J88,Introduction!$B$6:$C$14,2)</f>
        <v>Midlands</v>
      </c>
      <c r="L88" s="7">
        <v>320</v>
      </c>
      <c r="M88" s="8" t="s">
        <v>425</v>
      </c>
    </row>
    <row r="89" spans="1:13" ht="19.95" customHeight="1" x14ac:dyDescent="0.25">
      <c r="A89" s="40">
        <v>45474</v>
      </c>
      <c r="B89" s="46">
        <f>MONTH(Table13[[#This Row],[YearMonth]])</f>
        <v>7</v>
      </c>
      <c r="C89" s="5" t="s">
        <v>82</v>
      </c>
      <c r="D89" s="6" t="s">
        <v>330</v>
      </c>
      <c r="E89" s="6">
        <f>IF(Table13[[#This Row],[Quartile]]="TopQuartile", 1,
 IF(Table13[[#This Row],[Quartile]]="SecondQuartile", 2,
 IF(Table13[[#This Row],[Quartile]]="ThirdQuartile", 3,
 IF(Table13[[#This Row],[Quartile]]="FourthQuartile", 4, ""))))</f>
        <v>1</v>
      </c>
      <c r="F89" s="5" t="s">
        <v>427</v>
      </c>
      <c r="G89" s="5" t="str" cm="1">
        <f t="array" ref="G89">IFERROR(
  INDEX(Table13[Quartile],
    MATCH(1,
      (Table13[[#This Row],[OrgName]]=Table13[OrgName]) *
      (Table13[[#This Row],[Month Number]]-1=Table13[Month Number]),
    0)
  ),
"")</f>
        <v>TopQuartile</v>
      </c>
      <c r="H89" s="5">
        <f>IF(Table13[[#This Row],[Previous Quartile]]="TopQuartile", 1,
 IF(Table13[[#This Row],[Previous Quartile]]="SecondQuartile", 2,
 IF(Table13[[#This Row],[Previous Quartile]]="ThirdQuartile", 3,
 IF(Table13[[#This Row],[Previous Quartile]]="FourthQuartile", 4, ""))))</f>
        <v>1</v>
      </c>
      <c r="I89" s="5" t="str">
        <f>IF(Table13[[#This Row],[Previous Quartile Value]]="", "",
   IF(Table13[[#This Row],[Quartile Value]] &lt; Table13[[#This Row],[Previous Quartile Value]], "Improved",
   IF(Table13[[#This Row],[Quartile Value]] &gt; Table13[[#This Row],[Previous Quartile Value]], "Dropped", "Same")))</f>
        <v>Same</v>
      </c>
      <c r="J89" s="7" t="s">
        <v>20</v>
      </c>
      <c r="K89" s="7" t="str">
        <f>VLOOKUP(J89,Introduction!$B$6:$C$14,2)</f>
        <v>East of England</v>
      </c>
      <c r="L89" s="7">
        <v>180</v>
      </c>
      <c r="M89" s="8" t="s">
        <v>425</v>
      </c>
    </row>
    <row r="90" spans="1:13" ht="19.95" customHeight="1" x14ac:dyDescent="0.25">
      <c r="A90" s="40">
        <v>45474</v>
      </c>
      <c r="B90" s="46">
        <f>MONTH(Table13[[#This Row],[YearMonth]])</f>
        <v>7</v>
      </c>
      <c r="C90" s="5" t="s">
        <v>88</v>
      </c>
      <c r="D90" s="6" t="s">
        <v>330</v>
      </c>
      <c r="E90" s="6">
        <f>IF(Table13[[#This Row],[Quartile]]="TopQuartile", 1,
 IF(Table13[[#This Row],[Quartile]]="SecondQuartile", 2,
 IF(Table13[[#This Row],[Quartile]]="ThirdQuartile", 3,
 IF(Table13[[#This Row],[Quartile]]="FourthQuartile", 4, ""))))</f>
        <v>1</v>
      </c>
      <c r="F90" s="5" t="s">
        <v>428</v>
      </c>
      <c r="G90" s="5" t="str" cm="1">
        <f t="array" ref="G90">IFERROR(
  INDEX(Table13[Quartile],
    MATCH(1,
      (Table13[[#This Row],[OrgName]]=Table13[OrgName]) *
      (Table13[[#This Row],[Month Number]]-1=Table13[Month Number]),
    0)
  ),
"")</f>
        <v>SecondQuartile</v>
      </c>
      <c r="H90" s="5">
        <f>IF(Table13[[#This Row],[Previous Quartile]]="TopQuartile", 1,
 IF(Table13[[#This Row],[Previous Quartile]]="SecondQuartile", 2,
 IF(Table13[[#This Row],[Previous Quartile]]="ThirdQuartile", 3,
 IF(Table13[[#This Row],[Previous Quartile]]="FourthQuartile", 4, ""))))</f>
        <v>2</v>
      </c>
      <c r="I90" s="5" t="str">
        <f>IF(Table13[[#This Row],[Previous Quartile Value]]="", "",
   IF(Table13[[#This Row],[Quartile Value]] &lt; Table13[[#This Row],[Previous Quartile Value]], "Improved",
   IF(Table13[[#This Row],[Quartile Value]] &gt; Table13[[#This Row],[Previous Quartile Value]], "Dropped", "Same")))</f>
        <v>Improved</v>
      </c>
      <c r="J90" s="7" t="s">
        <v>22</v>
      </c>
      <c r="K90" s="7" t="str">
        <f>VLOOKUP(J90,Introduction!$B$6:$C$14,2)</f>
        <v>North West</v>
      </c>
      <c r="L90" s="7">
        <v>408</v>
      </c>
      <c r="M90" s="8" t="s">
        <v>425</v>
      </c>
    </row>
    <row r="91" spans="1:13" ht="19.95" customHeight="1" x14ac:dyDescent="0.25">
      <c r="A91" s="40">
        <v>45474</v>
      </c>
      <c r="B91" s="46">
        <f>MONTH(Table13[[#This Row],[YearMonth]])</f>
        <v>7</v>
      </c>
      <c r="C91" s="5" t="s">
        <v>94</v>
      </c>
      <c r="D91" s="6" t="s">
        <v>330</v>
      </c>
      <c r="E91" s="6">
        <f>IF(Table13[[#This Row],[Quartile]]="TopQuartile", 1,
 IF(Table13[[#This Row],[Quartile]]="SecondQuartile", 2,
 IF(Table13[[#This Row],[Quartile]]="ThirdQuartile", 3,
 IF(Table13[[#This Row],[Quartile]]="FourthQuartile", 4, ""))))</f>
        <v>1</v>
      </c>
      <c r="F91" s="5" t="s">
        <v>429</v>
      </c>
      <c r="G91" s="5" t="str" cm="1">
        <f t="array" ref="G91">IFERROR(
  INDEX(Table13[Quartile],
    MATCH(1,
      (Table13[[#This Row],[OrgName]]=Table13[OrgName]) *
      (Table13[[#This Row],[Month Number]]-1=Table13[Month Number]),
    0)
  ),
"")</f>
        <v>TopQuartile</v>
      </c>
      <c r="H91" s="5">
        <f>IF(Table13[[#This Row],[Previous Quartile]]="TopQuartile", 1,
 IF(Table13[[#This Row],[Previous Quartile]]="SecondQuartile", 2,
 IF(Table13[[#This Row],[Previous Quartile]]="ThirdQuartile", 3,
 IF(Table13[[#This Row],[Previous Quartile]]="FourthQuartile", 4, ""))))</f>
        <v>1</v>
      </c>
      <c r="I91" s="5" t="str">
        <f>IF(Table13[[#This Row],[Previous Quartile Value]]="", "",
   IF(Table13[[#This Row],[Quartile Value]] &lt; Table13[[#This Row],[Previous Quartile Value]], "Improved",
   IF(Table13[[#This Row],[Quartile Value]] &gt; Table13[[#This Row],[Previous Quartile Value]], "Dropped", "Same")))</f>
        <v>Same</v>
      </c>
      <c r="J91" s="7" t="s">
        <v>22</v>
      </c>
      <c r="K91" s="7" t="str">
        <f>VLOOKUP(J91,Introduction!$B$6:$C$14,2)</f>
        <v>North West</v>
      </c>
      <c r="L91" s="7">
        <v>438</v>
      </c>
      <c r="M91" s="8" t="s">
        <v>425</v>
      </c>
    </row>
    <row r="92" spans="1:13" ht="19.95" customHeight="1" x14ac:dyDescent="0.25">
      <c r="A92" s="40">
        <v>45474</v>
      </c>
      <c r="B92" s="46">
        <f>MONTH(Table13[[#This Row],[YearMonth]])</f>
        <v>7</v>
      </c>
      <c r="C92" s="5" t="s">
        <v>95</v>
      </c>
      <c r="D92" s="6" t="s">
        <v>330</v>
      </c>
      <c r="E92" s="6">
        <f>IF(Table13[[#This Row],[Quartile]]="TopQuartile", 1,
 IF(Table13[[#This Row],[Quartile]]="SecondQuartile", 2,
 IF(Table13[[#This Row],[Quartile]]="ThirdQuartile", 3,
 IF(Table13[[#This Row],[Quartile]]="FourthQuartile", 4, ""))))</f>
        <v>1</v>
      </c>
      <c r="F92" s="5" t="s">
        <v>430</v>
      </c>
      <c r="G92" s="5" t="str" cm="1">
        <f t="array" ref="G92">IFERROR(
  INDEX(Table13[Quartile],
    MATCH(1,
      (Table13[[#This Row],[OrgName]]=Table13[OrgName]) *
      (Table13[[#This Row],[Month Number]]-1=Table13[Month Number]),
    0)
  ),
"")</f>
        <v>TopQuartile</v>
      </c>
      <c r="H92" s="5">
        <f>IF(Table13[[#This Row],[Previous Quartile]]="TopQuartile", 1,
 IF(Table13[[#This Row],[Previous Quartile]]="SecondQuartile", 2,
 IF(Table13[[#This Row],[Previous Quartile]]="ThirdQuartile", 3,
 IF(Table13[[#This Row],[Previous Quartile]]="FourthQuartile", 4, ""))))</f>
        <v>1</v>
      </c>
      <c r="I92" s="5" t="str">
        <f>IF(Table13[[#This Row],[Previous Quartile Value]]="", "",
   IF(Table13[[#This Row],[Quartile Value]] &lt; Table13[[#This Row],[Previous Quartile Value]], "Improved",
   IF(Table13[[#This Row],[Quartile Value]] &gt; Table13[[#This Row],[Previous Quartile Value]], "Dropped", "Same")))</f>
        <v>Same</v>
      </c>
      <c r="J92" s="7" t="s">
        <v>24</v>
      </c>
      <c r="K92" s="7" t="str">
        <f>VLOOKUP(J92,Introduction!$B$6:$C$14,2)</f>
        <v>North East and Yorkshire</v>
      </c>
      <c r="L92" s="7">
        <v>317</v>
      </c>
      <c r="M92" s="8" t="s">
        <v>425</v>
      </c>
    </row>
    <row r="93" spans="1:13" ht="19.95" customHeight="1" x14ac:dyDescent="0.25">
      <c r="A93" s="40">
        <v>45474</v>
      </c>
      <c r="B93" s="46">
        <f>MONTH(Table13[[#This Row],[YearMonth]])</f>
        <v>7</v>
      </c>
      <c r="C93" s="5" t="s">
        <v>103</v>
      </c>
      <c r="D93" s="6" t="s">
        <v>338</v>
      </c>
      <c r="E93" s="6">
        <f>IF(Table13[[#This Row],[Quartile]]="TopQuartile", 1,
 IF(Table13[[#This Row],[Quartile]]="SecondQuartile", 2,
 IF(Table13[[#This Row],[Quartile]]="ThirdQuartile", 3,
 IF(Table13[[#This Row],[Quartile]]="FourthQuartile", 4, ""))))</f>
        <v>2</v>
      </c>
      <c r="F93" s="5" t="s">
        <v>431</v>
      </c>
      <c r="G93" s="5" t="str" cm="1">
        <f t="array" ref="G93">IFERROR(
  INDEX(Table13[Quartile],
    MATCH(1,
      (Table13[[#This Row],[OrgName]]=Table13[OrgName]) *
      (Table13[[#This Row],[Month Number]]-1=Table13[Month Number]),
    0)
  ),
"")</f>
        <v>TopQuartile</v>
      </c>
      <c r="H93" s="5">
        <f>IF(Table13[[#This Row],[Previous Quartile]]="TopQuartile", 1,
 IF(Table13[[#This Row],[Previous Quartile]]="SecondQuartile", 2,
 IF(Table13[[#This Row],[Previous Quartile]]="ThirdQuartile", 3,
 IF(Table13[[#This Row],[Previous Quartile]]="FourthQuartile", 4, ""))))</f>
        <v>1</v>
      </c>
      <c r="I93" s="5" t="str">
        <f>IF(Table13[[#This Row],[Previous Quartile Value]]="", "",
   IF(Table13[[#This Row],[Quartile Value]] &lt; Table13[[#This Row],[Previous Quartile Value]], "Improved",
   IF(Table13[[#This Row],[Quartile Value]] &gt; Table13[[#This Row],[Previous Quartile Value]], "Dropped", "Same")))</f>
        <v>Dropped</v>
      </c>
      <c r="J93" s="7" t="s">
        <v>16</v>
      </c>
      <c r="K93" s="7" t="str">
        <f>VLOOKUP(J93,Introduction!$B$6:$C$14,2)</f>
        <v>South East</v>
      </c>
      <c r="L93" s="7">
        <v>188</v>
      </c>
      <c r="M93" s="8" t="s">
        <v>425</v>
      </c>
    </row>
    <row r="94" spans="1:13" ht="19.95" customHeight="1" x14ac:dyDescent="0.25">
      <c r="A94" s="40">
        <v>45474</v>
      </c>
      <c r="B94" s="46">
        <f>MONTH(Table13[[#This Row],[YearMonth]])</f>
        <v>7</v>
      </c>
      <c r="C94" s="5" t="s">
        <v>119</v>
      </c>
      <c r="D94" s="6" t="s">
        <v>338</v>
      </c>
      <c r="E94" s="6">
        <f>IF(Table13[[#This Row],[Quartile]]="TopQuartile", 1,
 IF(Table13[[#This Row],[Quartile]]="SecondQuartile", 2,
 IF(Table13[[#This Row],[Quartile]]="ThirdQuartile", 3,
 IF(Table13[[#This Row],[Quartile]]="FourthQuartile", 4, ""))))</f>
        <v>2</v>
      </c>
      <c r="F94" s="5" t="s">
        <v>432</v>
      </c>
      <c r="G94" s="5" t="str" cm="1">
        <f t="array" ref="G94">IFERROR(
  INDEX(Table13[Quartile],
    MATCH(1,
      (Table13[[#This Row],[OrgName]]=Table13[OrgName]) *
      (Table13[[#This Row],[Month Number]]-1=Table13[Month Number]),
    0)
  ),
"")</f>
        <v>SecondQuartile</v>
      </c>
      <c r="H94" s="5">
        <f>IF(Table13[[#This Row],[Previous Quartile]]="TopQuartile", 1,
 IF(Table13[[#This Row],[Previous Quartile]]="SecondQuartile", 2,
 IF(Table13[[#This Row],[Previous Quartile]]="ThirdQuartile", 3,
 IF(Table13[[#This Row],[Previous Quartile]]="FourthQuartile", 4, ""))))</f>
        <v>2</v>
      </c>
      <c r="I94" s="5" t="str">
        <f>IF(Table13[[#This Row],[Previous Quartile Value]]="", "",
   IF(Table13[[#This Row],[Quartile Value]] &lt; Table13[[#This Row],[Previous Quartile Value]], "Improved",
   IF(Table13[[#This Row],[Quartile Value]] &gt; Table13[[#This Row],[Previous Quartile Value]], "Dropped", "Same")))</f>
        <v>Same</v>
      </c>
      <c r="J94" s="7" t="s">
        <v>22</v>
      </c>
      <c r="K94" s="7" t="str">
        <f>VLOOKUP(J94,Introduction!$B$6:$C$14,2)</f>
        <v>North West</v>
      </c>
      <c r="L94" s="7">
        <v>236</v>
      </c>
      <c r="M94" s="8" t="s">
        <v>425</v>
      </c>
    </row>
    <row r="95" spans="1:13" ht="19.95" customHeight="1" x14ac:dyDescent="0.25">
      <c r="A95" s="40">
        <v>45474</v>
      </c>
      <c r="B95" s="46">
        <f>MONTH(Table13[[#This Row],[YearMonth]])</f>
        <v>7</v>
      </c>
      <c r="C95" s="5" t="s">
        <v>128</v>
      </c>
      <c r="D95" s="6" t="s">
        <v>338</v>
      </c>
      <c r="E95" s="6">
        <f>IF(Table13[[#This Row],[Quartile]]="TopQuartile", 1,
 IF(Table13[[#This Row],[Quartile]]="SecondQuartile", 2,
 IF(Table13[[#This Row],[Quartile]]="ThirdQuartile", 3,
 IF(Table13[[#This Row],[Quartile]]="FourthQuartile", 4, ""))))</f>
        <v>2</v>
      </c>
      <c r="F95" s="5" t="s">
        <v>433</v>
      </c>
      <c r="G95" s="5" t="str" cm="1">
        <f t="array" ref="G95">IFERROR(
  INDEX(Table13[Quartile],
    MATCH(1,
      (Table13[[#This Row],[OrgName]]=Table13[OrgName]) *
      (Table13[[#This Row],[Month Number]]-1=Table13[Month Number]),
    0)
  ),
"")</f>
        <v>SecondQuartile</v>
      </c>
      <c r="H95" s="5">
        <f>IF(Table13[[#This Row],[Previous Quartile]]="TopQuartile", 1,
 IF(Table13[[#This Row],[Previous Quartile]]="SecondQuartile", 2,
 IF(Table13[[#This Row],[Previous Quartile]]="ThirdQuartile", 3,
 IF(Table13[[#This Row],[Previous Quartile]]="FourthQuartile", 4, ""))))</f>
        <v>2</v>
      </c>
      <c r="I95" s="5" t="str">
        <f>IF(Table13[[#This Row],[Previous Quartile Value]]="", "",
   IF(Table13[[#This Row],[Quartile Value]] &lt; Table13[[#This Row],[Previous Quartile Value]], "Improved",
   IF(Table13[[#This Row],[Quartile Value]] &gt; Table13[[#This Row],[Previous Quartile Value]], "Dropped", "Same")))</f>
        <v>Same</v>
      </c>
      <c r="J95" s="7" t="s">
        <v>12</v>
      </c>
      <c r="K95" s="7" t="str">
        <f>VLOOKUP(J95,Introduction!$B$6:$C$14,2)</f>
        <v>London</v>
      </c>
      <c r="L95" s="7">
        <v>162</v>
      </c>
      <c r="M95" s="8" t="s">
        <v>425</v>
      </c>
    </row>
    <row r="96" spans="1:13" ht="19.95" customHeight="1" x14ac:dyDescent="0.25">
      <c r="A96" s="40">
        <v>45474</v>
      </c>
      <c r="B96" s="46">
        <f>MONTH(Table13[[#This Row],[YearMonth]])</f>
        <v>7</v>
      </c>
      <c r="C96" s="5" t="s">
        <v>140</v>
      </c>
      <c r="D96" s="6" t="s">
        <v>338</v>
      </c>
      <c r="E96" s="6">
        <f>IF(Table13[[#This Row],[Quartile]]="TopQuartile", 1,
 IF(Table13[[#This Row],[Quartile]]="SecondQuartile", 2,
 IF(Table13[[#This Row],[Quartile]]="ThirdQuartile", 3,
 IF(Table13[[#This Row],[Quartile]]="FourthQuartile", 4, ""))))</f>
        <v>2</v>
      </c>
      <c r="F96" s="5" t="s">
        <v>434</v>
      </c>
      <c r="G96" s="5" t="str" cm="1">
        <f t="array" ref="G96">IFERROR(
  INDEX(Table13[Quartile],
    MATCH(1,
      (Table13[[#This Row],[OrgName]]=Table13[OrgName]) *
      (Table13[[#This Row],[Month Number]]-1=Table13[Month Number]),
    0)
  ),
"")</f>
        <v>SecondQuartile</v>
      </c>
      <c r="H96" s="5">
        <f>IF(Table13[[#This Row],[Previous Quartile]]="TopQuartile", 1,
 IF(Table13[[#This Row],[Previous Quartile]]="SecondQuartile", 2,
 IF(Table13[[#This Row],[Previous Quartile]]="ThirdQuartile", 3,
 IF(Table13[[#This Row],[Previous Quartile]]="FourthQuartile", 4, ""))))</f>
        <v>2</v>
      </c>
      <c r="I96" s="5" t="str">
        <f>IF(Table13[[#This Row],[Previous Quartile Value]]="", "",
   IF(Table13[[#This Row],[Quartile Value]] &lt; Table13[[#This Row],[Previous Quartile Value]], "Improved",
   IF(Table13[[#This Row],[Quartile Value]] &gt; Table13[[#This Row],[Previous Quartile Value]], "Dropped", "Same")))</f>
        <v>Same</v>
      </c>
      <c r="J96" s="7" t="s">
        <v>18</v>
      </c>
      <c r="K96" s="7" t="str">
        <f>VLOOKUP(J96,Introduction!$B$6:$C$14,2)</f>
        <v>Midlands</v>
      </c>
      <c r="L96" s="7">
        <v>203</v>
      </c>
      <c r="M96" s="8" t="s">
        <v>425</v>
      </c>
    </row>
    <row r="97" spans="1:13" ht="19.95" customHeight="1" x14ac:dyDescent="0.25">
      <c r="A97" s="40">
        <v>45474</v>
      </c>
      <c r="B97" s="46">
        <f>MONTH(Table13[[#This Row],[YearMonth]])</f>
        <v>7</v>
      </c>
      <c r="C97" s="5" t="s">
        <v>142</v>
      </c>
      <c r="D97" s="6" t="s">
        <v>338</v>
      </c>
      <c r="E97" s="6">
        <f>IF(Table13[[#This Row],[Quartile]]="TopQuartile", 1,
 IF(Table13[[#This Row],[Quartile]]="SecondQuartile", 2,
 IF(Table13[[#This Row],[Quartile]]="ThirdQuartile", 3,
 IF(Table13[[#This Row],[Quartile]]="FourthQuartile", 4, ""))))</f>
        <v>2</v>
      </c>
      <c r="F97" s="5" t="s">
        <v>435</v>
      </c>
      <c r="G97" s="5" t="str" cm="1">
        <f t="array" ref="G97">IFERROR(
  INDEX(Table13[Quartile],
    MATCH(1,
      (Table13[[#This Row],[OrgName]]=Table13[OrgName]) *
      (Table13[[#This Row],[Month Number]]-1=Table13[Month Number]),
    0)
  ),
"")</f>
        <v>SecondQuartile</v>
      </c>
      <c r="H97" s="5">
        <f>IF(Table13[[#This Row],[Previous Quartile]]="TopQuartile", 1,
 IF(Table13[[#This Row],[Previous Quartile]]="SecondQuartile", 2,
 IF(Table13[[#This Row],[Previous Quartile]]="ThirdQuartile", 3,
 IF(Table13[[#This Row],[Previous Quartile]]="FourthQuartile", 4, ""))))</f>
        <v>2</v>
      </c>
      <c r="I97" s="5" t="str">
        <f>IF(Table13[[#This Row],[Previous Quartile Value]]="", "",
   IF(Table13[[#This Row],[Quartile Value]] &lt; Table13[[#This Row],[Previous Quartile Value]], "Improved",
   IF(Table13[[#This Row],[Quartile Value]] &gt; Table13[[#This Row],[Previous Quartile Value]], "Dropped", "Same")))</f>
        <v>Same</v>
      </c>
      <c r="J97" s="7" t="s">
        <v>22</v>
      </c>
      <c r="K97" s="7" t="str">
        <f>VLOOKUP(J97,Introduction!$B$6:$C$14,2)</f>
        <v>North West</v>
      </c>
      <c r="L97" s="5">
        <v>96</v>
      </c>
      <c r="M97" s="8" t="s">
        <v>425</v>
      </c>
    </row>
    <row r="98" spans="1:13" ht="19.95" customHeight="1" x14ac:dyDescent="0.25">
      <c r="A98" s="40">
        <v>45474</v>
      </c>
      <c r="B98" s="46">
        <f>MONTH(Table13[[#This Row],[YearMonth]])</f>
        <v>7</v>
      </c>
      <c r="C98" s="5" t="s">
        <v>142</v>
      </c>
      <c r="D98" s="6" t="s">
        <v>338</v>
      </c>
      <c r="E98" s="6">
        <f>IF(Table13[[#This Row],[Quartile]]="TopQuartile", 1,
 IF(Table13[[#This Row],[Quartile]]="SecondQuartile", 2,
 IF(Table13[[#This Row],[Quartile]]="ThirdQuartile", 3,
 IF(Table13[[#This Row],[Quartile]]="FourthQuartile", 4, ""))))</f>
        <v>2</v>
      </c>
      <c r="F98" s="5" t="s">
        <v>435</v>
      </c>
      <c r="G98" s="5" t="str" cm="1">
        <f t="array" ref="G98">IFERROR(
  INDEX(Table13[Quartile],
    MATCH(1,
      (Table13[[#This Row],[OrgName]]=Table13[OrgName]) *
      (Table13[[#This Row],[Month Number]]-1=Table13[Month Number]),
    0)
  ),
"")</f>
        <v>SecondQuartile</v>
      </c>
      <c r="H98" s="5">
        <f>IF(Table13[[#This Row],[Previous Quartile]]="TopQuartile", 1,
 IF(Table13[[#This Row],[Previous Quartile]]="SecondQuartile", 2,
 IF(Table13[[#This Row],[Previous Quartile]]="ThirdQuartile", 3,
 IF(Table13[[#This Row],[Previous Quartile]]="FourthQuartile", 4, ""))))</f>
        <v>2</v>
      </c>
      <c r="I98" s="5" t="str">
        <f>IF(Table13[[#This Row],[Previous Quartile Value]]="", "",
   IF(Table13[[#This Row],[Quartile Value]] &lt; Table13[[#This Row],[Previous Quartile Value]], "Improved",
   IF(Table13[[#This Row],[Quartile Value]] &gt; Table13[[#This Row],[Previous Quartile Value]], "Dropped", "Same")))</f>
        <v>Same</v>
      </c>
      <c r="J98" s="7" t="s">
        <v>22</v>
      </c>
      <c r="K98" s="7" t="str">
        <f>VLOOKUP(J98,Introduction!$B$6:$C$14,2)</f>
        <v>North West</v>
      </c>
      <c r="L98" s="5">
        <v>409</v>
      </c>
      <c r="M98" s="8" t="s">
        <v>425</v>
      </c>
    </row>
    <row r="99" spans="1:13" ht="19.95" customHeight="1" x14ac:dyDescent="0.25">
      <c r="A99" s="40">
        <v>45474</v>
      </c>
      <c r="B99" s="46">
        <f>MONTH(Table13[[#This Row],[YearMonth]])</f>
        <v>7</v>
      </c>
      <c r="C99" s="5" t="s">
        <v>144</v>
      </c>
      <c r="D99" s="6" t="s">
        <v>338</v>
      </c>
      <c r="E99" s="6">
        <f>IF(Table13[[#This Row],[Quartile]]="TopQuartile", 1,
 IF(Table13[[#This Row],[Quartile]]="SecondQuartile", 2,
 IF(Table13[[#This Row],[Quartile]]="ThirdQuartile", 3,
 IF(Table13[[#This Row],[Quartile]]="FourthQuartile", 4, ""))))</f>
        <v>2</v>
      </c>
      <c r="F99" s="5" t="s">
        <v>436</v>
      </c>
      <c r="G99" s="5" t="str" cm="1">
        <f t="array" ref="G99">IFERROR(
  INDEX(Table13[Quartile],
    MATCH(1,
      (Table13[[#This Row],[OrgName]]=Table13[OrgName]) *
      (Table13[[#This Row],[Month Number]]-1=Table13[Month Number]),
    0)
  ),
"")</f>
        <v>SecondQuartile</v>
      </c>
      <c r="H99" s="5">
        <f>IF(Table13[[#This Row],[Previous Quartile]]="TopQuartile", 1,
 IF(Table13[[#This Row],[Previous Quartile]]="SecondQuartile", 2,
 IF(Table13[[#This Row],[Previous Quartile]]="ThirdQuartile", 3,
 IF(Table13[[#This Row],[Previous Quartile]]="FourthQuartile", 4, ""))))</f>
        <v>2</v>
      </c>
      <c r="I99" s="5" t="str">
        <f>IF(Table13[[#This Row],[Previous Quartile Value]]="", "",
   IF(Table13[[#This Row],[Quartile Value]] &lt; Table13[[#This Row],[Previous Quartile Value]], "Improved",
   IF(Table13[[#This Row],[Quartile Value]] &gt; Table13[[#This Row],[Previous Quartile Value]], "Dropped", "Same")))</f>
        <v>Same</v>
      </c>
      <c r="J99" s="7" t="s">
        <v>24</v>
      </c>
      <c r="K99" s="7" t="str">
        <f>VLOOKUP(J99,Introduction!$B$6:$C$14,2)</f>
        <v>North East and Yorkshire</v>
      </c>
      <c r="L99" s="7">
        <v>190</v>
      </c>
      <c r="M99" s="8" t="s">
        <v>425</v>
      </c>
    </row>
    <row r="100" spans="1:13" ht="19.95" customHeight="1" x14ac:dyDescent="0.25">
      <c r="A100" s="40">
        <v>45474</v>
      </c>
      <c r="B100" s="46">
        <f>MONTH(Table13[[#This Row],[YearMonth]])</f>
        <v>7</v>
      </c>
      <c r="C100" s="5" t="s">
        <v>147</v>
      </c>
      <c r="D100" s="6" t="s">
        <v>338</v>
      </c>
      <c r="E100" s="6">
        <f>IF(Table13[[#This Row],[Quartile]]="TopQuartile", 1,
 IF(Table13[[#This Row],[Quartile]]="SecondQuartile", 2,
 IF(Table13[[#This Row],[Quartile]]="ThirdQuartile", 3,
 IF(Table13[[#This Row],[Quartile]]="FourthQuartile", 4, ""))))</f>
        <v>2</v>
      </c>
      <c r="F100" s="5" t="s">
        <v>437</v>
      </c>
      <c r="G100" s="5" t="str" cm="1">
        <f t="array" ref="G100">IFERROR(
  INDEX(Table13[Quartile],
    MATCH(1,
      (Table13[[#This Row],[OrgName]]=Table13[OrgName]) *
      (Table13[[#This Row],[Month Number]]-1=Table13[Month Number]),
    0)
  ),
"")</f>
        <v>SecondQuartile</v>
      </c>
      <c r="H100" s="5">
        <f>IF(Table13[[#This Row],[Previous Quartile]]="TopQuartile", 1,
 IF(Table13[[#This Row],[Previous Quartile]]="SecondQuartile", 2,
 IF(Table13[[#This Row],[Previous Quartile]]="ThirdQuartile", 3,
 IF(Table13[[#This Row],[Previous Quartile]]="FourthQuartile", 4, ""))))</f>
        <v>2</v>
      </c>
      <c r="I100" s="5" t="str">
        <f>IF(Table13[[#This Row],[Previous Quartile Value]]="", "",
   IF(Table13[[#This Row],[Quartile Value]] &lt; Table13[[#This Row],[Previous Quartile Value]], "Improved",
   IF(Table13[[#This Row],[Quartile Value]] &gt; Table13[[#This Row],[Previous Quartile Value]], "Dropped", "Same")))</f>
        <v>Same</v>
      </c>
      <c r="J100" s="7" t="s">
        <v>22</v>
      </c>
      <c r="K100" s="7" t="str">
        <f>VLOOKUP(J100,Introduction!$B$6:$C$14,2)</f>
        <v>North West</v>
      </c>
      <c r="L100" s="7">
        <v>331</v>
      </c>
      <c r="M100" s="8" t="s">
        <v>425</v>
      </c>
    </row>
    <row r="101" spans="1:13" ht="19.95" customHeight="1" x14ac:dyDescent="0.25">
      <c r="A101" s="40">
        <v>45474</v>
      </c>
      <c r="B101" s="46">
        <f>MONTH(Table13[[#This Row],[YearMonth]])</f>
        <v>7</v>
      </c>
      <c r="C101" s="5" t="s">
        <v>149</v>
      </c>
      <c r="D101" s="6" t="s">
        <v>338</v>
      </c>
      <c r="E101" s="6">
        <f>IF(Table13[[#This Row],[Quartile]]="TopQuartile", 1,
 IF(Table13[[#This Row],[Quartile]]="SecondQuartile", 2,
 IF(Table13[[#This Row],[Quartile]]="ThirdQuartile", 3,
 IF(Table13[[#This Row],[Quartile]]="FourthQuartile", 4, ""))))</f>
        <v>2</v>
      </c>
      <c r="F101" s="5" t="s">
        <v>438</v>
      </c>
      <c r="G101" s="5" t="str" cm="1">
        <f t="array" ref="G101">IFERROR(
  INDEX(Table13[Quartile],
    MATCH(1,
      (Table13[[#This Row],[OrgName]]=Table13[OrgName]) *
      (Table13[[#This Row],[Month Number]]-1=Table13[Month Number]),
    0)
  ),
"")</f>
        <v>SecondQuartile</v>
      </c>
      <c r="H101" s="5">
        <f>IF(Table13[[#This Row],[Previous Quartile]]="TopQuartile", 1,
 IF(Table13[[#This Row],[Previous Quartile]]="SecondQuartile", 2,
 IF(Table13[[#This Row],[Previous Quartile]]="ThirdQuartile", 3,
 IF(Table13[[#This Row],[Previous Quartile]]="FourthQuartile", 4, ""))))</f>
        <v>2</v>
      </c>
      <c r="I101" s="5" t="str">
        <f>IF(Table13[[#This Row],[Previous Quartile Value]]="", "",
   IF(Table13[[#This Row],[Quartile Value]] &lt; Table13[[#This Row],[Previous Quartile Value]], "Improved",
   IF(Table13[[#This Row],[Quartile Value]] &gt; Table13[[#This Row],[Previous Quartile Value]], "Dropped", "Same")))</f>
        <v>Same</v>
      </c>
      <c r="J101" s="7" t="s">
        <v>16</v>
      </c>
      <c r="K101" s="7" t="str">
        <f>VLOOKUP(J101,Introduction!$B$6:$C$14,2)</f>
        <v>South East</v>
      </c>
      <c r="L101" s="7">
        <v>279</v>
      </c>
      <c r="M101" s="8" t="s">
        <v>425</v>
      </c>
    </row>
    <row r="102" spans="1:13" ht="19.95" customHeight="1" x14ac:dyDescent="0.25">
      <c r="A102" s="40">
        <v>45474</v>
      </c>
      <c r="B102" s="46">
        <f>MONTH(Table13[[#This Row],[YearMonth]])</f>
        <v>7</v>
      </c>
      <c r="C102" s="5" t="s">
        <v>153</v>
      </c>
      <c r="D102" s="6" t="s">
        <v>338</v>
      </c>
      <c r="E102" s="6">
        <f>IF(Table13[[#This Row],[Quartile]]="TopQuartile", 1,
 IF(Table13[[#This Row],[Quartile]]="SecondQuartile", 2,
 IF(Table13[[#This Row],[Quartile]]="ThirdQuartile", 3,
 IF(Table13[[#This Row],[Quartile]]="FourthQuartile", 4, ""))))</f>
        <v>2</v>
      </c>
      <c r="F102" s="5" t="s">
        <v>439</v>
      </c>
      <c r="G102" s="5" t="str" cm="1">
        <f t="array" ref="G102">IFERROR(
  INDEX(Table13[Quartile],
    MATCH(1,
      (Table13[[#This Row],[OrgName]]=Table13[OrgName]) *
      (Table13[[#This Row],[Month Number]]-1=Table13[Month Number]),
    0)
  ),
"")</f>
        <v>ThirdQuartile</v>
      </c>
      <c r="H102" s="5">
        <f>IF(Table13[[#This Row],[Previous Quartile]]="TopQuartile", 1,
 IF(Table13[[#This Row],[Previous Quartile]]="SecondQuartile", 2,
 IF(Table13[[#This Row],[Previous Quartile]]="ThirdQuartile", 3,
 IF(Table13[[#This Row],[Previous Quartile]]="FourthQuartile", 4, ""))))</f>
        <v>3</v>
      </c>
      <c r="I102" s="5" t="str">
        <f>IF(Table13[[#This Row],[Previous Quartile Value]]="", "",
   IF(Table13[[#This Row],[Quartile Value]] &lt; Table13[[#This Row],[Previous Quartile Value]], "Improved",
   IF(Table13[[#This Row],[Quartile Value]] &gt; Table13[[#This Row],[Previous Quartile Value]], "Dropped", "Same")))</f>
        <v>Improved</v>
      </c>
      <c r="J102" s="7" t="s">
        <v>12</v>
      </c>
      <c r="K102" s="7" t="str">
        <f>VLOOKUP(J102,Introduction!$B$6:$C$14,2)</f>
        <v>London</v>
      </c>
      <c r="L102" s="7">
        <v>293</v>
      </c>
      <c r="M102" s="8" t="s">
        <v>425</v>
      </c>
    </row>
    <row r="103" spans="1:13" ht="19.95" customHeight="1" x14ac:dyDescent="0.25">
      <c r="A103" s="40">
        <v>45474</v>
      </c>
      <c r="B103" s="46">
        <f>MONTH(Table13[[#This Row],[YearMonth]])</f>
        <v>7</v>
      </c>
      <c r="C103" s="5" t="s">
        <v>157</v>
      </c>
      <c r="D103" s="6" t="s">
        <v>338</v>
      </c>
      <c r="E103" s="6">
        <f>IF(Table13[[#This Row],[Quartile]]="TopQuartile", 1,
 IF(Table13[[#This Row],[Quartile]]="SecondQuartile", 2,
 IF(Table13[[#This Row],[Quartile]]="ThirdQuartile", 3,
 IF(Table13[[#This Row],[Quartile]]="FourthQuartile", 4, ""))))</f>
        <v>2</v>
      </c>
      <c r="F103" s="5" t="s">
        <v>440</v>
      </c>
      <c r="G103" s="5" t="str" cm="1">
        <f t="array" ref="G103">IFERROR(
  INDEX(Table13[Quartile],
    MATCH(1,
      (Table13[[#This Row],[OrgName]]=Table13[OrgName]) *
      (Table13[[#This Row],[Month Number]]-1=Table13[Month Number]),
    0)
  ),
"")</f>
        <v>SecondQuartile</v>
      </c>
      <c r="H103" s="5">
        <f>IF(Table13[[#This Row],[Previous Quartile]]="TopQuartile", 1,
 IF(Table13[[#This Row],[Previous Quartile]]="SecondQuartile", 2,
 IF(Table13[[#This Row],[Previous Quartile]]="ThirdQuartile", 3,
 IF(Table13[[#This Row],[Previous Quartile]]="FourthQuartile", 4, ""))))</f>
        <v>2</v>
      </c>
      <c r="I103" s="5" t="str">
        <f>IF(Table13[[#This Row],[Previous Quartile Value]]="", "",
   IF(Table13[[#This Row],[Quartile Value]] &lt; Table13[[#This Row],[Previous Quartile Value]], "Improved",
   IF(Table13[[#This Row],[Quartile Value]] &gt; Table13[[#This Row],[Previous Quartile Value]], "Dropped", "Same")))</f>
        <v>Same</v>
      </c>
      <c r="J103" s="7" t="s">
        <v>12</v>
      </c>
      <c r="K103" s="7" t="str">
        <f>VLOOKUP(J103,Introduction!$B$6:$C$14,2)</f>
        <v>London</v>
      </c>
      <c r="L103" s="7">
        <v>391</v>
      </c>
      <c r="M103" s="8" t="s">
        <v>425</v>
      </c>
    </row>
    <row r="104" spans="1:13" ht="19.95" customHeight="1" x14ac:dyDescent="0.25">
      <c r="A104" s="40">
        <v>45474</v>
      </c>
      <c r="B104" s="46">
        <f>MONTH(Table13[[#This Row],[YearMonth]])</f>
        <v>7</v>
      </c>
      <c r="C104" s="5" t="s">
        <v>160</v>
      </c>
      <c r="D104" s="6" t="s">
        <v>338</v>
      </c>
      <c r="E104" s="6">
        <f>IF(Table13[[#This Row],[Quartile]]="TopQuartile", 1,
 IF(Table13[[#This Row],[Quartile]]="SecondQuartile", 2,
 IF(Table13[[#This Row],[Quartile]]="ThirdQuartile", 3,
 IF(Table13[[#This Row],[Quartile]]="FourthQuartile", 4, ""))))</f>
        <v>2</v>
      </c>
      <c r="F104" s="5" t="s">
        <v>441</v>
      </c>
      <c r="G104" s="5" t="str" cm="1">
        <f t="array" ref="G104">IFERROR(
  INDEX(Table13[Quartile],
    MATCH(1,
      (Table13[[#This Row],[OrgName]]=Table13[OrgName]) *
      (Table13[[#This Row],[Month Number]]-1=Table13[Month Number]),
    0)
  ),
"")</f>
        <v>SecondQuartile</v>
      </c>
      <c r="H104" s="5">
        <f>IF(Table13[[#This Row],[Previous Quartile]]="TopQuartile", 1,
 IF(Table13[[#This Row],[Previous Quartile]]="SecondQuartile", 2,
 IF(Table13[[#This Row],[Previous Quartile]]="ThirdQuartile", 3,
 IF(Table13[[#This Row],[Previous Quartile]]="FourthQuartile", 4, ""))))</f>
        <v>2</v>
      </c>
      <c r="I104" s="5" t="str">
        <f>IF(Table13[[#This Row],[Previous Quartile Value]]="", "",
   IF(Table13[[#This Row],[Quartile Value]] &lt; Table13[[#This Row],[Previous Quartile Value]], "Improved",
   IF(Table13[[#This Row],[Quartile Value]] &gt; Table13[[#This Row],[Previous Quartile Value]], "Dropped", "Same")))</f>
        <v>Same</v>
      </c>
      <c r="J104" s="7" t="s">
        <v>24</v>
      </c>
      <c r="K104" s="7" t="str">
        <f>VLOOKUP(J104,Introduction!$B$6:$C$14,2)</f>
        <v>North East and Yorkshire</v>
      </c>
      <c r="L104" s="7">
        <v>272</v>
      </c>
      <c r="M104" s="8" t="s">
        <v>425</v>
      </c>
    </row>
    <row r="105" spans="1:13" ht="19.95" customHeight="1" x14ac:dyDescent="0.25">
      <c r="A105" s="40">
        <v>45474</v>
      </c>
      <c r="B105" s="46">
        <f>MONTH(Table13[[#This Row],[YearMonth]])</f>
        <v>7</v>
      </c>
      <c r="C105" s="5" t="s">
        <v>161</v>
      </c>
      <c r="D105" s="6" t="s">
        <v>338</v>
      </c>
      <c r="E105" s="6">
        <f>IF(Table13[[#This Row],[Quartile]]="TopQuartile", 1,
 IF(Table13[[#This Row],[Quartile]]="SecondQuartile", 2,
 IF(Table13[[#This Row],[Quartile]]="ThirdQuartile", 3,
 IF(Table13[[#This Row],[Quartile]]="FourthQuartile", 4, ""))))</f>
        <v>2</v>
      </c>
      <c r="F105" s="5" t="s">
        <v>442</v>
      </c>
      <c r="G105" s="5" t="str" cm="1">
        <f t="array" ref="G105">IFERROR(
  INDEX(Table13[Quartile],
    MATCH(1,
      (Table13[[#This Row],[OrgName]]=Table13[OrgName]) *
      (Table13[[#This Row],[Month Number]]-1=Table13[Month Number]),
    0)
  ),
"")</f>
        <v>SecondQuartile</v>
      </c>
      <c r="H105" s="5">
        <f>IF(Table13[[#This Row],[Previous Quartile]]="TopQuartile", 1,
 IF(Table13[[#This Row],[Previous Quartile]]="SecondQuartile", 2,
 IF(Table13[[#This Row],[Previous Quartile]]="ThirdQuartile", 3,
 IF(Table13[[#This Row],[Previous Quartile]]="FourthQuartile", 4, ""))))</f>
        <v>2</v>
      </c>
      <c r="I105" s="5" t="str">
        <f>IF(Table13[[#This Row],[Previous Quartile Value]]="", "",
   IF(Table13[[#This Row],[Quartile Value]] &lt; Table13[[#This Row],[Previous Quartile Value]], "Improved",
   IF(Table13[[#This Row],[Quartile Value]] &gt; Table13[[#This Row],[Previous Quartile Value]], "Dropped", "Same")))</f>
        <v>Same</v>
      </c>
      <c r="J105" s="7" t="s">
        <v>16</v>
      </c>
      <c r="K105" s="7" t="str">
        <f>VLOOKUP(J105,Introduction!$B$6:$C$14,2)</f>
        <v>South East</v>
      </c>
      <c r="L105" s="7">
        <v>344</v>
      </c>
      <c r="M105" s="8" t="s">
        <v>425</v>
      </c>
    </row>
    <row r="106" spans="1:13" ht="19.95" customHeight="1" x14ac:dyDescent="0.25">
      <c r="A106" s="40">
        <v>45474</v>
      </c>
      <c r="B106" s="46">
        <f>MONTH(Table13[[#This Row],[YearMonth]])</f>
        <v>7</v>
      </c>
      <c r="C106" s="5" t="s">
        <v>165</v>
      </c>
      <c r="D106" s="6" t="s">
        <v>338</v>
      </c>
      <c r="E106" s="6">
        <f>IF(Table13[[#This Row],[Quartile]]="TopQuartile", 1,
 IF(Table13[[#This Row],[Quartile]]="SecondQuartile", 2,
 IF(Table13[[#This Row],[Quartile]]="ThirdQuartile", 3,
 IF(Table13[[#This Row],[Quartile]]="FourthQuartile", 4, ""))))</f>
        <v>2</v>
      </c>
      <c r="F106" s="5" t="s">
        <v>443</v>
      </c>
      <c r="G106" s="5" t="str" cm="1">
        <f t="array" ref="G106">IFERROR(
  INDEX(Table13[Quartile],
    MATCH(1,
      (Table13[[#This Row],[OrgName]]=Table13[OrgName]) *
      (Table13[[#This Row],[Month Number]]-1=Table13[Month Number]),
    0)
  ),
"")</f>
        <v>SecondQuartile</v>
      </c>
      <c r="H106" s="5">
        <f>IF(Table13[[#This Row],[Previous Quartile]]="TopQuartile", 1,
 IF(Table13[[#This Row],[Previous Quartile]]="SecondQuartile", 2,
 IF(Table13[[#This Row],[Previous Quartile]]="ThirdQuartile", 3,
 IF(Table13[[#This Row],[Previous Quartile]]="FourthQuartile", 4, ""))))</f>
        <v>2</v>
      </c>
      <c r="I106" s="5" t="str">
        <f>IF(Table13[[#This Row],[Previous Quartile Value]]="", "",
   IF(Table13[[#This Row],[Quartile Value]] &lt; Table13[[#This Row],[Previous Quartile Value]], "Improved",
   IF(Table13[[#This Row],[Quartile Value]] &gt; Table13[[#This Row],[Previous Quartile Value]], "Dropped", "Same")))</f>
        <v>Same</v>
      </c>
      <c r="J106" s="7" t="s">
        <v>24</v>
      </c>
      <c r="K106" s="7" t="str">
        <f>VLOOKUP(J106,Introduction!$B$6:$C$14,2)</f>
        <v>North East and Yorkshire</v>
      </c>
      <c r="L106" s="7">
        <v>356</v>
      </c>
      <c r="M106" s="8" t="s">
        <v>425</v>
      </c>
    </row>
    <row r="107" spans="1:13" ht="19.95" customHeight="1" x14ac:dyDescent="0.25">
      <c r="A107" s="40">
        <v>45474</v>
      </c>
      <c r="B107" s="46">
        <f>MONTH(Table13[[#This Row],[YearMonth]])</f>
        <v>7</v>
      </c>
      <c r="C107" s="5" t="s">
        <v>168</v>
      </c>
      <c r="D107" s="6" t="s">
        <v>338</v>
      </c>
      <c r="E107" s="6">
        <f>IF(Table13[[#This Row],[Quartile]]="TopQuartile", 1,
 IF(Table13[[#This Row],[Quartile]]="SecondQuartile", 2,
 IF(Table13[[#This Row],[Quartile]]="ThirdQuartile", 3,
 IF(Table13[[#This Row],[Quartile]]="FourthQuartile", 4, ""))))</f>
        <v>2</v>
      </c>
      <c r="F107" s="5" t="s">
        <v>444</v>
      </c>
      <c r="G107" s="5" t="str" cm="1">
        <f t="array" ref="G107">IFERROR(
  INDEX(Table13[Quartile],
    MATCH(1,
      (Table13[[#This Row],[OrgName]]=Table13[OrgName]) *
      (Table13[[#This Row],[Month Number]]-1=Table13[Month Number]),
    0)
  ),
"")</f>
        <v>ThirdQuartile</v>
      </c>
      <c r="H107" s="5">
        <f>IF(Table13[[#This Row],[Previous Quartile]]="TopQuartile", 1,
 IF(Table13[[#This Row],[Previous Quartile]]="SecondQuartile", 2,
 IF(Table13[[#This Row],[Previous Quartile]]="ThirdQuartile", 3,
 IF(Table13[[#This Row],[Previous Quartile]]="FourthQuartile", 4, ""))))</f>
        <v>3</v>
      </c>
      <c r="I107" s="5" t="str">
        <f>IF(Table13[[#This Row],[Previous Quartile Value]]="", "",
   IF(Table13[[#This Row],[Quartile Value]] &lt; Table13[[#This Row],[Previous Quartile Value]], "Improved",
   IF(Table13[[#This Row],[Quartile Value]] &gt; Table13[[#This Row],[Previous Quartile Value]], "Dropped", "Same")))</f>
        <v>Improved</v>
      </c>
      <c r="J107" s="7" t="s">
        <v>12</v>
      </c>
      <c r="K107" s="7" t="str">
        <f>VLOOKUP(J107,Introduction!$B$6:$C$14,2)</f>
        <v>London</v>
      </c>
      <c r="L107" s="7">
        <v>309</v>
      </c>
      <c r="M107" s="8" t="s">
        <v>425</v>
      </c>
    </row>
    <row r="108" spans="1:13" ht="19.95" customHeight="1" x14ac:dyDescent="0.25">
      <c r="A108" s="40">
        <v>45474</v>
      </c>
      <c r="B108" s="46">
        <f>MONTH(Table13[[#This Row],[YearMonth]])</f>
        <v>7</v>
      </c>
      <c r="C108" s="5" t="s">
        <v>170</v>
      </c>
      <c r="D108" s="6" t="s">
        <v>338</v>
      </c>
      <c r="E108" s="6">
        <f>IF(Table13[[#This Row],[Quartile]]="TopQuartile", 1,
 IF(Table13[[#This Row],[Quartile]]="SecondQuartile", 2,
 IF(Table13[[#This Row],[Quartile]]="ThirdQuartile", 3,
 IF(Table13[[#This Row],[Quartile]]="FourthQuartile", 4, ""))))</f>
        <v>2</v>
      </c>
      <c r="F108" s="5" t="s">
        <v>445</v>
      </c>
      <c r="G108" s="5" t="str" cm="1">
        <f t="array" ref="G108">IFERROR(
  INDEX(Table13[Quartile],
    MATCH(1,
      (Table13[[#This Row],[OrgName]]=Table13[OrgName]) *
      (Table13[[#This Row],[Month Number]]-1=Table13[Month Number]),
    0)
  ),
"")</f>
        <v>ThirdQuartile</v>
      </c>
      <c r="H108" s="5">
        <f>IF(Table13[[#This Row],[Previous Quartile]]="TopQuartile", 1,
 IF(Table13[[#This Row],[Previous Quartile]]="SecondQuartile", 2,
 IF(Table13[[#This Row],[Previous Quartile]]="ThirdQuartile", 3,
 IF(Table13[[#This Row],[Previous Quartile]]="FourthQuartile", 4, ""))))</f>
        <v>3</v>
      </c>
      <c r="I108" s="5" t="str">
        <f>IF(Table13[[#This Row],[Previous Quartile Value]]="", "",
   IF(Table13[[#This Row],[Quartile Value]] &lt; Table13[[#This Row],[Previous Quartile Value]], "Improved",
   IF(Table13[[#This Row],[Quartile Value]] &gt; Table13[[#This Row],[Previous Quartile Value]], "Dropped", "Same")))</f>
        <v>Improved</v>
      </c>
      <c r="J108" s="7" t="s">
        <v>18</v>
      </c>
      <c r="K108" s="7" t="str">
        <f>VLOOKUP(J108,Introduction!$B$6:$C$14,2)</f>
        <v>Midlands</v>
      </c>
      <c r="L108" s="7">
        <v>218</v>
      </c>
      <c r="M108" s="8" t="s">
        <v>425</v>
      </c>
    </row>
    <row r="109" spans="1:13" ht="19.95" customHeight="1" x14ac:dyDescent="0.25">
      <c r="A109" s="40">
        <v>45474</v>
      </c>
      <c r="B109" s="46">
        <f>MONTH(Table13[[#This Row],[YearMonth]])</f>
        <v>7</v>
      </c>
      <c r="C109" s="5" t="s">
        <v>177</v>
      </c>
      <c r="D109" s="6" t="s">
        <v>341</v>
      </c>
      <c r="E109" s="6">
        <f>IF(Table13[[#This Row],[Quartile]]="TopQuartile", 1,
 IF(Table13[[#This Row],[Quartile]]="SecondQuartile", 2,
 IF(Table13[[#This Row],[Quartile]]="ThirdQuartile", 3,
 IF(Table13[[#This Row],[Quartile]]="FourthQuartile", 4, ""))))</f>
        <v>3</v>
      </c>
      <c r="F109" s="5" t="s">
        <v>446</v>
      </c>
      <c r="G109" s="5" t="str" cm="1">
        <f t="array" ref="G109">IFERROR(
  INDEX(Table13[Quartile],
    MATCH(1,
      (Table13[[#This Row],[OrgName]]=Table13[OrgName]) *
      (Table13[[#This Row],[Month Number]]-1=Table13[Month Number]),
    0)
  ),
"")</f>
        <v>ThirdQuartile</v>
      </c>
      <c r="H109" s="5">
        <f>IF(Table13[[#This Row],[Previous Quartile]]="TopQuartile", 1,
 IF(Table13[[#This Row],[Previous Quartile]]="SecondQuartile", 2,
 IF(Table13[[#This Row],[Previous Quartile]]="ThirdQuartile", 3,
 IF(Table13[[#This Row],[Previous Quartile]]="FourthQuartile", 4, ""))))</f>
        <v>3</v>
      </c>
      <c r="I109" s="5" t="str">
        <f>IF(Table13[[#This Row],[Previous Quartile Value]]="", "",
   IF(Table13[[#This Row],[Quartile Value]] &lt; Table13[[#This Row],[Previous Quartile Value]], "Improved",
   IF(Table13[[#This Row],[Quartile Value]] &gt; Table13[[#This Row],[Previous Quartile Value]], "Dropped", "Same")))</f>
        <v>Same</v>
      </c>
      <c r="J109" s="7" t="s">
        <v>18</v>
      </c>
      <c r="K109" s="7" t="str">
        <f>VLOOKUP(J109,Introduction!$B$6:$C$14,2)</f>
        <v>Midlands</v>
      </c>
      <c r="L109" s="7">
        <v>358</v>
      </c>
      <c r="M109" s="8" t="s">
        <v>425</v>
      </c>
    </row>
    <row r="110" spans="1:13" ht="19.95" customHeight="1" x14ac:dyDescent="0.25">
      <c r="A110" s="40">
        <v>45474</v>
      </c>
      <c r="B110" s="46">
        <f>MONTH(Table13[[#This Row],[YearMonth]])</f>
        <v>7</v>
      </c>
      <c r="C110" s="5" t="s">
        <v>179</v>
      </c>
      <c r="D110" s="6" t="s">
        <v>341</v>
      </c>
      <c r="E110" s="6">
        <f>IF(Table13[[#This Row],[Quartile]]="TopQuartile", 1,
 IF(Table13[[#This Row],[Quartile]]="SecondQuartile", 2,
 IF(Table13[[#This Row],[Quartile]]="ThirdQuartile", 3,
 IF(Table13[[#This Row],[Quartile]]="FourthQuartile", 4, ""))))</f>
        <v>3</v>
      </c>
      <c r="F110" s="5" t="s">
        <v>447</v>
      </c>
      <c r="G110" s="5" t="str" cm="1">
        <f t="array" ref="G110">IFERROR(
  INDEX(Table13[Quartile],
    MATCH(1,
      (Table13[[#This Row],[OrgName]]=Table13[OrgName]) *
      (Table13[[#This Row],[Month Number]]-1=Table13[Month Number]),
    0)
  ),
"")</f>
        <v>ThirdQuartile</v>
      </c>
      <c r="H110" s="5">
        <f>IF(Table13[[#This Row],[Previous Quartile]]="TopQuartile", 1,
 IF(Table13[[#This Row],[Previous Quartile]]="SecondQuartile", 2,
 IF(Table13[[#This Row],[Previous Quartile]]="ThirdQuartile", 3,
 IF(Table13[[#This Row],[Previous Quartile]]="FourthQuartile", 4, ""))))</f>
        <v>3</v>
      </c>
      <c r="I110" s="5" t="str">
        <f>IF(Table13[[#This Row],[Previous Quartile Value]]="", "",
   IF(Table13[[#This Row],[Quartile Value]] &lt; Table13[[#This Row],[Previous Quartile Value]], "Improved",
   IF(Table13[[#This Row],[Quartile Value]] &gt; Table13[[#This Row],[Previous Quartile Value]], "Dropped", "Same")))</f>
        <v>Same</v>
      </c>
      <c r="J110" s="7" t="s">
        <v>20</v>
      </c>
      <c r="K110" s="7" t="str">
        <f>VLOOKUP(J110,Introduction!$B$6:$C$14,2)</f>
        <v>East of England</v>
      </c>
      <c r="L110" s="7">
        <v>430</v>
      </c>
      <c r="M110" s="8" t="s">
        <v>425</v>
      </c>
    </row>
    <row r="111" spans="1:13" ht="19.95" customHeight="1" x14ac:dyDescent="0.25">
      <c r="A111" s="40">
        <v>45474</v>
      </c>
      <c r="B111" s="46">
        <f>MONTH(Table13[[#This Row],[YearMonth]])</f>
        <v>7</v>
      </c>
      <c r="C111" s="5" t="s">
        <v>189</v>
      </c>
      <c r="D111" s="6" t="s">
        <v>341</v>
      </c>
      <c r="E111" s="6">
        <f>IF(Table13[[#This Row],[Quartile]]="TopQuartile", 1,
 IF(Table13[[#This Row],[Quartile]]="SecondQuartile", 2,
 IF(Table13[[#This Row],[Quartile]]="ThirdQuartile", 3,
 IF(Table13[[#This Row],[Quartile]]="FourthQuartile", 4, ""))))</f>
        <v>3</v>
      </c>
      <c r="F111" s="5" t="s">
        <v>448</v>
      </c>
      <c r="G111" s="5" t="str" cm="1">
        <f t="array" ref="G111">IFERROR(
  INDEX(Table13[Quartile],
    MATCH(1,
      (Table13[[#This Row],[OrgName]]=Table13[OrgName]) *
      (Table13[[#This Row],[Month Number]]-1=Table13[Month Number]),
    0)
  ),
"")</f>
        <v>ThirdQuartile</v>
      </c>
      <c r="H111" s="5">
        <f>IF(Table13[[#This Row],[Previous Quartile]]="TopQuartile", 1,
 IF(Table13[[#This Row],[Previous Quartile]]="SecondQuartile", 2,
 IF(Table13[[#This Row],[Previous Quartile]]="ThirdQuartile", 3,
 IF(Table13[[#This Row],[Previous Quartile]]="FourthQuartile", 4, ""))))</f>
        <v>3</v>
      </c>
      <c r="I111" s="5" t="str">
        <f>IF(Table13[[#This Row],[Previous Quartile Value]]="", "",
   IF(Table13[[#This Row],[Quartile Value]] &lt; Table13[[#This Row],[Previous Quartile Value]], "Improved",
   IF(Table13[[#This Row],[Quartile Value]] &gt; Table13[[#This Row],[Previous Quartile Value]], "Dropped", "Same")))</f>
        <v>Same</v>
      </c>
      <c r="J111" s="7" t="s">
        <v>12</v>
      </c>
      <c r="K111" s="7" t="str">
        <f>VLOOKUP(J111,Introduction!$B$6:$C$14,2)</f>
        <v>London</v>
      </c>
      <c r="L111" s="7">
        <v>343</v>
      </c>
      <c r="M111" s="8" t="s">
        <v>425</v>
      </c>
    </row>
    <row r="112" spans="1:13" ht="19.95" customHeight="1" x14ac:dyDescent="0.25">
      <c r="A112" s="40">
        <v>45474</v>
      </c>
      <c r="B112" s="46">
        <f>MONTH(Table13[[#This Row],[YearMonth]])</f>
        <v>7</v>
      </c>
      <c r="C112" s="5" t="s">
        <v>190</v>
      </c>
      <c r="D112" s="6" t="s">
        <v>341</v>
      </c>
      <c r="E112" s="6">
        <f>IF(Table13[[#This Row],[Quartile]]="TopQuartile", 1,
 IF(Table13[[#This Row],[Quartile]]="SecondQuartile", 2,
 IF(Table13[[#This Row],[Quartile]]="ThirdQuartile", 3,
 IF(Table13[[#This Row],[Quartile]]="FourthQuartile", 4, ""))))</f>
        <v>3</v>
      </c>
      <c r="F112" s="5" t="s">
        <v>449</v>
      </c>
      <c r="G112" s="5" t="str" cm="1">
        <f t="array" ref="G112">IFERROR(
  INDEX(Table13[Quartile],
    MATCH(1,
      (Table13[[#This Row],[OrgName]]=Table13[OrgName]) *
      (Table13[[#This Row],[Month Number]]-1=Table13[Month Number]),
    0)
  ),
"")</f>
        <v>ThirdQuartile</v>
      </c>
      <c r="H112" s="5">
        <f>IF(Table13[[#This Row],[Previous Quartile]]="TopQuartile", 1,
 IF(Table13[[#This Row],[Previous Quartile]]="SecondQuartile", 2,
 IF(Table13[[#This Row],[Previous Quartile]]="ThirdQuartile", 3,
 IF(Table13[[#This Row],[Previous Quartile]]="FourthQuartile", 4, ""))))</f>
        <v>3</v>
      </c>
      <c r="I112" s="5" t="str">
        <f>IF(Table13[[#This Row],[Previous Quartile Value]]="", "",
   IF(Table13[[#This Row],[Quartile Value]] &lt; Table13[[#This Row],[Previous Quartile Value]], "Improved",
   IF(Table13[[#This Row],[Quartile Value]] &gt; Table13[[#This Row],[Previous Quartile Value]], "Dropped", "Same")))</f>
        <v>Same</v>
      </c>
      <c r="J112" s="7" t="s">
        <v>12</v>
      </c>
      <c r="K112" s="7" t="str">
        <f>VLOOKUP(J112,Introduction!$B$6:$C$14,2)</f>
        <v>London</v>
      </c>
      <c r="L112" s="7">
        <v>200</v>
      </c>
      <c r="M112" s="8" t="s">
        <v>425</v>
      </c>
    </row>
    <row r="113" spans="1:13" ht="19.95" customHeight="1" x14ac:dyDescent="0.25">
      <c r="A113" s="40">
        <v>45474</v>
      </c>
      <c r="B113" s="46">
        <f>MONTH(Table13[[#This Row],[YearMonth]])</f>
        <v>7</v>
      </c>
      <c r="C113" s="5" t="s">
        <v>192</v>
      </c>
      <c r="D113" s="6" t="s">
        <v>341</v>
      </c>
      <c r="E113" s="6">
        <f>IF(Table13[[#This Row],[Quartile]]="TopQuartile", 1,
 IF(Table13[[#This Row],[Quartile]]="SecondQuartile", 2,
 IF(Table13[[#This Row],[Quartile]]="ThirdQuartile", 3,
 IF(Table13[[#This Row],[Quartile]]="FourthQuartile", 4, ""))))</f>
        <v>3</v>
      </c>
      <c r="F113" s="5" t="s">
        <v>450</v>
      </c>
      <c r="G113" s="5" t="str" cm="1">
        <f t="array" ref="G113">IFERROR(
  INDEX(Table13[Quartile],
    MATCH(1,
      (Table13[[#This Row],[OrgName]]=Table13[OrgName]) *
      (Table13[[#This Row],[Month Number]]-1=Table13[Month Number]),
    0)
  ),
"")</f>
        <v>ThirdQuartile</v>
      </c>
      <c r="H113" s="5">
        <f>IF(Table13[[#This Row],[Previous Quartile]]="TopQuartile", 1,
 IF(Table13[[#This Row],[Previous Quartile]]="SecondQuartile", 2,
 IF(Table13[[#This Row],[Previous Quartile]]="ThirdQuartile", 3,
 IF(Table13[[#This Row],[Previous Quartile]]="FourthQuartile", 4, ""))))</f>
        <v>3</v>
      </c>
      <c r="I113" s="5" t="str">
        <f>IF(Table13[[#This Row],[Previous Quartile Value]]="", "",
   IF(Table13[[#This Row],[Quartile Value]] &lt; Table13[[#This Row],[Previous Quartile Value]], "Improved",
   IF(Table13[[#This Row],[Quartile Value]] &gt; Table13[[#This Row],[Previous Quartile Value]], "Dropped", "Same")))</f>
        <v>Same</v>
      </c>
      <c r="J113" s="7" t="s">
        <v>12</v>
      </c>
      <c r="K113" s="7" t="str">
        <f>VLOOKUP(J113,Introduction!$B$6:$C$14,2)</f>
        <v>London</v>
      </c>
      <c r="L113" s="7">
        <v>259</v>
      </c>
      <c r="M113" s="8" t="s">
        <v>425</v>
      </c>
    </row>
    <row r="114" spans="1:13" ht="19.95" customHeight="1" x14ac:dyDescent="0.25">
      <c r="A114" s="40">
        <v>45474</v>
      </c>
      <c r="B114" s="46">
        <f>MONTH(Table13[[#This Row],[YearMonth]])</f>
        <v>7</v>
      </c>
      <c r="C114" s="5" t="s">
        <v>194</v>
      </c>
      <c r="D114" s="6" t="s">
        <v>341</v>
      </c>
      <c r="E114" s="6">
        <f>IF(Table13[[#This Row],[Quartile]]="TopQuartile", 1,
 IF(Table13[[#This Row],[Quartile]]="SecondQuartile", 2,
 IF(Table13[[#This Row],[Quartile]]="ThirdQuartile", 3,
 IF(Table13[[#This Row],[Quartile]]="FourthQuartile", 4, ""))))</f>
        <v>3</v>
      </c>
      <c r="F114" s="5" t="s">
        <v>451</v>
      </c>
      <c r="G114" s="5" t="str" cm="1">
        <f t="array" ref="G114">IFERROR(
  INDEX(Table13[Quartile],
    MATCH(1,
      (Table13[[#This Row],[OrgName]]=Table13[OrgName]) *
      (Table13[[#This Row],[Month Number]]-1=Table13[Month Number]),
    0)
  ),
"")</f>
        <v>ThirdQuartile</v>
      </c>
      <c r="H114" s="5">
        <f>IF(Table13[[#This Row],[Previous Quartile]]="TopQuartile", 1,
 IF(Table13[[#This Row],[Previous Quartile]]="SecondQuartile", 2,
 IF(Table13[[#This Row],[Previous Quartile]]="ThirdQuartile", 3,
 IF(Table13[[#This Row],[Previous Quartile]]="FourthQuartile", 4, ""))))</f>
        <v>3</v>
      </c>
      <c r="I114" s="5" t="str">
        <f>IF(Table13[[#This Row],[Previous Quartile Value]]="", "",
   IF(Table13[[#This Row],[Quartile Value]] &lt; Table13[[#This Row],[Previous Quartile Value]], "Improved",
   IF(Table13[[#This Row],[Quartile Value]] &gt; Table13[[#This Row],[Previous Quartile Value]], "Dropped", "Same")))</f>
        <v>Same</v>
      </c>
      <c r="J114" s="7" t="s">
        <v>12</v>
      </c>
      <c r="K114" s="7" t="str">
        <f>VLOOKUP(J114,Introduction!$B$6:$C$14,2)</f>
        <v>London</v>
      </c>
      <c r="L114" s="7">
        <v>393</v>
      </c>
      <c r="M114" s="8" t="s">
        <v>425</v>
      </c>
    </row>
    <row r="115" spans="1:13" ht="19.95" customHeight="1" x14ac:dyDescent="0.25">
      <c r="A115" s="40">
        <v>45474</v>
      </c>
      <c r="B115" s="46">
        <f>MONTH(Table13[[#This Row],[YearMonth]])</f>
        <v>7</v>
      </c>
      <c r="C115" s="5" t="s">
        <v>195</v>
      </c>
      <c r="D115" s="6" t="s">
        <v>341</v>
      </c>
      <c r="E115" s="6">
        <f>IF(Table13[[#This Row],[Quartile]]="TopQuartile", 1,
 IF(Table13[[#This Row],[Quartile]]="SecondQuartile", 2,
 IF(Table13[[#This Row],[Quartile]]="ThirdQuartile", 3,
 IF(Table13[[#This Row],[Quartile]]="FourthQuartile", 4, ""))))</f>
        <v>3</v>
      </c>
      <c r="F115" s="5" t="s">
        <v>452</v>
      </c>
      <c r="G115" s="5" t="str" cm="1">
        <f t="array" ref="G115">IFERROR(
  INDEX(Table13[Quartile],
    MATCH(1,
      (Table13[[#This Row],[OrgName]]=Table13[OrgName]) *
      (Table13[[#This Row],[Month Number]]-1=Table13[Month Number]),
    0)
  ),
"")</f>
        <v>ThirdQuartile</v>
      </c>
      <c r="H115" s="5">
        <f>IF(Table13[[#This Row],[Previous Quartile]]="TopQuartile", 1,
 IF(Table13[[#This Row],[Previous Quartile]]="SecondQuartile", 2,
 IF(Table13[[#This Row],[Previous Quartile]]="ThirdQuartile", 3,
 IF(Table13[[#This Row],[Previous Quartile]]="FourthQuartile", 4, ""))))</f>
        <v>3</v>
      </c>
      <c r="I115" s="5" t="str">
        <f>IF(Table13[[#This Row],[Previous Quartile Value]]="", "",
   IF(Table13[[#This Row],[Quartile Value]] &lt; Table13[[#This Row],[Previous Quartile Value]], "Improved",
   IF(Table13[[#This Row],[Quartile Value]] &gt; Table13[[#This Row],[Previous Quartile Value]], "Dropped", "Same")))</f>
        <v>Same</v>
      </c>
      <c r="J115" s="7" t="s">
        <v>24</v>
      </c>
      <c r="K115" s="7" t="str">
        <f>VLOOKUP(J115,Introduction!$B$6:$C$14,2)</f>
        <v>North East and Yorkshire</v>
      </c>
      <c r="L115" s="7">
        <v>377</v>
      </c>
      <c r="M115" s="8" t="s">
        <v>425</v>
      </c>
    </row>
    <row r="116" spans="1:13" ht="19.95" customHeight="1" x14ac:dyDescent="0.25">
      <c r="A116" s="40">
        <v>45474</v>
      </c>
      <c r="B116" s="46">
        <f>MONTH(Table13[[#This Row],[YearMonth]])</f>
        <v>7</v>
      </c>
      <c r="C116" s="5" t="s">
        <v>197</v>
      </c>
      <c r="D116" s="6" t="s">
        <v>341</v>
      </c>
      <c r="E116" s="6">
        <f>IF(Table13[[#This Row],[Quartile]]="TopQuartile", 1,
 IF(Table13[[#This Row],[Quartile]]="SecondQuartile", 2,
 IF(Table13[[#This Row],[Quartile]]="ThirdQuartile", 3,
 IF(Table13[[#This Row],[Quartile]]="FourthQuartile", 4, ""))))</f>
        <v>3</v>
      </c>
      <c r="F116" s="5" t="s">
        <v>453</v>
      </c>
      <c r="G116" s="5" t="str" cm="1">
        <f t="array" ref="G116">IFERROR(
  INDEX(Table13[Quartile],
    MATCH(1,
      (Table13[[#This Row],[OrgName]]=Table13[OrgName]) *
      (Table13[[#This Row],[Month Number]]-1=Table13[Month Number]),
    0)
  ),
"")</f>
        <v>ThirdQuartile</v>
      </c>
      <c r="H116" s="5">
        <f>IF(Table13[[#This Row],[Previous Quartile]]="TopQuartile", 1,
 IF(Table13[[#This Row],[Previous Quartile]]="SecondQuartile", 2,
 IF(Table13[[#This Row],[Previous Quartile]]="ThirdQuartile", 3,
 IF(Table13[[#This Row],[Previous Quartile]]="FourthQuartile", 4, ""))))</f>
        <v>3</v>
      </c>
      <c r="I116" s="5" t="str">
        <f>IF(Table13[[#This Row],[Previous Quartile Value]]="", "",
   IF(Table13[[#This Row],[Quartile Value]] &lt; Table13[[#This Row],[Previous Quartile Value]], "Improved",
   IF(Table13[[#This Row],[Quartile Value]] &gt; Table13[[#This Row],[Previous Quartile Value]], "Dropped", "Same")))</f>
        <v>Same</v>
      </c>
      <c r="J116" s="7" t="s">
        <v>24</v>
      </c>
      <c r="K116" s="7" t="str">
        <f>VLOOKUP(J116,Introduction!$B$6:$C$14,2)</f>
        <v>North East and Yorkshire</v>
      </c>
      <c r="L116" s="7">
        <v>328</v>
      </c>
      <c r="M116" s="8" t="s">
        <v>425</v>
      </c>
    </row>
    <row r="117" spans="1:13" ht="19.95" customHeight="1" x14ac:dyDescent="0.25">
      <c r="A117" s="40">
        <v>45474</v>
      </c>
      <c r="B117" s="46">
        <f>MONTH(Table13[[#This Row],[YearMonth]])</f>
        <v>7</v>
      </c>
      <c r="C117" s="5" t="s">
        <v>198</v>
      </c>
      <c r="D117" s="6" t="s">
        <v>341</v>
      </c>
      <c r="E117" s="6">
        <f>IF(Table13[[#This Row],[Quartile]]="TopQuartile", 1,
 IF(Table13[[#This Row],[Quartile]]="SecondQuartile", 2,
 IF(Table13[[#This Row],[Quartile]]="ThirdQuartile", 3,
 IF(Table13[[#This Row],[Quartile]]="FourthQuartile", 4, ""))))</f>
        <v>3</v>
      </c>
      <c r="F117" s="5" t="s">
        <v>454</v>
      </c>
      <c r="G117" s="5" t="str" cm="1">
        <f t="array" ref="G117">IFERROR(
  INDEX(Table13[Quartile],
    MATCH(1,
      (Table13[[#This Row],[OrgName]]=Table13[OrgName]) *
      (Table13[[#This Row],[Month Number]]-1=Table13[Month Number]),
    0)
  ),
"")</f>
        <v>ThirdQuartile</v>
      </c>
      <c r="H117" s="5">
        <f>IF(Table13[[#This Row],[Previous Quartile]]="TopQuartile", 1,
 IF(Table13[[#This Row],[Previous Quartile]]="SecondQuartile", 2,
 IF(Table13[[#This Row],[Previous Quartile]]="ThirdQuartile", 3,
 IF(Table13[[#This Row],[Previous Quartile]]="FourthQuartile", 4, ""))))</f>
        <v>3</v>
      </c>
      <c r="I117" s="5" t="str">
        <f>IF(Table13[[#This Row],[Previous Quartile Value]]="", "",
   IF(Table13[[#This Row],[Quartile Value]] &lt; Table13[[#This Row],[Previous Quartile Value]], "Improved",
   IF(Table13[[#This Row],[Quartile Value]] &gt; Table13[[#This Row],[Previous Quartile Value]], "Dropped", "Same")))</f>
        <v>Same</v>
      </c>
      <c r="J117" s="7" t="s">
        <v>22</v>
      </c>
      <c r="K117" s="7" t="str">
        <f>VLOOKUP(J117,Introduction!$B$6:$C$14,2)</f>
        <v>North West</v>
      </c>
      <c r="L117" s="7">
        <v>370</v>
      </c>
      <c r="M117" s="8" t="s">
        <v>425</v>
      </c>
    </row>
    <row r="118" spans="1:13" ht="19.95" customHeight="1" x14ac:dyDescent="0.25">
      <c r="A118" s="40">
        <v>45474</v>
      </c>
      <c r="B118" s="46">
        <f>MONTH(Table13[[#This Row],[YearMonth]])</f>
        <v>7</v>
      </c>
      <c r="C118" s="5" t="s">
        <v>207</v>
      </c>
      <c r="D118" s="6" t="s">
        <v>341</v>
      </c>
      <c r="E118" s="6">
        <f>IF(Table13[[#This Row],[Quartile]]="TopQuartile", 1,
 IF(Table13[[#This Row],[Quartile]]="SecondQuartile", 2,
 IF(Table13[[#This Row],[Quartile]]="ThirdQuartile", 3,
 IF(Table13[[#This Row],[Quartile]]="FourthQuartile", 4, ""))))</f>
        <v>3</v>
      </c>
      <c r="F118" s="5" t="s">
        <v>455</v>
      </c>
      <c r="G118" s="5" t="str" cm="1">
        <f t="array" ref="G118">IFERROR(
  INDEX(Table13[Quartile],
    MATCH(1,
      (Table13[[#This Row],[OrgName]]=Table13[OrgName]) *
      (Table13[[#This Row],[Month Number]]-1=Table13[Month Number]),
    0)
  ),
"")</f>
        <v>ThirdQuartile</v>
      </c>
      <c r="H118" s="5">
        <f>IF(Table13[[#This Row],[Previous Quartile]]="TopQuartile", 1,
 IF(Table13[[#This Row],[Previous Quartile]]="SecondQuartile", 2,
 IF(Table13[[#This Row],[Previous Quartile]]="ThirdQuartile", 3,
 IF(Table13[[#This Row],[Previous Quartile]]="FourthQuartile", 4, ""))))</f>
        <v>3</v>
      </c>
      <c r="I118" s="5" t="str">
        <f>IF(Table13[[#This Row],[Previous Quartile Value]]="", "",
   IF(Table13[[#This Row],[Quartile Value]] &lt; Table13[[#This Row],[Previous Quartile Value]], "Improved",
   IF(Table13[[#This Row],[Quartile Value]] &gt; Table13[[#This Row],[Previous Quartile Value]], "Dropped", "Same")))</f>
        <v>Same</v>
      </c>
      <c r="J118" s="7" t="s">
        <v>20</v>
      </c>
      <c r="K118" s="7" t="str">
        <f>VLOOKUP(J118,Introduction!$B$6:$C$14,2)</f>
        <v>East of England</v>
      </c>
      <c r="L118" s="7">
        <v>177</v>
      </c>
      <c r="M118" s="8" t="s">
        <v>425</v>
      </c>
    </row>
    <row r="119" spans="1:13" ht="19.95" customHeight="1" x14ac:dyDescent="0.25">
      <c r="A119" s="40">
        <v>45474</v>
      </c>
      <c r="B119" s="46">
        <f>MONTH(Table13[[#This Row],[YearMonth]])</f>
        <v>7</v>
      </c>
      <c r="C119" s="5" t="s">
        <v>210</v>
      </c>
      <c r="D119" s="6" t="s">
        <v>341</v>
      </c>
      <c r="E119" s="6">
        <f>IF(Table13[[#This Row],[Quartile]]="TopQuartile", 1,
 IF(Table13[[#This Row],[Quartile]]="SecondQuartile", 2,
 IF(Table13[[#This Row],[Quartile]]="ThirdQuartile", 3,
 IF(Table13[[#This Row],[Quartile]]="FourthQuartile", 4, ""))))</f>
        <v>3</v>
      </c>
      <c r="F119" s="5" t="s">
        <v>456</v>
      </c>
      <c r="G119" s="5" t="str" cm="1">
        <f t="array" ref="G119">IFERROR(
  INDEX(Table13[Quartile],
    MATCH(1,
      (Table13[[#This Row],[OrgName]]=Table13[OrgName]) *
      (Table13[[#This Row],[Month Number]]-1=Table13[Month Number]),
    0)
  ),
"")</f>
        <v>ThirdQuartile</v>
      </c>
      <c r="H119" s="5">
        <f>IF(Table13[[#This Row],[Previous Quartile]]="TopQuartile", 1,
 IF(Table13[[#This Row],[Previous Quartile]]="SecondQuartile", 2,
 IF(Table13[[#This Row],[Previous Quartile]]="ThirdQuartile", 3,
 IF(Table13[[#This Row],[Previous Quartile]]="FourthQuartile", 4, ""))))</f>
        <v>3</v>
      </c>
      <c r="I119" s="5" t="str">
        <f>IF(Table13[[#This Row],[Previous Quartile Value]]="", "",
   IF(Table13[[#This Row],[Quartile Value]] &lt; Table13[[#This Row],[Previous Quartile Value]], "Improved",
   IF(Table13[[#This Row],[Quartile Value]] &gt; Table13[[#This Row],[Previous Quartile Value]], "Dropped", "Same")))</f>
        <v>Same</v>
      </c>
      <c r="J119" s="7" t="s">
        <v>20</v>
      </c>
      <c r="K119" s="7" t="str">
        <f>VLOOKUP(J119,Introduction!$B$6:$C$14,2)</f>
        <v>East of England</v>
      </c>
      <c r="L119" s="7">
        <v>360</v>
      </c>
      <c r="M119" s="8" t="s">
        <v>425</v>
      </c>
    </row>
    <row r="120" spans="1:13" ht="19.95" customHeight="1" x14ac:dyDescent="0.25">
      <c r="A120" s="40">
        <v>45474</v>
      </c>
      <c r="B120" s="46">
        <f>MONTH(Table13[[#This Row],[YearMonth]])</f>
        <v>7</v>
      </c>
      <c r="C120" s="5" t="s">
        <v>211</v>
      </c>
      <c r="D120" s="6" t="s">
        <v>341</v>
      </c>
      <c r="E120" s="6">
        <f>IF(Table13[[#This Row],[Quartile]]="TopQuartile", 1,
 IF(Table13[[#This Row],[Quartile]]="SecondQuartile", 2,
 IF(Table13[[#This Row],[Quartile]]="ThirdQuartile", 3,
 IF(Table13[[#This Row],[Quartile]]="FourthQuartile", 4, ""))))</f>
        <v>3</v>
      </c>
      <c r="F120" s="5" t="s">
        <v>457</v>
      </c>
      <c r="G120" s="5" t="str" cm="1">
        <f t="array" ref="G120">IFERROR(
  INDEX(Table13[Quartile],
    MATCH(1,
      (Table13[[#This Row],[OrgName]]=Table13[OrgName]) *
      (Table13[[#This Row],[Month Number]]-1=Table13[Month Number]),
    0)
  ),
"")</f>
        <v>ThirdQuartile</v>
      </c>
      <c r="H120" s="5">
        <f>IF(Table13[[#This Row],[Previous Quartile]]="TopQuartile", 1,
 IF(Table13[[#This Row],[Previous Quartile]]="SecondQuartile", 2,
 IF(Table13[[#This Row],[Previous Quartile]]="ThirdQuartile", 3,
 IF(Table13[[#This Row],[Previous Quartile]]="FourthQuartile", 4, ""))))</f>
        <v>3</v>
      </c>
      <c r="I120" s="5" t="str">
        <f>IF(Table13[[#This Row],[Previous Quartile Value]]="", "",
   IF(Table13[[#This Row],[Quartile Value]] &lt; Table13[[#This Row],[Previous Quartile Value]], "Improved",
   IF(Table13[[#This Row],[Quartile Value]] &gt; Table13[[#This Row],[Previous Quartile Value]], "Dropped", "Same")))</f>
        <v>Same</v>
      </c>
      <c r="J120" s="7" t="s">
        <v>12</v>
      </c>
      <c r="K120" s="7" t="str">
        <f>VLOOKUP(J120,Introduction!$B$6:$C$14,2)</f>
        <v>London</v>
      </c>
      <c r="L120" s="7">
        <v>213</v>
      </c>
      <c r="M120" s="8" t="s">
        <v>425</v>
      </c>
    </row>
    <row r="121" spans="1:13" ht="19.95" customHeight="1" x14ac:dyDescent="0.25">
      <c r="A121" s="40">
        <v>45474</v>
      </c>
      <c r="B121" s="46">
        <f>MONTH(Table13[[#This Row],[YearMonth]])</f>
        <v>7</v>
      </c>
      <c r="C121" s="5" t="s">
        <v>222</v>
      </c>
      <c r="D121" s="6" t="s">
        <v>341</v>
      </c>
      <c r="E121" s="6">
        <f>IF(Table13[[#This Row],[Quartile]]="TopQuartile", 1,
 IF(Table13[[#This Row],[Quartile]]="SecondQuartile", 2,
 IF(Table13[[#This Row],[Quartile]]="ThirdQuartile", 3,
 IF(Table13[[#This Row],[Quartile]]="FourthQuartile", 4, ""))))</f>
        <v>3</v>
      </c>
      <c r="F121" s="5" t="s">
        <v>458</v>
      </c>
      <c r="G121" s="5" t="str" cm="1">
        <f t="array" ref="G121">IFERROR(
  INDEX(Table13[Quartile],
    MATCH(1,
      (Table13[[#This Row],[OrgName]]=Table13[OrgName]) *
      (Table13[[#This Row],[Month Number]]-1=Table13[Month Number]),
    0)
  ),
"")</f>
        <v>ThirdQuartile</v>
      </c>
      <c r="H121" s="5">
        <f>IF(Table13[[#This Row],[Previous Quartile]]="TopQuartile", 1,
 IF(Table13[[#This Row],[Previous Quartile]]="SecondQuartile", 2,
 IF(Table13[[#This Row],[Previous Quartile]]="ThirdQuartile", 3,
 IF(Table13[[#This Row],[Previous Quartile]]="FourthQuartile", 4, ""))))</f>
        <v>3</v>
      </c>
      <c r="I121" s="5" t="str">
        <f>IF(Table13[[#This Row],[Previous Quartile Value]]="", "",
   IF(Table13[[#This Row],[Quartile Value]] &lt; Table13[[#This Row],[Previous Quartile Value]], "Improved",
   IF(Table13[[#This Row],[Quartile Value]] &gt; Table13[[#This Row],[Previous Quartile Value]], "Dropped", "Same")))</f>
        <v>Same</v>
      </c>
      <c r="J121" s="7" t="s">
        <v>24</v>
      </c>
      <c r="K121" s="7" t="str">
        <f>VLOOKUP(J121,Introduction!$B$6:$C$14,2)</f>
        <v>North East and Yorkshire</v>
      </c>
      <c r="L121" s="7">
        <v>298</v>
      </c>
      <c r="M121" s="8" t="s">
        <v>425</v>
      </c>
    </row>
    <row r="122" spans="1:13" ht="19.95" customHeight="1" x14ac:dyDescent="0.25">
      <c r="A122" s="40">
        <v>45474</v>
      </c>
      <c r="B122" s="46">
        <f>MONTH(Table13[[#This Row],[YearMonth]])</f>
        <v>7</v>
      </c>
      <c r="C122" s="5" t="s">
        <v>223</v>
      </c>
      <c r="D122" s="6" t="s">
        <v>341</v>
      </c>
      <c r="E122" s="6">
        <f>IF(Table13[[#This Row],[Quartile]]="TopQuartile", 1,
 IF(Table13[[#This Row],[Quartile]]="SecondQuartile", 2,
 IF(Table13[[#This Row],[Quartile]]="ThirdQuartile", 3,
 IF(Table13[[#This Row],[Quartile]]="FourthQuartile", 4, ""))))</f>
        <v>3</v>
      </c>
      <c r="F122" s="5" t="s">
        <v>459</v>
      </c>
      <c r="G122" s="5" t="str" cm="1">
        <f t="array" ref="G122">IFERROR(
  INDEX(Table13[Quartile],
    MATCH(1,
      (Table13[[#This Row],[OrgName]]=Table13[OrgName]) *
      (Table13[[#This Row],[Month Number]]-1=Table13[Month Number]),
    0)
  ),
"")</f>
        <v>ThirdQuartile</v>
      </c>
      <c r="H122" s="5">
        <f>IF(Table13[[#This Row],[Previous Quartile]]="TopQuartile", 1,
 IF(Table13[[#This Row],[Previous Quartile]]="SecondQuartile", 2,
 IF(Table13[[#This Row],[Previous Quartile]]="ThirdQuartile", 3,
 IF(Table13[[#This Row],[Previous Quartile]]="FourthQuartile", 4, ""))))</f>
        <v>3</v>
      </c>
      <c r="I122" s="5" t="str">
        <f>IF(Table13[[#This Row],[Previous Quartile Value]]="", "",
   IF(Table13[[#This Row],[Quartile Value]] &lt; Table13[[#This Row],[Previous Quartile Value]], "Improved",
   IF(Table13[[#This Row],[Quartile Value]] &gt; Table13[[#This Row],[Previous Quartile Value]], "Dropped", "Same")))</f>
        <v>Same</v>
      </c>
      <c r="J122" s="7" t="s">
        <v>22</v>
      </c>
      <c r="K122" s="7" t="str">
        <f>VLOOKUP(J122,Introduction!$B$6:$C$14,2)</f>
        <v>North West</v>
      </c>
      <c r="L122" s="7">
        <v>382</v>
      </c>
      <c r="M122" s="8" t="s">
        <v>425</v>
      </c>
    </row>
    <row r="123" spans="1:13" ht="19.95" customHeight="1" x14ac:dyDescent="0.25">
      <c r="A123" s="40">
        <v>45474</v>
      </c>
      <c r="B123" s="46">
        <f>MONTH(Table13[[#This Row],[YearMonth]])</f>
        <v>7</v>
      </c>
      <c r="C123" s="5" t="s">
        <v>225</v>
      </c>
      <c r="D123" s="6" t="s">
        <v>341</v>
      </c>
      <c r="E123" s="6">
        <f>IF(Table13[[#This Row],[Quartile]]="TopQuartile", 1,
 IF(Table13[[#This Row],[Quartile]]="SecondQuartile", 2,
 IF(Table13[[#This Row],[Quartile]]="ThirdQuartile", 3,
 IF(Table13[[#This Row],[Quartile]]="FourthQuartile", 4, ""))))</f>
        <v>3</v>
      </c>
      <c r="F123" s="5" t="s">
        <v>460</v>
      </c>
      <c r="G123" s="5" t="str" cm="1">
        <f t="array" ref="G123">IFERROR(
  INDEX(Table13[Quartile],
    MATCH(1,
      (Table13[[#This Row],[OrgName]]=Table13[OrgName]) *
      (Table13[[#This Row],[Month Number]]-1=Table13[Month Number]),
    0)
  ),
"")</f>
        <v>ThirdQuartile</v>
      </c>
      <c r="H123" s="5">
        <f>IF(Table13[[#This Row],[Previous Quartile]]="TopQuartile", 1,
 IF(Table13[[#This Row],[Previous Quartile]]="SecondQuartile", 2,
 IF(Table13[[#This Row],[Previous Quartile]]="ThirdQuartile", 3,
 IF(Table13[[#This Row],[Previous Quartile]]="FourthQuartile", 4, ""))))</f>
        <v>3</v>
      </c>
      <c r="I123" s="5" t="str">
        <f>IF(Table13[[#This Row],[Previous Quartile Value]]="", "",
   IF(Table13[[#This Row],[Quartile Value]] &lt; Table13[[#This Row],[Previous Quartile Value]], "Improved",
   IF(Table13[[#This Row],[Quartile Value]] &gt; Table13[[#This Row],[Previous Quartile Value]], "Dropped", "Same")))</f>
        <v>Same</v>
      </c>
      <c r="J123" s="7" t="s">
        <v>14</v>
      </c>
      <c r="K123" s="7" t="str">
        <f>VLOOKUP(J123,Introduction!$B$6:$C$14,2)</f>
        <v>South West</v>
      </c>
      <c r="L123" s="7">
        <v>216</v>
      </c>
      <c r="M123" s="8" t="s">
        <v>425</v>
      </c>
    </row>
    <row r="124" spans="1:13" ht="19.95" customHeight="1" x14ac:dyDescent="0.25">
      <c r="A124" s="40">
        <v>45474</v>
      </c>
      <c r="B124" s="46">
        <f>MONTH(Table13[[#This Row],[YearMonth]])</f>
        <v>7</v>
      </c>
      <c r="C124" s="5" t="s">
        <v>235</v>
      </c>
      <c r="D124" s="6" t="s">
        <v>341</v>
      </c>
      <c r="E124" s="6">
        <f>IF(Table13[[#This Row],[Quartile]]="TopQuartile", 1,
 IF(Table13[[#This Row],[Quartile]]="SecondQuartile", 2,
 IF(Table13[[#This Row],[Quartile]]="ThirdQuartile", 3,
 IF(Table13[[#This Row],[Quartile]]="FourthQuartile", 4, ""))))</f>
        <v>3</v>
      </c>
      <c r="F124" s="5" t="s">
        <v>461</v>
      </c>
      <c r="G124" s="5" t="str" cm="1">
        <f t="array" ref="G124">IFERROR(
  INDEX(Table13[Quartile],
    MATCH(1,
      (Table13[[#This Row],[OrgName]]=Table13[OrgName]) *
      (Table13[[#This Row],[Month Number]]-1=Table13[Month Number]),
    0)
  ),
"")</f>
        <v>ThirdQuartile</v>
      </c>
      <c r="H124" s="5">
        <f>IF(Table13[[#This Row],[Previous Quartile]]="TopQuartile", 1,
 IF(Table13[[#This Row],[Previous Quartile]]="SecondQuartile", 2,
 IF(Table13[[#This Row],[Previous Quartile]]="ThirdQuartile", 3,
 IF(Table13[[#This Row],[Previous Quartile]]="FourthQuartile", 4, ""))))</f>
        <v>3</v>
      </c>
      <c r="I124" s="5" t="str">
        <f>IF(Table13[[#This Row],[Previous Quartile Value]]="", "",
   IF(Table13[[#This Row],[Quartile Value]] &lt; Table13[[#This Row],[Previous Quartile Value]], "Improved",
   IF(Table13[[#This Row],[Quartile Value]] &gt; Table13[[#This Row],[Previous Quartile Value]], "Dropped", "Same")))</f>
        <v>Same</v>
      </c>
      <c r="J124" s="7" t="s">
        <v>12</v>
      </c>
      <c r="K124" s="7" t="str">
        <f>VLOOKUP(J124,Introduction!$B$6:$C$14,2)</f>
        <v>London</v>
      </c>
      <c r="L124" s="7">
        <v>337</v>
      </c>
      <c r="M124" s="8" t="s">
        <v>425</v>
      </c>
    </row>
    <row r="125" spans="1:13" ht="19.95" customHeight="1" x14ac:dyDescent="0.25">
      <c r="A125" s="40">
        <v>45474</v>
      </c>
      <c r="B125" s="46">
        <f>MONTH(Table13[[#This Row],[YearMonth]])</f>
        <v>7</v>
      </c>
      <c r="C125" s="5" t="s">
        <v>241</v>
      </c>
      <c r="D125" s="6" t="s">
        <v>341</v>
      </c>
      <c r="E125" s="6">
        <f>IF(Table13[[#This Row],[Quartile]]="TopQuartile", 1,
 IF(Table13[[#This Row],[Quartile]]="SecondQuartile", 2,
 IF(Table13[[#This Row],[Quartile]]="ThirdQuartile", 3,
 IF(Table13[[#This Row],[Quartile]]="FourthQuartile", 4, ""))))</f>
        <v>3</v>
      </c>
      <c r="F125" s="5" t="s">
        <v>462</v>
      </c>
      <c r="G125" s="5" t="str" cm="1">
        <f t="array" ref="G125">IFERROR(
  INDEX(Table13[Quartile],
    MATCH(1,
      (Table13[[#This Row],[OrgName]]=Table13[OrgName]) *
      (Table13[[#This Row],[Month Number]]-1=Table13[Month Number]),
    0)
  ),
"")</f>
        <v>ThirdQuartile</v>
      </c>
      <c r="H125" s="5">
        <f>IF(Table13[[#This Row],[Previous Quartile]]="TopQuartile", 1,
 IF(Table13[[#This Row],[Previous Quartile]]="SecondQuartile", 2,
 IF(Table13[[#This Row],[Previous Quartile]]="ThirdQuartile", 3,
 IF(Table13[[#This Row],[Previous Quartile]]="FourthQuartile", 4, ""))))</f>
        <v>3</v>
      </c>
      <c r="I125" s="5" t="str">
        <f>IF(Table13[[#This Row],[Previous Quartile Value]]="", "",
   IF(Table13[[#This Row],[Quartile Value]] &lt; Table13[[#This Row],[Previous Quartile Value]], "Improved",
   IF(Table13[[#This Row],[Quartile Value]] &gt; Table13[[#This Row],[Previous Quartile Value]], "Dropped", "Same")))</f>
        <v>Same</v>
      </c>
      <c r="J125" s="7" t="s">
        <v>22</v>
      </c>
      <c r="K125" s="7" t="str">
        <f>VLOOKUP(J125,Introduction!$B$6:$C$14,2)</f>
        <v>North West</v>
      </c>
      <c r="L125" s="7">
        <v>287</v>
      </c>
      <c r="M125" s="8" t="s">
        <v>425</v>
      </c>
    </row>
    <row r="126" spans="1:13" ht="19.95" customHeight="1" x14ac:dyDescent="0.25">
      <c r="A126" s="40">
        <v>45474</v>
      </c>
      <c r="B126" s="46">
        <f>MONTH(Table13[[#This Row],[YearMonth]])</f>
        <v>7</v>
      </c>
      <c r="C126" s="5" t="s">
        <v>251</v>
      </c>
      <c r="D126" s="6" t="s">
        <v>350</v>
      </c>
      <c r="E126" s="6">
        <f>IF(Table13[[#This Row],[Quartile]]="TopQuartile", 1,
 IF(Table13[[#This Row],[Quartile]]="SecondQuartile", 2,
 IF(Table13[[#This Row],[Quartile]]="ThirdQuartile", 3,
 IF(Table13[[#This Row],[Quartile]]="FourthQuartile", 4, ""))))</f>
        <v>4</v>
      </c>
      <c r="F126" s="5" t="s">
        <v>463</v>
      </c>
      <c r="G126" s="5" t="str" cm="1">
        <f t="array" ref="G126">IFERROR(
  INDEX(Table13[Quartile],
    MATCH(1,
      (Table13[[#This Row],[OrgName]]=Table13[OrgName]) *
      (Table13[[#This Row],[Month Number]]-1=Table13[Month Number]),
    0)
  ),
"")</f>
        <v>FourthQuartile</v>
      </c>
      <c r="H126" s="5">
        <f>IF(Table13[[#This Row],[Previous Quartile]]="TopQuartile", 1,
 IF(Table13[[#This Row],[Previous Quartile]]="SecondQuartile", 2,
 IF(Table13[[#This Row],[Previous Quartile]]="ThirdQuartile", 3,
 IF(Table13[[#This Row],[Previous Quartile]]="FourthQuartile", 4, ""))))</f>
        <v>4</v>
      </c>
      <c r="I126" s="5" t="str">
        <f>IF(Table13[[#This Row],[Previous Quartile Value]]="", "",
   IF(Table13[[#This Row],[Quartile Value]] &lt; Table13[[#This Row],[Previous Quartile Value]], "Improved",
   IF(Table13[[#This Row],[Quartile Value]] &gt; Table13[[#This Row],[Previous Quartile Value]], "Dropped", "Same")))</f>
        <v>Same</v>
      </c>
      <c r="J126" s="7" t="s">
        <v>22</v>
      </c>
      <c r="K126" s="7" t="str">
        <f>VLOOKUP(J126,Introduction!$B$6:$C$14,2)</f>
        <v>North West</v>
      </c>
      <c r="L126" s="7">
        <v>349</v>
      </c>
      <c r="M126" s="8" t="s">
        <v>425</v>
      </c>
    </row>
    <row r="127" spans="1:13" ht="19.95" customHeight="1" x14ac:dyDescent="0.25">
      <c r="A127" s="40">
        <v>45474</v>
      </c>
      <c r="B127" s="46">
        <f>MONTH(Table13[[#This Row],[YearMonth]])</f>
        <v>7</v>
      </c>
      <c r="C127" s="5" t="s">
        <v>253</v>
      </c>
      <c r="D127" s="6" t="s">
        <v>350</v>
      </c>
      <c r="E127" s="6">
        <f>IF(Table13[[#This Row],[Quartile]]="TopQuartile", 1,
 IF(Table13[[#This Row],[Quartile]]="SecondQuartile", 2,
 IF(Table13[[#This Row],[Quartile]]="ThirdQuartile", 3,
 IF(Table13[[#This Row],[Quartile]]="FourthQuartile", 4, ""))))</f>
        <v>4</v>
      </c>
      <c r="F127" s="5" t="s">
        <v>464</v>
      </c>
      <c r="G127" s="5" t="str" cm="1">
        <f t="array" ref="G127">IFERROR(
  INDEX(Table13[Quartile],
    MATCH(1,
      (Table13[[#This Row],[OrgName]]=Table13[OrgName]) *
      (Table13[[#This Row],[Month Number]]-1=Table13[Month Number]),
    0)
  ),
"")</f>
        <v>FourthQuartile</v>
      </c>
      <c r="H127" s="5">
        <f>IF(Table13[[#This Row],[Previous Quartile]]="TopQuartile", 1,
 IF(Table13[[#This Row],[Previous Quartile]]="SecondQuartile", 2,
 IF(Table13[[#This Row],[Previous Quartile]]="ThirdQuartile", 3,
 IF(Table13[[#This Row],[Previous Quartile]]="FourthQuartile", 4, ""))))</f>
        <v>4</v>
      </c>
      <c r="I127" s="5" t="str">
        <f>IF(Table13[[#This Row],[Previous Quartile Value]]="", "",
   IF(Table13[[#This Row],[Quartile Value]] &lt; Table13[[#This Row],[Previous Quartile Value]], "Improved",
   IF(Table13[[#This Row],[Quartile Value]] &gt; Table13[[#This Row],[Previous Quartile Value]], "Dropped", "Same")))</f>
        <v>Same</v>
      </c>
      <c r="J127" s="7" t="s">
        <v>12</v>
      </c>
      <c r="K127" s="7" t="str">
        <f>VLOOKUP(J127,Introduction!$B$6:$C$14,2)</f>
        <v>London</v>
      </c>
      <c r="L127" s="7">
        <v>196</v>
      </c>
      <c r="M127" s="8" t="s">
        <v>425</v>
      </c>
    </row>
    <row r="128" spans="1:13" ht="19.95" customHeight="1" x14ac:dyDescent="0.25">
      <c r="A128" s="40">
        <v>45474</v>
      </c>
      <c r="B128" s="46">
        <f>MONTH(Table13[[#This Row],[YearMonth]])</f>
        <v>7</v>
      </c>
      <c r="C128" s="5" t="s">
        <v>258</v>
      </c>
      <c r="D128" s="6" t="s">
        <v>350</v>
      </c>
      <c r="E128" s="6">
        <f>IF(Table13[[#This Row],[Quartile]]="TopQuartile", 1,
 IF(Table13[[#This Row],[Quartile]]="SecondQuartile", 2,
 IF(Table13[[#This Row],[Quartile]]="ThirdQuartile", 3,
 IF(Table13[[#This Row],[Quartile]]="FourthQuartile", 4, ""))))</f>
        <v>4</v>
      </c>
      <c r="F128" s="5" t="s">
        <v>465</v>
      </c>
      <c r="G128" s="5" t="str" cm="1">
        <f t="array" ref="G128">IFERROR(
  INDEX(Table13[Quartile],
    MATCH(1,
      (Table13[[#This Row],[OrgName]]=Table13[OrgName]) *
      (Table13[[#This Row],[Month Number]]-1=Table13[Month Number]),
    0)
  ),
"")</f>
        <v>FourthQuartile</v>
      </c>
      <c r="H128" s="5">
        <f>IF(Table13[[#This Row],[Previous Quartile]]="TopQuartile", 1,
 IF(Table13[[#This Row],[Previous Quartile]]="SecondQuartile", 2,
 IF(Table13[[#This Row],[Previous Quartile]]="ThirdQuartile", 3,
 IF(Table13[[#This Row],[Previous Quartile]]="FourthQuartile", 4, ""))))</f>
        <v>4</v>
      </c>
      <c r="I128" s="5" t="str">
        <f>IF(Table13[[#This Row],[Previous Quartile Value]]="", "",
   IF(Table13[[#This Row],[Quartile Value]] &lt; Table13[[#This Row],[Previous Quartile Value]], "Improved",
   IF(Table13[[#This Row],[Quartile Value]] &gt; Table13[[#This Row],[Previous Quartile Value]], "Dropped", "Same")))</f>
        <v>Same</v>
      </c>
      <c r="J128" s="7" t="s">
        <v>16</v>
      </c>
      <c r="K128" s="7" t="str">
        <f>VLOOKUP(J128,Introduction!$B$6:$C$14,2)</f>
        <v>South East</v>
      </c>
      <c r="L128" s="7">
        <v>321</v>
      </c>
      <c r="M128" s="8" t="s">
        <v>425</v>
      </c>
    </row>
    <row r="129" spans="1:13" ht="19.95" customHeight="1" x14ac:dyDescent="0.25">
      <c r="A129" s="40">
        <v>45474</v>
      </c>
      <c r="B129" s="46">
        <f>MONTH(Table13[[#This Row],[YearMonth]])</f>
        <v>7</v>
      </c>
      <c r="C129" s="5" t="s">
        <v>267</v>
      </c>
      <c r="D129" s="6" t="s">
        <v>350</v>
      </c>
      <c r="E129" s="6">
        <f>IF(Table13[[#This Row],[Quartile]]="TopQuartile", 1,
 IF(Table13[[#This Row],[Quartile]]="SecondQuartile", 2,
 IF(Table13[[#This Row],[Quartile]]="ThirdQuartile", 3,
 IF(Table13[[#This Row],[Quartile]]="FourthQuartile", 4, ""))))</f>
        <v>4</v>
      </c>
      <c r="F129" s="5" t="s">
        <v>466</v>
      </c>
      <c r="G129" s="5" t="str" cm="1">
        <f t="array" ref="G129">IFERROR(
  INDEX(Table13[Quartile],
    MATCH(1,
      (Table13[[#This Row],[OrgName]]=Table13[OrgName]) *
      (Table13[[#This Row],[Month Number]]-1=Table13[Month Number]),
    0)
  ),
"")</f>
        <v>FourthQuartile</v>
      </c>
      <c r="H129" s="5">
        <f>IF(Table13[[#This Row],[Previous Quartile]]="TopQuartile", 1,
 IF(Table13[[#This Row],[Previous Quartile]]="SecondQuartile", 2,
 IF(Table13[[#This Row],[Previous Quartile]]="ThirdQuartile", 3,
 IF(Table13[[#This Row],[Previous Quartile]]="FourthQuartile", 4, ""))))</f>
        <v>4</v>
      </c>
      <c r="I129" s="5" t="str">
        <f>IF(Table13[[#This Row],[Previous Quartile Value]]="", "",
   IF(Table13[[#This Row],[Quartile Value]] &lt; Table13[[#This Row],[Previous Quartile Value]], "Improved",
   IF(Table13[[#This Row],[Quartile Value]] &gt; Table13[[#This Row],[Previous Quartile Value]], "Dropped", "Same")))</f>
        <v>Same</v>
      </c>
      <c r="J129" s="7" t="s">
        <v>18</v>
      </c>
      <c r="K129" s="7" t="str">
        <f>VLOOKUP(J129,Introduction!$B$6:$C$14,2)</f>
        <v>Midlands</v>
      </c>
      <c r="L129" s="7">
        <v>304</v>
      </c>
      <c r="M129" s="8" t="s">
        <v>425</v>
      </c>
    </row>
    <row r="130" spans="1:13" ht="19.95" customHeight="1" x14ac:dyDescent="0.25">
      <c r="A130" s="40">
        <v>45474</v>
      </c>
      <c r="B130" s="46">
        <f>MONTH(Table13[[#This Row],[YearMonth]])</f>
        <v>7</v>
      </c>
      <c r="C130" s="5" t="s">
        <v>269</v>
      </c>
      <c r="D130" s="6" t="s">
        <v>350</v>
      </c>
      <c r="E130" s="6">
        <f>IF(Table13[[#This Row],[Quartile]]="TopQuartile", 1,
 IF(Table13[[#This Row],[Quartile]]="SecondQuartile", 2,
 IF(Table13[[#This Row],[Quartile]]="ThirdQuartile", 3,
 IF(Table13[[#This Row],[Quartile]]="FourthQuartile", 4, ""))))</f>
        <v>4</v>
      </c>
      <c r="F130" s="5" t="s">
        <v>467</v>
      </c>
      <c r="G130" s="5" t="str" cm="1">
        <f t="array" ref="G130">IFERROR(
  INDEX(Table13[Quartile],
    MATCH(1,
      (Table13[[#This Row],[OrgName]]=Table13[OrgName]) *
      (Table13[[#This Row],[Month Number]]-1=Table13[Month Number]),
    0)
  ),
"")</f>
        <v>FourthQuartile</v>
      </c>
      <c r="H130" s="5">
        <f>IF(Table13[[#This Row],[Previous Quartile]]="TopQuartile", 1,
 IF(Table13[[#This Row],[Previous Quartile]]="SecondQuartile", 2,
 IF(Table13[[#This Row],[Previous Quartile]]="ThirdQuartile", 3,
 IF(Table13[[#This Row],[Previous Quartile]]="FourthQuartile", 4, ""))))</f>
        <v>4</v>
      </c>
      <c r="I130" s="5" t="str">
        <f>IF(Table13[[#This Row],[Previous Quartile Value]]="", "",
   IF(Table13[[#This Row],[Quartile Value]] &lt; Table13[[#This Row],[Previous Quartile Value]], "Improved",
   IF(Table13[[#This Row],[Quartile Value]] &gt; Table13[[#This Row],[Previous Quartile Value]], "Dropped", "Same")))</f>
        <v>Same</v>
      </c>
      <c r="J130" s="7" t="s">
        <v>14</v>
      </c>
      <c r="K130" s="7" t="str">
        <f>VLOOKUP(J130,Introduction!$B$6:$C$14,2)</f>
        <v>South West</v>
      </c>
      <c r="L130" s="7">
        <v>387</v>
      </c>
      <c r="M130" s="8" t="s">
        <v>425</v>
      </c>
    </row>
    <row r="131" spans="1:13" ht="19.95" customHeight="1" x14ac:dyDescent="0.25">
      <c r="A131" s="40">
        <v>45474</v>
      </c>
      <c r="B131" s="46">
        <f>MONTH(Table13[[#This Row],[YearMonth]])</f>
        <v>7</v>
      </c>
      <c r="C131" s="5" t="s">
        <v>277</v>
      </c>
      <c r="D131" s="6" t="s">
        <v>350</v>
      </c>
      <c r="E131" s="6">
        <f>IF(Table13[[#This Row],[Quartile]]="TopQuartile", 1,
 IF(Table13[[#This Row],[Quartile]]="SecondQuartile", 2,
 IF(Table13[[#This Row],[Quartile]]="ThirdQuartile", 3,
 IF(Table13[[#This Row],[Quartile]]="FourthQuartile", 4, ""))))</f>
        <v>4</v>
      </c>
      <c r="F131" s="5" t="s">
        <v>468</v>
      </c>
      <c r="G131" s="5" t="str" cm="1">
        <f t="array" ref="G131">IFERROR(
  INDEX(Table13[Quartile],
    MATCH(1,
      (Table13[[#This Row],[OrgName]]=Table13[OrgName]) *
      (Table13[[#This Row],[Month Number]]-1=Table13[Month Number]),
    0)
  ),
"")</f>
        <v>FourthQuartile</v>
      </c>
      <c r="H131" s="5">
        <f>IF(Table13[[#This Row],[Previous Quartile]]="TopQuartile", 1,
 IF(Table13[[#This Row],[Previous Quartile]]="SecondQuartile", 2,
 IF(Table13[[#This Row],[Previous Quartile]]="ThirdQuartile", 3,
 IF(Table13[[#This Row],[Previous Quartile]]="FourthQuartile", 4, ""))))</f>
        <v>4</v>
      </c>
      <c r="I131" s="5" t="str">
        <f>IF(Table13[[#This Row],[Previous Quartile Value]]="", "",
   IF(Table13[[#This Row],[Quartile Value]] &lt; Table13[[#This Row],[Previous Quartile Value]], "Improved",
   IF(Table13[[#This Row],[Quartile Value]] &gt; Table13[[#This Row],[Previous Quartile Value]], "Dropped", "Same")))</f>
        <v>Same</v>
      </c>
      <c r="J131" s="7" t="s">
        <v>24</v>
      </c>
      <c r="K131" s="7" t="str">
        <f>VLOOKUP(J131,Introduction!$B$6:$C$14,2)</f>
        <v>North East and Yorkshire</v>
      </c>
      <c r="L131" s="7">
        <v>419</v>
      </c>
      <c r="M131" s="8" t="s">
        <v>425</v>
      </c>
    </row>
    <row r="132" spans="1:13" ht="19.95" customHeight="1" x14ac:dyDescent="0.25">
      <c r="A132" s="40">
        <v>45474</v>
      </c>
      <c r="B132" s="46">
        <f>MONTH(Table13[[#This Row],[YearMonth]])</f>
        <v>7</v>
      </c>
      <c r="C132" s="5" t="s">
        <v>281</v>
      </c>
      <c r="D132" s="6" t="s">
        <v>350</v>
      </c>
      <c r="E132" s="6">
        <f>IF(Table13[[#This Row],[Quartile]]="TopQuartile", 1,
 IF(Table13[[#This Row],[Quartile]]="SecondQuartile", 2,
 IF(Table13[[#This Row],[Quartile]]="ThirdQuartile", 3,
 IF(Table13[[#This Row],[Quartile]]="FourthQuartile", 4, ""))))</f>
        <v>4</v>
      </c>
      <c r="F132" s="5" t="s">
        <v>469</v>
      </c>
      <c r="G132" s="5" t="str" cm="1">
        <f t="array" ref="G132">IFERROR(
  INDEX(Table13[Quartile],
    MATCH(1,
      (Table13[[#This Row],[OrgName]]=Table13[OrgName]) *
      (Table13[[#This Row],[Month Number]]-1=Table13[Month Number]),
    0)
  ),
"")</f>
        <v>FourthQuartile</v>
      </c>
      <c r="H132" s="5">
        <f>IF(Table13[[#This Row],[Previous Quartile]]="TopQuartile", 1,
 IF(Table13[[#This Row],[Previous Quartile]]="SecondQuartile", 2,
 IF(Table13[[#This Row],[Previous Quartile]]="ThirdQuartile", 3,
 IF(Table13[[#This Row],[Previous Quartile]]="FourthQuartile", 4, ""))))</f>
        <v>4</v>
      </c>
      <c r="I132" s="5" t="str">
        <f>IF(Table13[[#This Row],[Previous Quartile Value]]="", "",
   IF(Table13[[#This Row],[Quartile Value]] &lt; Table13[[#This Row],[Previous Quartile Value]], "Improved",
   IF(Table13[[#This Row],[Quartile Value]] &gt; Table13[[#This Row],[Previous Quartile Value]], "Dropped", "Same")))</f>
        <v>Same</v>
      </c>
      <c r="J132" s="7" t="s">
        <v>18</v>
      </c>
      <c r="K132" s="7" t="str">
        <f>VLOOKUP(J132,Introduction!$B$6:$C$14,2)</f>
        <v>Midlands</v>
      </c>
      <c r="L132" s="7">
        <v>205</v>
      </c>
      <c r="M132" s="8" t="s">
        <v>425</v>
      </c>
    </row>
    <row r="133" spans="1:13" ht="19.95" customHeight="1" x14ac:dyDescent="0.25">
      <c r="A133" s="40">
        <v>45474</v>
      </c>
      <c r="B133" s="46">
        <f>MONTH(Table13[[#This Row],[YearMonth]])</f>
        <v>7</v>
      </c>
      <c r="C133" s="5" t="s">
        <v>282</v>
      </c>
      <c r="D133" s="6" t="s">
        <v>350</v>
      </c>
      <c r="E133" s="6">
        <f>IF(Table13[[#This Row],[Quartile]]="TopQuartile", 1,
 IF(Table13[[#This Row],[Quartile]]="SecondQuartile", 2,
 IF(Table13[[#This Row],[Quartile]]="ThirdQuartile", 3,
 IF(Table13[[#This Row],[Quartile]]="FourthQuartile", 4, ""))))</f>
        <v>4</v>
      </c>
      <c r="F133" s="5" t="s">
        <v>470</v>
      </c>
      <c r="G133" s="5" t="str" cm="1">
        <f t="array" ref="G133">IFERROR(
  INDEX(Table13[Quartile],
    MATCH(1,
      (Table13[[#This Row],[OrgName]]=Table13[OrgName]) *
      (Table13[[#This Row],[Month Number]]-1=Table13[Month Number]),
    0)
  ),
"")</f>
        <v>FourthQuartile</v>
      </c>
      <c r="H133" s="5">
        <f>IF(Table13[[#This Row],[Previous Quartile]]="TopQuartile", 1,
 IF(Table13[[#This Row],[Previous Quartile]]="SecondQuartile", 2,
 IF(Table13[[#This Row],[Previous Quartile]]="ThirdQuartile", 3,
 IF(Table13[[#This Row],[Previous Quartile]]="FourthQuartile", 4, ""))))</f>
        <v>4</v>
      </c>
      <c r="I133" s="5" t="str">
        <f>IF(Table13[[#This Row],[Previous Quartile Value]]="", "",
   IF(Table13[[#This Row],[Quartile Value]] &lt; Table13[[#This Row],[Previous Quartile Value]], "Improved",
   IF(Table13[[#This Row],[Quartile Value]] &gt; Table13[[#This Row],[Previous Quartile Value]], "Dropped", "Same")))</f>
        <v>Same</v>
      </c>
      <c r="J133" s="7" t="s">
        <v>12</v>
      </c>
      <c r="K133" s="7" t="str">
        <f>VLOOKUP(J133,Introduction!$B$6:$C$14,2)</f>
        <v>London</v>
      </c>
      <c r="L133" s="7">
        <v>290</v>
      </c>
      <c r="M133" s="8" t="s">
        <v>425</v>
      </c>
    </row>
    <row r="134" spans="1:13" ht="19.95" customHeight="1" x14ac:dyDescent="0.25">
      <c r="A134" s="40">
        <v>45474</v>
      </c>
      <c r="B134" s="46">
        <f>MONTH(Table13[[#This Row],[YearMonth]])</f>
        <v>7</v>
      </c>
      <c r="C134" s="5" t="s">
        <v>287</v>
      </c>
      <c r="D134" s="6" t="s">
        <v>350</v>
      </c>
      <c r="E134" s="6">
        <f>IF(Table13[[#This Row],[Quartile]]="TopQuartile", 1,
 IF(Table13[[#This Row],[Quartile]]="SecondQuartile", 2,
 IF(Table13[[#This Row],[Quartile]]="ThirdQuartile", 3,
 IF(Table13[[#This Row],[Quartile]]="FourthQuartile", 4, ""))))</f>
        <v>4</v>
      </c>
      <c r="F134" s="5" t="s">
        <v>471</v>
      </c>
      <c r="G134" s="5" t="str" cm="1">
        <f t="array" ref="G134">IFERROR(
  INDEX(Table13[Quartile],
    MATCH(1,
      (Table13[[#This Row],[OrgName]]=Table13[OrgName]) *
      (Table13[[#This Row],[Month Number]]-1=Table13[Month Number]),
    0)
  ),
"")</f>
        <v>FourthQuartile</v>
      </c>
      <c r="H134" s="5">
        <f>IF(Table13[[#This Row],[Previous Quartile]]="TopQuartile", 1,
 IF(Table13[[#This Row],[Previous Quartile]]="SecondQuartile", 2,
 IF(Table13[[#This Row],[Previous Quartile]]="ThirdQuartile", 3,
 IF(Table13[[#This Row],[Previous Quartile]]="FourthQuartile", 4, ""))))</f>
        <v>4</v>
      </c>
      <c r="I134" s="5" t="str">
        <f>IF(Table13[[#This Row],[Previous Quartile Value]]="", "",
   IF(Table13[[#This Row],[Quartile Value]] &lt; Table13[[#This Row],[Previous Quartile Value]], "Improved",
   IF(Table13[[#This Row],[Quartile Value]] &gt; Table13[[#This Row],[Previous Quartile Value]], "Dropped", "Same")))</f>
        <v>Same</v>
      </c>
      <c r="J134" s="7" t="s">
        <v>12</v>
      </c>
      <c r="K134" s="7" t="str">
        <f>VLOOKUP(J134,Introduction!$B$6:$C$14,2)</f>
        <v>London</v>
      </c>
      <c r="L134" s="7">
        <v>289</v>
      </c>
      <c r="M134" s="8" t="s">
        <v>425</v>
      </c>
    </row>
    <row r="135" spans="1:13" ht="19.95" customHeight="1" x14ac:dyDescent="0.25">
      <c r="A135" s="40">
        <v>45474</v>
      </c>
      <c r="B135" s="46">
        <f>MONTH(Table13[[#This Row],[YearMonth]])</f>
        <v>7</v>
      </c>
      <c r="C135" s="5" t="s">
        <v>301</v>
      </c>
      <c r="D135" s="6" t="s">
        <v>350</v>
      </c>
      <c r="E135" s="6">
        <f>IF(Table13[[#This Row],[Quartile]]="TopQuartile", 1,
 IF(Table13[[#This Row],[Quartile]]="SecondQuartile", 2,
 IF(Table13[[#This Row],[Quartile]]="ThirdQuartile", 3,
 IF(Table13[[#This Row],[Quartile]]="FourthQuartile", 4, ""))))</f>
        <v>4</v>
      </c>
      <c r="F135" s="5" t="s">
        <v>472</v>
      </c>
      <c r="G135" s="5" t="str" cm="1">
        <f t="array" ref="G135">IFERROR(
  INDEX(Table13[Quartile],
    MATCH(1,
      (Table13[[#This Row],[OrgName]]=Table13[OrgName]) *
      (Table13[[#This Row],[Month Number]]-1=Table13[Month Number]),
    0)
  ),
"")</f>
        <v>FourthQuartile</v>
      </c>
      <c r="H135" s="5">
        <f>IF(Table13[[#This Row],[Previous Quartile]]="TopQuartile", 1,
 IF(Table13[[#This Row],[Previous Quartile]]="SecondQuartile", 2,
 IF(Table13[[#This Row],[Previous Quartile]]="ThirdQuartile", 3,
 IF(Table13[[#This Row],[Previous Quartile]]="FourthQuartile", 4, ""))))</f>
        <v>4</v>
      </c>
      <c r="I135" s="5" t="str">
        <f>IF(Table13[[#This Row],[Previous Quartile Value]]="", "",
   IF(Table13[[#This Row],[Quartile Value]] &lt; Table13[[#This Row],[Previous Quartile Value]], "Improved",
   IF(Table13[[#This Row],[Quartile Value]] &gt; Table13[[#This Row],[Previous Quartile Value]], "Dropped", "Same")))</f>
        <v>Same</v>
      </c>
      <c r="J135" s="7" t="s">
        <v>14</v>
      </c>
      <c r="K135" s="7" t="str">
        <f>VLOOKUP(J135,Introduction!$B$6:$C$14,2)</f>
        <v>South West</v>
      </c>
      <c r="L135" s="7">
        <v>153</v>
      </c>
      <c r="M135" s="8" t="s">
        <v>425</v>
      </c>
    </row>
    <row r="136" spans="1:13" ht="19.95" customHeight="1" x14ac:dyDescent="0.25">
      <c r="A136" s="40">
        <v>45474</v>
      </c>
      <c r="B136" s="46">
        <f>MONTH(Table13[[#This Row],[YearMonth]])</f>
        <v>7</v>
      </c>
      <c r="C136" s="5" t="s">
        <v>307</v>
      </c>
      <c r="D136" s="6" t="s">
        <v>350</v>
      </c>
      <c r="E136" s="6">
        <f>IF(Table13[[#This Row],[Quartile]]="TopQuartile", 1,
 IF(Table13[[#This Row],[Quartile]]="SecondQuartile", 2,
 IF(Table13[[#This Row],[Quartile]]="ThirdQuartile", 3,
 IF(Table13[[#This Row],[Quartile]]="FourthQuartile", 4, ""))))</f>
        <v>4</v>
      </c>
      <c r="F136" s="5" t="s">
        <v>473</v>
      </c>
      <c r="G136" s="5" t="str" cm="1">
        <f t="array" ref="G136">IFERROR(
  INDEX(Table13[Quartile],
    MATCH(1,
      (Table13[[#This Row],[OrgName]]=Table13[OrgName]) *
      (Table13[[#This Row],[Month Number]]-1=Table13[Month Number]),
    0)
  ),
"")</f>
        <v>FourthQuartile</v>
      </c>
      <c r="H136" s="5">
        <f>IF(Table13[[#This Row],[Previous Quartile]]="TopQuartile", 1,
 IF(Table13[[#This Row],[Previous Quartile]]="SecondQuartile", 2,
 IF(Table13[[#This Row],[Previous Quartile]]="ThirdQuartile", 3,
 IF(Table13[[#This Row],[Previous Quartile]]="FourthQuartile", 4, ""))))</f>
        <v>4</v>
      </c>
      <c r="I136" s="5" t="str">
        <f>IF(Table13[[#This Row],[Previous Quartile Value]]="", "",
   IF(Table13[[#This Row],[Quartile Value]] &lt; Table13[[#This Row],[Previous Quartile Value]], "Improved",
   IF(Table13[[#This Row],[Quartile Value]] &gt; Table13[[#This Row],[Previous Quartile Value]], "Dropped", "Same")))</f>
        <v>Same</v>
      </c>
      <c r="J136" s="7" t="s">
        <v>18</v>
      </c>
      <c r="K136" s="7" t="str">
        <f>VLOOKUP(J136,Introduction!$B$6:$C$14,2)</f>
        <v>Midlands</v>
      </c>
      <c r="L136" s="7">
        <v>164</v>
      </c>
      <c r="M136" s="8" t="s">
        <v>425</v>
      </c>
    </row>
    <row r="137" spans="1:13" ht="19.95" customHeight="1" x14ac:dyDescent="0.25">
      <c r="A137" s="40">
        <v>45474</v>
      </c>
      <c r="B137" s="46">
        <f>MONTH(Table13[[#This Row],[YearMonth]])</f>
        <v>7</v>
      </c>
      <c r="C137" s="5" t="s">
        <v>309</v>
      </c>
      <c r="D137" s="6" t="s">
        <v>350</v>
      </c>
      <c r="E137" s="6">
        <f>IF(Table13[[#This Row],[Quartile]]="TopQuartile", 1,
 IF(Table13[[#This Row],[Quartile]]="SecondQuartile", 2,
 IF(Table13[[#This Row],[Quartile]]="ThirdQuartile", 3,
 IF(Table13[[#This Row],[Quartile]]="FourthQuartile", 4, ""))))</f>
        <v>4</v>
      </c>
      <c r="F137" s="5" t="s">
        <v>474</v>
      </c>
      <c r="G137" s="5" t="str" cm="1">
        <f t="array" ref="G137">IFERROR(
  INDEX(Table13[Quartile],
    MATCH(1,
      (Table13[[#This Row],[OrgName]]=Table13[OrgName]) *
      (Table13[[#This Row],[Month Number]]-1=Table13[Month Number]),
    0)
  ),
"")</f>
        <v>FourthQuartile</v>
      </c>
      <c r="H137" s="5">
        <f>IF(Table13[[#This Row],[Previous Quartile]]="TopQuartile", 1,
 IF(Table13[[#This Row],[Previous Quartile]]="SecondQuartile", 2,
 IF(Table13[[#This Row],[Previous Quartile]]="ThirdQuartile", 3,
 IF(Table13[[#This Row],[Previous Quartile]]="FourthQuartile", 4, ""))))</f>
        <v>4</v>
      </c>
      <c r="I137" s="5" t="str">
        <f>IF(Table13[[#This Row],[Previous Quartile Value]]="", "",
   IF(Table13[[#This Row],[Quartile Value]] &lt; Table13[[#This Row],[Previous Quartile Value]], "Improved",
   IF(Table13[[#This Row],[Quartile Value]] &gt; Table13[[#This Row],[Previous Quartile Value]], "Dropped", "Same")))</f>
        <v>Same</v>
      </c>
      <c r="J137" s="7" t="s">
        <v>20</v>
      </c>
      <c r="K137" s="7" t="str">
        <f>VLOOKUP(J137,Introduction!$B$6:$C$14,2)</f>
        <v>East of England</v>
      </c>
      <c r="L137" s="7">
        <v>234</v>
      </c>
      <c r="M137" s="8" t="s">
        <v>425</v>
      </c>
    </row>
    <row r="138" spans="1:13" ht="19.95" customHeight="1" x14ac:dyDescent="0.25">
      <c r="A138" s="40">
        <v>45474</v>
      </c>
      <c r="B138" s="46">
        <f>MONTH(Table13[[#This Row],[YearMonth]])</f>
        <v>7</v>
      </c>
      <c r="C138" s="5" t="s">
        <v>180</v>
      </c>
      <c r="D138" s="6" t="s">
        <v>341</v>
      </c>
      <c r="E138" s="6">
        <f>IF(Table13[[#This Row],[Quartile]]="TopQuartile", 1,
 IF(Table13[[#This Row],[Quartile]]="SecondQuartile", 2,
 IF(Table13[[#This Row],[Quartile]]="ThirdQuartile", 3,
 IF(Table13[[#This Row],[Quartile]]="FourthQuartile", 4, ""))))</f>
        <v>3</v>
      </c>
      <c r="F138" s="5" t="s">
        <v>475</v>
      </c>
      <c r="G138" s="5" t="str" cm="1">
        <f t="array" ref="G138">IFERROR(
  INDEX(Table13[Quartile],
    MATCH(1,
      (Table13[[#This Row],[OrgName]]=Table13[OrgName]) *
      (Table13[[#This Row],[Month Number]]-1=Table13[Month Number]),
    0)
  ),
"")</f>
        <v>SecondQuartile</v>
      </c>
      <c r="H138" s="5">
        <f>IF(Table13[[#This Row],[Previous Quartile]]="TopQuartile", 1,
 IF(Table13[[#This Row],[Previous Quartile]]="SecondQuartile", 2,
 IF(Table13[[#This Row],[Previous Quartile]]="ThirdQuartile", 3,
 IF(Table13[[#This Row],[Previous Quartile]]="FourthQuartile", 4, ""))))</f>
        <v>2</v>
      </c>
      <c r="I138" s="5" t="str">
        <f>IF(Table13[[#This Row],[Previous Quartile Value]]="", "",
   IF(Table13[[#This Row],[Quartile Value]] &lt; Table13[[#This Row],[Previous Quartile Value]], "Improved",
   IF(Table13[[#This Row],[Quartile Value]] &gt; Table13[[#This Row],[Previous Quartile Value]], "Dropped", "Same")))</f>
        <v>Dropped</v>
      </c>
      <c r="J138" s="7" t="s">
        <v>16</v>
      </c>
      <c r="K138" s="7" t="str">
        <f>VLOOKUP(J138,Introduction!$B$6:$C$14,2)</f>
        <v>South East</v>
      </c>
      <c r="L138" s="7">
        <v>278</v>
      </c>
      <c r="M138" s="8" t="s">
        <v>476</v>
      </c>
    </row>
    <row r="139" spans="1:13" ht="19.95" customHeight="1" x14ac:dyDescent="0.25">
      <c r="A139" s="40">
        <v>45474</v>
      </c>
      <c r="B139" s="46">
        <f>MONTH(Table13[[#This Row],[YearMonth]])</f>
        <v>7</v>
      </c>
      <c r="C139" s="5" t="s">
        <v>183</v>
      </c>
      <c r="D139" s="6" t="s">
        <v>341</v>
      </c>
      <c r="E139" s="6">
        <f>IF(Table13[[#This Row],[Quartile]]="TopQuartile", 1,
 IF(Table13[[#This Row],[Quartile]]="SecondQuartile", 2,
 IF(Table13[[#This Row],[Quartile]]="ThirdQuartile", 3,
 IF(Table13[[#This Row],[Quartile]]="FourthQuartile", 4, ""))))</f>
        <v>3</v>
      </c>
      <c r="F139" s="5" t="s">
        <v>477</v>
      </c>
      <c r="G139" s="5" t="str" cm="1">
        <f t="array" ref="G139">IFERROR(
  INDEX(Table13[Quartile],
    MATCH(1,
      (Table13[[#This Row],[OrgName]]=Table13[OrgName]) *
      (Table13[[#This Row],[Month Number]]-1=Table13[Month Number]),
    0)
  ),
"")</f>
        <v>ThirdQuartile</v>
      </c>
      <c r="H139" s="5">
        <f>IF(Table13[[#This Row],[Previous Quartile]]="TopQuartile", 1,
 IF(Table13[[#This Row],[Previous Quartile]]="SecondQuartile", 2,
 IF(Table13[[#This Row],[Previous Quartile]]="ThirdQuartile", 3,
 IF(Table13[[#This Row],[Previous Quartile]]="FourthQuartile", 4, ""))))</f>
        <v>3</v>
      </c>
      <c r="I139" s="5" t="str">
        <f>IF(Table13[[#This Row],[Previous Quartile Value]]="", "",
   IF(Table13[[#This Row],[Quartile Value]] &lt; Table13[[#This Row],[Previous Quartile Value]], "Improved",
   IF(Table13[[#This Row],[Quartile Value]] &gt; Table13[[#This Row],[Previous Quartile Value]], "Dropped", "Same")))</f>
        <v>Same</v>
      </c>
      <c r="J139" s="7" t="s">
        <v>18</v>
      </c>
      <c r="K139" s="7" t="str">
        <f>VLOOKUP(J139,Introduction!$B$6:$C$14,2)</f>
        <v>Midlands</v>
      </c>
      <c r="L139" s="7">
        <v>217</v>
      </c>
      <c r="M139" s="8" t="s">
        <v>476</v>
      </c>
    </row>
    <row r="140" spans="1:13" ht="19.95" customHeight="1" x14ac:dyDescent="0.25">
      <c r="A140" s="40">
        <v>45474</v>
      </c>
      <c r="B140" s="46">
        <f>MONTH(Table13[[#This Row],[YearMonth]])</f>
        <v>7</v>
      </c>
      <c r="C140" s="5" t="s">
        <v>201</v>
      </c>
      <c r="D140" s="6" t="s">
        <v>341</v>
      </c>
      <c r="E140" s="6">
        <f>IF(Table13[[#This Row],[Quartile]]="TopQuartile", 1,
 IF(Table13[[#This Row],[Quartile]]="SecondQuartile", 2,
 IF(Table13[[#This Row],[Quartile]]="ThirdQuartile", 3,
 IF(Table13[[#This Row],[Quartile]]="FourthQuartile", 4, ""))))</f>
        <v>3</v>
      </c>
      <c r="F140" s="5" t="s">
        <v>478</v>
      </c>
      <c r="G140" s="5" t="str" cm="1">
        <f t="array" ref="G140">IFERROR(
  INDEX(Table13[Quartile],
    MATCH(1,
      (Table13[[#This Row],[OrgName]]=Table13[OrgName]) *
      (Table13[[#This Row],[Month Number]]-1=Table13[Month Number]),
    0)
  ),
"")</f>
        <v>ThirdQuartile</v>
      </c>
      <c r="H140" s="5">
        <f>IF(Table13[[#This Row],[Previous Quartile]]="TopQuartile", 1,
 IF(Table13[[#This Row],[Previous Quartile]]="SecondQuartile", 2,
 IF(Table13[[#This Row],[Previous Quartile]]="ThirdQuartile", 3,
 IF(Table13[[#This Row],[Previous Quartile]]="FourthQuartile", 4, ""))))</f>
        <v>3</v>
      </c>
      <c r="I140" s="5" t="str">
        <f>IF(Table13[[#This Row],[Previous Quartile Value]]="", "",
   IF(Table13[[#This Row],[Quartile Value]] &lt; Table13[[#This Row],[Previous Quartile Value]], "Improved",
   IF(Table13[[#This Row],[Quartile Value]] &gt; Table13[[#This Row],[Previous Quartile Value]], "Dropped", "Same")))</f>
        <v>Same</v>
      </c>
      <c r="J140" s="7" t="s">
        <v>16</v>
      </c>
      <c r="K140" s="7" t="str">
        <f>VLOOKUP(J140,Introduction!$B$6:$C$14,2)</f>
        <v>South East</v>
      </c>
      <c r="L140" s="7">
        <v>195</v>
      </c>
      <c r="M140" s="8" t="s">
        <v>476</v>
      </c>
    </row>
    <row r="141" spans="1:13" ht="19.95" customHeight="1" x14ac:dyDescent="0.25">
      <c r="A141" s="40">
        <v>45474</v>
      </c>
      <c r="B141" s="46">
        <f>MONTH(Table13[[#This Row],[YearMonth]])</f>
        <v>7</v>
      </c>
      <c r="C141" s="5" t="s">
        <v>263</v>
      </c>
      <c r="D141" s="6" t="s">
        <v>350</v>
      </c>
      <c r="E141" s="6">
        <f>IF(Table13[[#This Row],[Quartile]]="TopQuartile", 1,
 IF(Table13[[#This Row],[Quartile]]="SecondQuartile", 2,
 IF(Table13[[#This Row],[Quartile]]="ThirdQuartile", 3,
 IF(Table13[[#This Row],[Quartile]]="FourthQuartile", 4, ""))))</f>
        <v>4</v>
      </c>
      <c r="F141" s="5" t="s">
        <v>479</v>
      </c>
      <c r="G141" s="5" t="str" cm="1">
        <f t="array" ref="G141">IFERROR(
  INDEX(Table13[Quartile],
    MATCH(1,
      (Table13[[#This Row],[OrgName]]=Table13[OrgName]) *
      (Table13[[#This Row],[Month Number]]-1=Table13[Month Number]),
    0)
  ),
"")</f>
        <v>FourthQuartile</v>
      </c>
      <c r="H141" s="5">
        <f>IF(Table13[[#This Row],[Previous Quartile]]="TopQuartile", 1,
 IF(Table13[[#This Row],[Previous Quartile]]="SecondQuartile", 2,
 IF(Table13[[#This Row],[Previous Quartile]]="ThirdQuartile", 3,
 IF(Table13[[#This Row],[Previous Quartile]]="FourthQuartile", 4, ""))))</f>
        <v>4</v>
      </c>
      <c r="I141" s="5" t="str">
        <f>IF(Table13[[#This Row],[Previous Quartile Value]]="", "",
   IF(Table13[[#This Row],[Quartile Value]] &lt; Table13[[#This Row],[Previous Quartile Value]], "Improved",
   IF(Table13[[#This Row],[Quartile Value]] &gt; Table13[[#This Row],[Previous Quartile Value]], "Dropped", "Same")))</f>
        <v>Same</v>
      </c>
      <c r="J141" s="7" t="s">
        <v>24</v>
      </c>
      <c r="K141" s="7" t="str">
        <f>VLOOKUP(J141,Introduction!$B$6:$C$14,2)</f>
        <v>North East and Yorkshire</v>
      </c>
      <c r="L141" s="7">
        <v>340</v>
      </c>
      <c r="M141" s="8" t="s">
        <v>476</v>
      </c>
    </row>
    <row r="142" spans="1:13" ht="19.95" customHeight="1" x14ac:dyDescent="0.25">
      <c r="A142" s="40">
        <v>45474</v>
      </c>
      <c r="B142" s="46">
        <f>MONTH(Table13[[#This Row],[YearMonth]])</f>
        <v>7</v>
      </c>
      <c r="C142" s="5" t="s">
        <v>274</v>
      </c>
      <c r="D142" s="6" t="s">
        <v>350</v>
      </c>
      <c r="E142" s="6">
        <f>IF(Table13[[#This Row],[Quartile]]="TopQuartile", 1,
 IF(Table13[[#This Row],[Quartile]]="SecondQuartile", 2,
 IF(Table13[[#This Row],[Quartile]]="ThirdQuartile", 3,
 IF(Table13[[#This Row],[Quartile]]="FourthQuartile", 4, ""))))</f>
        <v>4</v>
      </c>
      <c r="F142" s="5" t="s">
        <v>480</v>
      </c>
      <c r="G142" s="5" t="str" cm="1">
        <f t="array" ref="G142">IFERROR(
  INDEX(Table13[Quartile],
    MATCH(1,
      (Table13[[#This Row],[OrgName]]=Table13[OrgName]) *
      (Table13[[#This Row],[Month Number]]-1=Table13[Month Number]),
    0)
  ),
"")</f>
        <v>FourthQuartile</v>
      </c>
      <c r="H142" s="5">
        <f>IF(Table13[[#This Row],[Previous Quartile]]="TopQuartile", 1,
 IF(Table13[[#This Row],[Previous Quartile]]="SecondQuartile", 2,
 IF(Table13[[#This Row],[Previous Quartile]]="ThirdQuartile", 3,
 IF(Table13[[#This Row],[Previous Quartile]]="FourthQuartile", 4, ""))))</f>
        <v>4</v>
      </c>
      <c r="I142" s="5" t="str">
        <f>IF(Table13[[#This Row],[Previous Quartile Value]]="", "",
   IF(Table13[[#This Row],[Quartile Value]] &lt; Table13[[#This Row],[Previous Quartile Value]], "Improved",
   IF(Table13[[#This Row],[Quartile Value]] &gt; Table13[[#This Row],[Previous Quartile Value]], "Dropped", "Same")))</f>
        <v>Same</v>
      </c>
      <c r="J142" s="7" t="s">
        <v>24</v>
      </c>
      <c r="K142" s="7" t="str">
        <f>VLOOKUP(J142,Introduction!$B$6:$C$14,2)</f>
        <v>North East and Yorkshire</v>
      </c>
      <c r="L142" s="7">
        <v>174</v>
      </c>
      <c r="M142" s="8" t="s">
        <v>476</v>
      </c>
    </row>
    <row r="143" spans="1:13" ht="19.95" customHeight="1" x14ac:dyDescent="0.25">
      <c r="A143" s="40">
        <v>45474</v>
      </c>
      <c r="B143" s="46">
        <f>MONTH(Table13[[#This Row],[YearMonth]])</f>
        <v>7</v>
      </c>
      <c r="C143" s="5" t="s">
        <v>278</v>
      </c>
      <c r="D143" s="6" t="s">
        <v>350</v>
      </c>
      <c r="E143" s="6">
        <f>IF(Table13[[#This Row],[Quartile]]="TopQuartile", 1,
 IF(Table13[[#This Row],[Quartile]]="SecondQuartile", 2,
 IF(Table13[[#This Row],[Quartile]]="ThirdQuartile", 3,
 IF(Table13[[#This Row],[Quartile]]="FourthQuartile", 4, ""))))</f>
        <v>4</v>
      </c>
      <c r="F143" s="5" t="s">
        <v>481</v>
      </c>
      <c r="G143" s="5" t="str" cm="1">
        <f t="array" ref="G143">IFERROR(
  INDEX(Table13[Quartile],
    MATCH(1,
      (Table13[[#This Row],[OrgName]]=Table13[OrgName]) *
      (Table13[[#This Row],[Month Number]]-1=Table13[Month Number]),
    0)
  ),
"")</f>
        <v>FourthQuartile</v>
      </c>
      <c r="H143" s="5">
        <f>IF(Table13[[#This Row],[Previous Quartile]]="TopQuartile", 1,
 IF(Table13[[#This Row],[Previous Quartile]]="SecondQuartile", 2,
 IF(Table13[[#This Row],[Previous Quartile]]="ThirdQuartile", 3,
 IF(Table13[[#This Row],[Previous Quartile]]="FourthQuartile", 4, ""))))</f>
        <v>4</v>
      </c>
      <c r="I143" s="5" t="str">
        <f>IF(Table13[[#This Row],[Previous Quartile Value]]="", "",
   IF(Table13[[#This Row],[Quartile Value]] &lt; Table13[[#This Row],[Previous Quartile Value]], "Improved",
   IF(Table13[[#This Row],[Quartile Value]] &gt; Table13[[#This Row],[Previous Quartile Value]], "Dropped", "Same")))</f>
        <v>Same</v>
      </c>
      <c r="J143" s="7" t="s">
        <v>20</v>
      </c>
      <c r="K143" s="7" t="str">
        <f>VLOOKUP(J143,Introduction!$B$6:$C$14,2)</f>
        <v>East of England</v>
      </c>
      <c r="L143" s="7">
        <v>247</v>
      </c>
      <c r="M143" s="8" t="s">
        <v>476</v>
      </c>
    </row>
    <row r="144" spans="1:13" ht="19.95" customHeight="1" x14ac:dyDescent="0.25">
      <c r="A144" s="40">
        <v>45474</v>
      </c>
      <c r="B144" s="46">
        <f>MONTH(Table13[[#This Row],[YearMonth]])</f>
        <v>7</v>
      </c>
      <c r="C144" s="5" t="s">
        <v>279</v>
      </c>
      <c r="D144" s="6" t="s">
        <v>350</v>
      </c>
      <c r="E144" s="6">
        <f>IF(Table13[[#This Row],[Quartile]]="TopQuartile", 1,
 IF(Table13[[#This Row],[Quartile]]="SecondQuartile", 2,
 IF(Table13[[#This Row],[Quartile]]="ThirdQuartile", 3,
 IF(Table13[[#This Row],[Quartile]]="FourthQuartile", 4, ""))))</f>
        <v>4</v>
      </c>
      <c r="F144" s="5" t="s">
        <v>482</v>
      </c>
      <c r="G144" s="5" t="str" cm="1">
        <f t="array" ref="G144">IFERROR(
  INDEX(Table13[Quartile],
    MATCH(1,
      (Table13[[#This Row],[OrgName]]=Table13[OrgName]) *
      (Table13[[#This Row],[Month Number]]-1=Table13[Month Number]),
    0)
  ),
"")</f>
        <v>FourthQuartile</v>
      </c>
      <c r="H144" s="5">
        <f>IF(Table13[[#This Row],[Previous Quartile]]="TopQuartile", 1,
 IF(Table13[[#This Row],[Previous Quartile]]="SecondQuartile", 2,
 IF(Table13[[#This Row],[Previous Quartile]]="ThirdQuartile", 3,
 IF(Table13[[#This Row],[Previous Quartile]]="FourthQuartile", 4, ""))))</f>
        <v>4</v>
      </c>
      <c r="I144" s="5" t="str">
        <f>IF(Table13[[#This Row],[Previous Quartile Value]]="", "",
   IF(Table13[[#This Row],[Quartile Value]] &lt; Table13[[#This Row],[Previous Quartile Value]], "Improved",
   IF(Table13[[#This Row],[Quartile Value]] &gt; Table13[[#This Row],[Previous Quartile Value]], "Dropped", "Same")))</f>
        <v>Same</v>
      </c>
      <c r="J144" s="7" t="s">
        <v>12</v>
      </c>
      <c r="K144" s="7" t="str">
        <f>VLOOKUP(J144,Introduction!$B$6:$C$14,2)</f>
        <v>London</v>
      </c>
      <c r="L144" s="7">
        <v>308</v>
      </c>
      <c r="M144" s="8" t="s">
        <v>476</v>
      </c>
    </row>
    <row r="145" spans="1:13" ht="19.95" customHeight="1" x14ac:dyDescent="0.25">
      <c r="A145" s="40">
        <v>45474</v>
      </c>
      <c r="B145" s="46">
        <f>MONTH(Table13[[#This Row],[YearMonth]])</f>
        <v>7</v>
      </c>
      <c r="C145" s="5" t="s">
        <v>285</v>
      </c>
      <c r="D145" s="6" t="s">
        <v>350</v>
      </c>
      <c r="E145" s="6">
        <f>IF(Table13[[#This Row],[Quartile]]="TopQuartile", 1,
 IF(Table13[[#This Row],[Quartile]]="SecondQuartile", 2,
 IF(Table13[[#This Row],[Quartile]]="ThirdQuartile", 3,
 IF(Table13[[#This Row],[Quartile]]="FourthQuartile", 4, ""))))</f>
        <v>4</v>
      </c>
      <c r="F145" s="5" t="s">
        <v>483</v>
      </c>
      <c r="G145" s="5" t="str" cm="1">
        <f t="array" ref="G145">IFERROR(
  INDEX(Table13[Quartile],
    MATCH(1,
      (Table13[[#This Row],[OrgName]]=Table13[OrgName]) *
      (Table13[[#This Row],[Month Number]]-1=Table13[Month Number]),
    0)
  ),
"")</f>
        <v>FourthQuartile</v>
      </c>
      <c r="H145" s="5">
        <f>IF(Table13[[#This Row],[Previous Quartile]]="TopQuartile", 1,
 IF(Table13[[#This Row],[Previous Quartile]]="SecondQuartile", 2,
 IF(Table13[[#This Row],[Previous Quartile]]="ThirdQuartile", 3,
 IF(Table13[[#This Row],[Previous Quartile]]="FourthQuartile", 4, ""))))</f>
        <v>4</v>
      </c>
      <c r="I145" s="5" t="str">
        <f>IF(Table13[[#This Row],[Previous Quartile Value]]="", "",
   IF(Table13[[#This Row],[Quartile Value]] &lt; Table13[[#This Row],[Previous Quartile Value]], "Improved",
   IF(Table13[[#This Row],[Quartile Value]] &gt; Table13[[#This Row],[Previous Quartile Value]], "Dropped", "Same")))</f>
        <v>Same</v>
      </c>
      <c r="J145" s="7" t="s">
        <v>22</v>
      </c>
      <c r="K145" s="7" t="str">
        <f>VLOOKUP(J145,Introduction!$B$6:$C$14,2)</f>
        <v>North West</v>
      </c>
      <c r="L145" s="7">
        <v>242</v>
      </c>
      <c r="M145" s="8" t="s">
        <v>476</v>
      </c>
    </row>
    <row r="146" spans="1:13" ht="19.95" customHeight="1" x14ac:dyDescent="0.25">
      <c r="A146" s="40">
        <v>45474</v>
      </c>
      <c r="B146" s="46">
        <f>MONTH(Table13[[#This Row],[YearMonth]])</f>
        <v>7</v>
      </c>
      <c r="C146" s="5" t="s">
        <v>298</v>
      </c>
      <c r="D146" s="6" t="s">
        <v>350</v>
      </c>
      <c r="E146" s="6">
        <f>IF(Table13[[#This Row],[Quartile]]="TopQuartile", 1,
 IF(Table13[[#This Row],[Quartile]]="SecondQuartile", 2,
 IF(Table13[[#This Row],[Quartile]]="ThirdQuartile", 3,
 IF(Table13[[#This Row],[Quartile]]="FourthQuartile", 4, ""))))</f>
        <v>4</v>
      </c>
      <c r="F146" s="5" t="s">
        <v>484</v>
      </c>
      <c r="G146" s="5" t="str" cm="1">
        <f t="array" ref="G146">IFERROR(
  INDEX(Table13[Quartile],
    MATCH(1,
      (Table13[[#This Row],[OrgName]]=Table13[OrgName]) *
      (Table13[[#This Row],[Month Number]]-1=Table13[Month Number]),
    0)
  ),
"")</f>
        <v>FourthQuartile</v>
      </c>
      <c r="H146" s="5">
        <f>IF(Table13[[#This Row],[Previous Quartile]]="TopQuartile", 1,
 IF(Table13[[#This Row],[Previous Quartile]]="SecondQuartile", 2,
 IF(Table13[[#This Row],[Previous Quartile]]="ThirdQuartile", 3,
 IF(Table13[[#This Row],[Previous Quartile]]="FourthQuartile", 4, ""))))</f>
        <v>4</v>
      </c>
      <c r="I146" s="5" t="str">
        <f>IF(Table13[[#This Row],[Previous Quartile Value]]="", "",
   IF(Table13[[#This Row],[Quartile Value]] &lt; Table13[[#This Row],[Previous Quartile Value]], "Improved",
   IF(Table13[[#This Row],[Quartile Value]] &gt; Table13[[#This Row],[Previous Quartile Value]], "Dropped", "Same")))</f>
        <v>Same</v>
      </c>
      <c r="J146" s="7" t="s">
        <v>14</v>
      </c>
      <c r="K146" s="7" t="str">
        <f>VLOOKUP(J146,Introduction!$B$6:$C$14,2)</f>
        <v>South West</v>
      </c>
      <c r="L146" s="7">
        <v>202</v>
      </c>
      <c r="M146" s="8" t="s">
        <v>476</v>
      </c>
    </row>
    <row r="147" spans="1:13" ht="19.95" customHeight="1" x14ac:dyDescent="0.25">
      <c r="A147" s="40">
        <v>45474</v>
      </c>
      <c r="B147" s="46">
        <f>MONTH(Table13[[#This Row],[YearMonth]])</f>
        <v>7</v>
      </c>
      <c r="C147" s="5" t="s">
        <v>308</v>
      </c>
      <c r="D147" s="6" t="s">
        <v>350</v>
      </c>
      <c r="E147" s="6">
        <f>IF(Table13[[#This Row],[Quartile]]="TopQuartile", 1,
 IF(Table13[[#This Row],[Quartile]]="SecondQuartile", 2,
 IF(Table13[[#This Row],[Quartile]]="ThirdQuartile", 3,
 IF(Table13[[#This Row],[Quartile]]="FourthQuartile", 4, ""))))</f>
        <v>4</v>
      </c>
      <c r="F147" s="5" t="s">
        <v>485</v>
      </c>
      <c r="G147" s="5" t="str" cm="1">
        <f t="array" ref="G147">IFERROR(
  INDEX(Table13[Quartile],
    MATCH(1,
      (Table13[[#This Row],[OrgName]]=Table13[OrgName]) *
      (Table13[[#This Row],[Month Number]]-1=Table13[Month Number]),
    0)
  ),
"")</f>
        <v>FourthQuartile</v>
      </c>
      <c r="H147" s="5">
        <f>IF(Table13[[#This Row],[Previous Quartile]]="TopQuartile", 1,
 IF(Table13[[#This Row],[Previous Quartile]]="SecondQuartile", 2,
 IF(Table13[[#This Row],[Previous Quartile]]="ThirdQuartile", 3,
 IF(Table13[[#This Row],[Previous Quartile]]="FourthQuartile", 4, ""))))</f>
        <v>4</v>
      </c>
      <c r="I147" s="5" t="str">
        <f>IF(Table13[[#This Row],[Previous Quartile Value]]="", "",
   IF(Table13[[#This Row],[Quartile Value]] &lt; Table13[[#This Row],[Previous Quartile Value]], "Improved",
   IF(Table13[[#This Row],[Quartile Value]] &gt; Table13[[#This Row],[Previous Quartile Value]], "Dropped", "Same")))</f>
        <v>Same</v>
      </c>
      <c r="J147" s="7" t="s">
        <v>18</v>
      </c>
      <c r="K147" s="7" t="str">
        <f>VLOOKUP(J147,Introduction!$B$6:$C$14,2)</f>
        <v>Midlands</v>
      </c>
      <c r="L147" s="7">
        <v>335</v>
      </c>
      <c r="M147" s="8" t="s">
        <v>476</v>
      </c>
    </row>
    <row r="148" spans="1:13" ht="19.95" customHeight="1" x14ac:dyDescent="0.25">
      <c r="A148" s="40">
        <v>45474</v>
      </c>
      <c r="B148" s="46">
        <f>MONTH(Table13[[#This Row],[YearMonth]])</f>
        <v>7</v>
      </c>
      <c r="C148" s="5" t="s">
        <v>90</v>
      </c>
      <c r="D148" s="6" t="s">
        <v>330</v>
      </c>
      <c r="E148" s="6">
        <f>IF(Table13[[#This Row],[Quartile]]="TopQuartile", 1,
 IF(Table13[[#This Row],[Quartile]]="SecondQuartile", 2,
 IF(Table13[[#This Row],[Quartile]]="ThirdQuartile", 3,
 IF(Table13[[#This Row],[Quartile]]="FourthQuartile", 4, ""))))</f>
        <v>1</v>
      </c>
      <c r="F148" s="5" t="s">
        <v>486</v>
      </c>
      <c r="G148" s="5" t="str" cm="1">
        <f t="array" ref="G148">IFERROR(
  INDEX(Table13[Quartile],
    MATCH(1,
      (Table13[[#This Row],[OrgName]]=Table13[OrgName]) *
      (Table13[[#This Row],[Month Number]]-1=Table13[Month Number]),
    0)
  ),
"")</f>
        <v>SecondQuartile</v>
      </c>
      <c r="H148" s="5">
        <f>IF(Table13[[#This Row],[Previous Quartile]]="TopQuartile", 1,
 IF(Table13[[#This Row],[Previous Quartile]]="SecondQuartile", 2,
 IF(Table13[[#This Row],[Previous Quartile]]="ThirdQuartile", 3,
 IF(Table13[[#This Row],[Previous Quartile]]="FourthQuartile", 4, ""))))</f>
        <v>2</v>
      </c>
      <c r="I148" s="5" t="str">
        <f>IF(Table13[[#This Row],[Previous Quartile Value]]="", "",
   IF(Table13[[#This Row],[Quartile Value]] &lt; Table13[[#This Row],[Previous Quartile Value]], "Improved",
   IF(Table13[[#This Row],[Quartile Value]] &gt; Table13[[#This Row],[Previous Quartile Value]], "Dropped", "Same")))</f>
        <v>Improved</v>
      </c>
      <c r="J148" s="7" t="s">
        <v>24</v>
      </c>
      <c r="K148" s="7" t="str">
        <f>VLOOKUP(J148,Introduction!$B$6:$C$14,2)</f>
        <v>North East and Yorkshire</v>
      </c>
      <c r="L148" s="7">
        <v>453</v>
      </c>
      <c r="M148" s="8" t="s">
        <v>487</v>
      </c>
    </row>
    <row r="149" spans="1:13" ht="19.95" customHeight="1" x14ac:dyDescent="0.25">
      <c r="A149" s="40">
        <v>45474</v>
      </c>
      <c r="B149" s="46">
        <f>MONTH(Table13[[#This Row],[YearMonth]])</f>
        <v>7</v>
      </c>
      <c r="C149" s="5" t="s">
        <v>132</v>
      </c>
      <c r="D149" s="6" t="s">
        <v>338</v>
      </c>
      <c r="E149" s="6">
        <f>IF(Table13[[#This Row],[Quartile]]="TopQuartile", 1,
 IF(Table13[[#This Row],[Quartile]]="SecondQuartile", 2,
 IF(Table13[[#This Row],[Quartile]]="ThirdQuartile", 3,
 IF(Table13[[#This Row],[Quartile]]="FourthQuartile", 4, ""))))</f>
        <v>2</v>
      </c>
      <c r="F149" s="5" t="s">
        <v>488</v>
      </c>
      <c r="G149" s="5" t="str" cm="1">
        <f t="array" ref="G149">IFERROR(
  INDEX(Table13[Quartile],
    MATCH(1,
      (Table13[[#This Row],[OrgName]]=Table13[OrgName]) *
      (Table13[[#This Row],[Month Number]]-1=Table13[Month Number]),
    0)
  ),
"")</f>
        <v>SecondQuartile</v>
      </c>
      <c r="H149" s="5">
        <f>IF(Table13[[#This Row],[Previous Quartile]]="TopQuartile", 1,
 IF(Table13[[#This Row],[Previous Quartile]]="SecondQuartile", 2,
 IF(Table13[[#This Row],[Previous Quartile]]="ThirdQuartile", 3,
 IF(Table13[[#This Row],[Previous Quartile]]="FourthQuartile", 4, ""))))</f>
        <v>2</v>
      </c>
      <c r="I149" s="5" t="str">
        <f>IF(Table13[[#This Row],[Previous Quartile Value]]="", "",
   IF(Table13[[#This Row],[Quartile Value]] &lt; Table13[[#This Row],[Previous Quartile Value]], "Improved",
   IF(Table13[[#This Row],[Quartile Value]] &gt; Table13[[#This Row],[Previous Quartile Value]], "Dropped", "Same")))</f>
        <v>Same</v>
      </c>
      <c r="J149" s="7" t="s">
        <v>24</v>
      </c>
      <c r="K149" s="7" t="str">
        <f>VLOOKUP(J149,Introduction!$B$6:$C$14,2)</f>
        <v>North East and Yorkshire</v>
      </c>
      <c r="L149" s="7">
        <v>457</v>
      </c>
      <c r="M149" s="8" t="s">
        <v>487</v>
      </c>
    </row>
    <row r="150" spans="1:13" ht="19.95" customHeight="1" x14ac:dyDescent="0.25">
      <c r="A150" s="40">
        <v>45474</v>
      </c>
      <c r="B150" s="46">
        <f>MONTH(Table13[[#This Row],[YearMonth]])</f>
        <v>7</v>
      </c>
      <c r="C150" s="5" t="s">
        <v>181</v>
      </c>
      <c r="D150" s="6" t="s">
        <v>341</v>
      </c>
      <c r="E150" s="6">
        <f>IF(Table13[[#This Row],[Quartile]]="TopQuartile", 1,
 IF(Table13[[#This Row],[Quartile]]="SecondQuartile", 2,
 IF(Table13[[#This Row],[Quartile]]="ThirdQuartile", 3,
 IF(Table13[[#This Row],[Quartile]]="FourthQuartile", 4, ""))))</f>
        <v>3</v>
      </c>
      <c r="F150" s="5" t="s">
        <v>489</v>
      </c>
      <c r="G150" s="5" t="str" cm="1">
        <f t="array" ref="G150">IFERROR(
  INDEX(Table13[Quartile],
    MATCH(1,
      (Table13[[#This Row],[OrgName]]=Table13[OrgName]) *
      (Table13[[#This Row],[Month Number]]-1=Table13[Month Number]),
    0)
  ),
"")</f>
        <v>FourthQuartile</v>
      </c>
      <c r="H150" s="5">
        <f>IF(Table13[[#This Row],[Previous Quartile]]="TopQuartile", 1,
 IF(Table13[[#This Row],[Previous Quartile]]="SecondQuartile", 2,
 IF(Table13[[#This Row],[Previous Quartile]]="ThirdQuartile", 3,
 IF(Table13[[#This Row],[Previous Quartile]]="FourthQuartile", 4, ""))))</f>
        <v>4</v>
      </c>
      <c r="I150" s="5" t="str">
        <f>IF(Table13[[#This Row],[Previous Quartile Value]]="", "",
   IF(Table13[[#This Row],[Quartile Value]] &lt; Table13[[#This Row],[Previous Quartile Value]], "Improved",
   IF(Table13[[#This Row],[Quartile Value]] &gt; Table13[[#This Row],[Previous Quartile Value]], "Dropped", "Same")))</f>
        <v>Improved</v>
      </c>
      <c r="J150" s="7" t="s">
        <v>12</v>
      </c>
      <c r="K150" s="7" t="str">
        <f>VLOOKUP(J150,Introduction!$B$6:$C$14,2)</f>
        <v>London</v>
      </c>
      <c r="L150" s="7">
        <v>455</v>
      </c>
      <c r="M150" s="8" t="s">
        <v>487</v>
      </c>
    </row>
    <row r="151" spans="1:13" ht="19.95" customHeight="1" x14ac:dyDescent="0.25">
      <c r="A151" s="40">
        <v>45474</v>
      </c>
      <c r="B151" s="46">
        <f>MONTH(Table13[[#This Row],[YearMonth]])</f>
        <v>7</v>
      </c>
      <c r="C151" s="5" t="s">
        <v>27</v>
      </c>
      <c r="D151" s="6" t="s">
        <v>330</v>
      </c>
      <c r="E151" s="6">
        <f>IF(Table13[[#This Row],[Quartile]]="TopQuartile", 1,
 IF(Table13[[#This Row],[Quartile]]="SecondQuartile", 2,
 IF(Table13[[#This Row],[Quartile]]="ThirdQuartile", 3,
 IF(Table13[[#This Row],[Quartile]]="FourthQuartile", 4, ""))))</f>
        <v>1</v>
      </c>
      <c r="F151" s="5" t="s">
        <v>490</v>
      </c>
      <c r="G151" s="5" t="str" cm="1">
        <f t="array" ref="G151">IFERROR(
  INDEX(Table13[Quartile],
    MATCH(1,
      (Table13[[#This Row],[OrgName]]=Table13[OrgName]) *
      (Table13[[#This Row],[Month Number]]-1=Table13[Month Number]),
    0)
  ),
"")</f>
        <v>FourthQuartile</v>
      </c>
      <c r="H151" s="5">
        <f>IF(Table13[[#This Row],[Previous Quartile]]="TopQuartile", 1,
 IF(Table13[[#This Row],[Previous Quartile]]="SecondQuartile", 2,
 IF(Table13[[#This Row],[Previous Quartile]]="ThirdQuartile", 3,
 IF(Table13[[#This Row],[Previous Quartile]]="FourthQuartile", 4, ""))))</f>
        <v>4</v>
      </c>
      <c r="I151" s="5" t="str">
        <f>IF(Table13[[#This Row],[Previous Quartile Value]]="", "",
   IF(Table13[[#This Row],[Quartile Value]] &lt; Table13[[#This Row],[Previous Quartile Value]], "Improved",
   IF(Table13[[#This Row],[Quartile Value]] &gt; Table13[[#This Row],[Previous Quartile Value]], "Dropped", "Same")))</f>
        <v>Improved</v>
      </c>
      <c r="J151" s="7" t="s">
        <v>10</v>
      </c>
      <c r="K151" s="7" t="str">
        <f>VLOOKUP(J151,Introduction!$B$6:$C$14,2)</f>
        <v>Special Health Authorities and other statutory bodies</v>
      </c>
      <c r="L151" s="7">
        <v>869</v>
      </c>
      <c r="M151" s="8" t="s">
        <v>491</v>
      </c>
    </row>
    <row r="152" spans="1:13" ht="19.95" customHeight="1" x14ac:dyDescent="0.25">
      <c r="A152" s="40">
        <v>45474</v>
      </c>
      <c r="B152" s="46">
        <f>MONTH(Table13[[#This Row],[YearMonth]])</f>
        <v>7</v>
      </c>
      <c r="C152" s="5" t="s">
        <v>35</v>
      </c>
      <c r="D152" s="6" t="s">
        <v>330</v>
      </c>
      <c r="E152" s="6">
        <f>IF(Table13[[#This Row],[Quartile]]="TopQuartile", 1,
 IF(Table13[[#This Row],[Quartile]]="SecondQuartile", 2,
 IF(Table13[[#This Row],[Quartile]]="ThirdQuartile", 3,
 IF(Table13[[#This Row],[Quartile]]="FourthQuartile", 4, ""))))</f>
        <v>1</v>
      </c>
      <c r="F152" s="5" t="s">
        <v>492</v>
      </c>
      <c r="G152" s="5" t="str" cm="1">
        <f t="array" ref="G152">IFERROR(
  INDEX(Table13[Quartile],
    MATCH(1,
      (Table13[[#This Row],[OrgName]]=Table13[OrgName]) *
      (Table13[[#This Row],[Month Number]]-1=Table13[Month Number]),
    0)
  ),
"")</f>
        <v>TopQuartile</v>
      </c>
      <c r="H152" s="5">
        <f>IF(Table13[[#This Row],[Previous Quartile]]="TopQuartile", 1,
 IF(Table13[[#This Row],[Previous Quartile]]="SecondQuartile", 2,
 IF(Table13[[#This Row],[Previous Quartile]]="ThirdQuartile", 3,
 IF(Table13[[#This Row],[Previous Quartile]]="FourthQuartile", 4, ""))))</f>
        <v>1</v>
      </c>
      <c r="I152" s="5" t="str">
        <f>IF(Table13[[#This Row],[Previous Quartile Value]]="", "",
   IF(Table13[[#This Row],[Quartile Value]] &lt; Table13[[#This Row],[Previous Quartile Value]], "Improved",
   IF(Table13[[#This Row],[Quartile Value]] &gt; Table13[[#This Row],[Previous Quartile Value]], "Dropped", "Same")))</f>
        <v>Same</v>
      </c>
      <c r="J152" s="7" t="s">
        <v>10</v>
      </c>
      <c r="K152" s="7" t="str">
        <f>VLOOKUP(J152,Introduction!$B$6:$C$14,2)</f>
        <v>Special Health Authorities and other statutory bodies</v>
      </c>
      <c r="L152" s="7">
        <v>891</v>
      </c>
      <c r="M152" s="8" t="s">
        <v>491</v>
      </c>
    </row>
    <row r="153" spans="1:13" ht="19.95" customHeight="1" x14ac:dyDescent="0.25">
      <c r="A153" s="40">
        <v>45474</v>
      </c>
      <c r="B153" s="46">
        <f>MONTH(Table13[[#This Row],[YearMonth]])</f>
        <v>7</v>
      </c>
      <c r="C153" s="5" t="s">
        <v>45</v>
      </c>
      <c r="D153" s="6" t="s">
        <v>330</v>
      </c>
      <c r="E153" s="6">
        <f>IF(Table13[[#This Row],[Quartile]]="TopQuartile", 1,
 IF(Table13[[#This Row],[Quartile]]="SecondQuartile", 2,
 IF(Table13[[#This Row],[Quartile]]="ThirdQuartile", 3,
 IF(Table13[[#This Row],[Quartile]]="FourthQuartile", 4, ""))))</f>
        <v>1</v>
      </c>
      <c r="F153" s="5" t="s">
        <v>493</v>
      </c>
      <c r="G153" s="5" t="str" cm="1">
        <f t="array" ref="G153">IFERROR(
  INDEX(Table13[Quartile],
    MATCH(1,
      (Table13[[#This Row],[OrgName]]=Table13[OrgName]) *
      (Table13[[#This Row],[Month Number]]-1=Table13[Month Number]),
    0)
  ),
"")</f>
        <v>TopQuartile</v>
      </c>
      <c r="H153" s="5">
        <f>IF(Table13[[#This Row],[Previous Quartile]]="TopQuartile", 1,
 IF(Table13[[#This Row],[Previous Quartile]]="SecondQuartile", 2,
 IF(Table13[[#This Row],[Previous Quartile]]="ThirdQuartile", 3,
 IF(Table13[[#This Row],[Previous Quartile]]="FourthQuartile", 4, ""))))</f>
        <v>1</v>
      </c>
      <c r="I153" s="5" t="str">
        <f>IF(Table13[[#This Row],[Previous Quartile Value]]="", "",
   IF(Table13[[#This Row],[Quartile Value]] &lt; Table13[[#This Row],[Previous Quartile Value]], "Improved",
   IF(Table13[[#This Row],[Quartile Value]] &gt; Table13[[#This Row],[Previous Quartile Value]], "Dropped", "Same")))</f>
        <v>Same</v>
      </c>
      <c r="J153" s="7" t="s">
        <v>10</v>
      </c>
      <c r="K153" s="7" t="str">
        <f>VLOOKUP(J153,Introduction!$B$6:$C$14,2)</f>
        <v>Special Health Authorities and other statutory bodies</v>
      </c>
      <c r="L153" s="7">
        <v>877</v>
      </c>
      <c r="M153" s="8" t="s">
        <v>491</v>
      </c>
    </row>
    <row r="154" spans="1:13" ht="19.95" customHeight="1" x14ac:dyDescent="0.25">
      <c r="A154" s="40">
        <v>45474</v>
      </c>
      <c r="B154" s="46">
        <f>MONTH(Table13[[#This Row],[YearMonth]])</f>
        <v>7</v>
      </c>
      <c r="C154" s="5" t="s">
        <v>130</v>
      </c>
      <c r="D154" s="6" t="s">
        <v>338</v>
      </c>
      <c r="E154" s="6">
        <f>IF(Table13[[#This Row],[Quartile]]="TopQuartile", 1,
 IF(Table13[[#This Row],[Quartile]]="SecondQuartile", 2,
 IF(Table13[[#This Row],[Quartile]]="ThirdQuartile", 3,
 IF(Table13[[#This Row],[Quartile]]="FourthQuartile", 4, ""))))</f>
        <v>2</v>
      </c>
      <c r="F154" s="5" t="s">
        <v>494</v>
      </c>
      <c r="G154" s="5" t="str" cm="1">
        <f t="array" ref="G154">IFERROR(
  INDEX(Table13[Quartile],
    MATCH(1,
      (Table13[[#This Row],[OrgName]]=Table13[OrgName]) *
      (Table13[[#This Row],[Month Number]]-1=Table13[Month Number]),
    0)
  ),
"")</f>
        <v>SecondQuartile</v>
      </c>
      <c r="H154" s="5">
        <f>IF(Table13[[#This Row],[Previous Quartile]]="TopQuartile", 1,
 IF(Table13[[#This Row],[Previous Quartile]]="SecondQuartile", 2,
 IF(Table13[[#This Row],[Previous Quartile]]="ThirdQuartile", 3,
 IF(Table13[[#This Row],[Previous Quartile]]="FourthQuartile", 4, ""))))</f>
        <v>2</v>
      </c>
      <c r="I154" s="5" t="str">
        <f>IF(Table13[[#This Row],[Previous Quartile Value]]="", "",
   IF(Table13[[#This Row],[Quartile Value]] &lt; Table13[[#This Row],[Previous Quartile Value]], "Improved",
   IF(Table13[[#This Row],[Quartile Value]] &gt; Table13[[#This Row],[Previous Quartile Value]], "Dropped", "Same")))</f>
        <v>Same</v>
      </c>
      <c r="J154" s="7" t="s">
        <v>10</v>
      </c>
      <c r="K154" s="7" t="str">
        <f>VLOOKUP(J154,Introduction!$B$6:$C$14,2)</f>
        <v>Special Health Authorities and other statutory bodies</v>
      </c>
      <c r="L154" s="7">
        <v>880</v>
      </c>
      <c r="M154" s="8" t="s">
        <v>491</v>
      </c>
    </row>
    <row r="155" spans="1:13" ht="19.95" customHeight="1" x14ac:dyDescent="0.25">
      <c r="A155" s="40">
        <v>45474</v>
      </c>
      <c r="B155" s="46">
        <f>MONTH(Table13[[#This Row],[YearMonth]])</f>
        <v>7</v>
      </c>
      <c r="C155" s="5" t="s">
        <v>31</v>
      </c>
      <c r="D155" s="6" t="s">
        <v>330</v>
      </c>
      <c r="E155" s="6">
        <f>IF(Table13[[#This Row],[Quartile]]="TopQuartile", 1,
 IF(Table13[[#This Row],[Quartile]]="SecondQuartile", 2,
 IF(Table13[[#This Row],[Quartile]]="ThirdQuartile", 3,
 IF(Table13[[#This Row],[Quartile]]="FourthQuartile", 4, ""))))</f>
        <v>1</v>
      </c>
      <c r="F155" s="5" t="s">
        <v>495</v>
      </c>
      <c r="G155" s="5" t="str" cm="1">
        <f t="array" ref="G155">IFERROR(
  INDEX(Table13[Quartile],
    MATCH(1,
      (Table13[[#This Row],[OrgName]]=Table13[OrgName]) *
      (Table13[[#This Row],[Month Number]]-1=Table13[Month Number]),
    0)
  ),
"")</f>
        <v>TopQuartile</v>
      </c>
      <c r="H155" s="5">
        <f>IF(Table13[[#This Row],[Previous Quartile]]="TopQuartile", 1,
 IF(Table13[[#This Row],[Previous Quartile]]="SecondQuartile", 2,
 IF(Table13[[#This Row],[Previous Quartile]]="ThirdQuartile", 3,
 IF(Table13[[#This Row],[Previous Quartile]]="FourthQuartile", 4, ""))))</f>
        <v>1</v>
      </c>
      <c r="I155" s="5" t="str">
        <f>IF(Table13[[#This Row],[Previous Quartile Value]]="", "",
   IF(Table13[[#This Row],[Quartile Value]] &lt; Table13[[#This Row],[Previous Quartile Value]], "Improved",
   IF(Table13[[#This Row],[Quartile Value]] &gt; Table13[[#This Row],[Previous Quartile Value]], "Dropped", "Same")))</f>
        <v>Same</v>
      </c>
      <c r="J155" s="7" t="s">
        <v>16</v>
      </c>
      <c r="K155" s="7" t="str">
        <f>VLOOKUP(J155,Introduction!$B$6:$C$14,2)</f>
        <v>South East</v>
      </c>
      <c r="L155" s="7">
        <v>449</v>
      </c>
      <c r="M155" s="8" t="s">
        <v>496</v>
      </c>
    </row>
    <row r="156" spans="1:13" ht="19.95" customHeight="1" x14ac:dyDescent="0.25">
      <c r="A156" s="40">
        <v>45474</v>
      </c>
      <c r="B156" s="46">
        <f>MONTH(Table13[[#This Row],[YearMonth]])</f>
        <v>7</v>
      </c>
      <c r="C156" s="5" t="s">
        <v>46</v>
      </c>
      <c r="D156" s="6" t="s">
        <v>330</v>
      </c>
      <c r="E156" s="6">
        <f>IF(Table13[[#This Row],[Quartile]]="TopQuartile", 1,
 IF(Table13[[#This Row],[Quartile]]="SecondQuartile", 2,
 IF(Table13[[#This Row],[Quartile]]="ThirdQuartile", 3,
 IF(Table13[[#This Row],[Quartile]]="FourthQuartile", 4, ""))))</f>
        <v>1</v>
      </c>
      <c r="F156" s="5" t="s">
        <v>497</v>
      </c>
      <c r="G156" s="5" t="str" cm="1">
        <f t="array" ref="G156">IFERROR(
  INDEX(Table13[Quartile],
    MATCH(1,
      (Table13[[#This Row],[OrgName]]=Table13[OrgName]) *
      (Table13[[#This Row],[Month Number]]-1=Table13[Month Number]),
    0)
  ),
"")</f>
        <v>TopQuartile</v>
      </c>
      <c r="H156" s="5">
        <f>IF(Table13[[#This Row],[Previous Quartile]]="TopQuartile", 1,
 IF(Table13[[#This Row],[Previous Quartile]]="SecondQuartile", 2,
 IF(Table13[[#This Row],[Previous Quartile]]="ThirdQuartile", 3,
 IF(Table13[[#This Row],[Previous Quartile]]="FourthQuartile", 4, ""))))</f>
        <v>1</v>
      </c>
      <c r="I156" s="5" t="str">
        <f>IF(Table13[[#This Row],[Previous Quartile Value]]="", "",
   IF(Table13[[#This Row],[Quartile Value]] &lt; Table13[[#This Row],[Previous Quartile Value]], "Improved",
   IF(Table13[[#This Row],[Quartile Value]] &gt; Table13[[#This Row],[Previous Quartile Value]], "Dropped", "Same")))</f>
        <v>Same</v>
      </c>
      <c r="J156" s="7" t="s">
        <v>16</v>
      </c>
      <c r="K156" s="7" t="str">
        <f>VLOOKUP(J156,Introduction!$B$6:$C$14,2)</f>
        <v>South East</v>
      </c>
      <c r="L156" s="7">
        <v>813</v>
      </c>
      <c r="M156" s="8" t="s">
        <v>496</v>
      </c>
    </row>
    <row r="157" spans="1:13" ht="19.95" customHeight="1" x14ac:dyDescent="0.25">
      <c r="A157" s="40">
        <v>45474</v>
      </c>
      <c r="B157" s="46">
        <f>MONTH(Table13[[#This Row],[YearMonth]])</f>
        <v>7</v>
      </c>
      <c r="C157" s="5" t="s">
        <v>47</v>
      </c>
      <c r="D157" s="6" t="s">
        <v>330</v>
      </c>
      <c r="E157" s="6">
        <f>IF(Table13[[#This Row],[Quartile]]="TopQuartile", 1,
 IF(Table13[[#This Row],[Quartile]]="SecondQuartile", 2,
 IF(Table13[[#This Row],[Quartile]]="ThirdQuartile", 3,
 IF(Table13[[#This Row],[Quartile]]="FourthQuartile", 4, ""))))</f>
        <v>1</v>
      </c>
      <c r="F157" s="5" t="s">
        <v>498</v>
      </c>
      <c r="G157" s="5" t="str" cm="1">
        <f t="array" ref="G157">IFERROR(
  INDEX(Table13[Quartile],
    MATCH(1,
      (Table13[[#This Row],[OrgName]]=Table13[OrgName]) *
      (Table13[[#This Row],[Month Number]]-1=Table13[Month Number]),
    0)
  ),
"")</f>
        <v>TopQuartile</v>
      </c>
      <c r="H157" s="5">
        <f>IF(Table13[[#This Row],[Previous Quartile]]="TopQuartile", 1,
 IF(Table13[[#This Row],[Previous Quartile]]="SecondQuartile", 2,
 IF(Table13[[#This Row],[Previous Quartile]]="ThirdQuartile", 3,
 IF(Table13[[#This Row],[Previous Quartile]]="FourthQuartile", 4, ""))))</f>
        <v>1</v>
      </c>
      <c r="I157" s="5" t="str">
        <f>IF(Table13[[#This Row],[Previous Quartile Value]]="", "",
   IF(Table13[[#This Row],[Quartile Value]] &lt; Table13[[#This Row],[Previous Quartile Value]], "Improved",
   IF(Table13[[#This Row],[Quartile Value]] &gt; Table13[[#This Row],[Previous Quartile Value]], "Dropped", "Same")))</f>
        <v>Same</v>
      </c>
      <c r="J157" s="7" t="s">
        <v>16</v>
      </c>
      <c r="K157" s="7" t="str">
        <f>VLOOKUP(J157,Introduction!$B$6:$C$14,2)</f>
        <v>South East</v>
      </c>
      <c r="L157" s="7">
        <v>846</v>
      </c>
      <c r="M157" s="8" t="s">
        <v>496</v>
      </c>
    </row>
    <row r="158" spans="1:13" ht="19.95" customHeight="1" x14ac:dyDescent="0.25">
      <c r="A158" s="40">
        <v>45474</v>
      </c>
      <c r="B158" s="46">
        <f>MONTH(Table13[[#This Row],[YearMonth]])</f>
        <v>7</v>
      </c>
      <c r="C158" s="5" t="s">
        <v>57</v>
      </c>
      <c r="D158" s="6" t="s">
        <v>330</v>
      </c>
      <c r="E158" s="6">
        <f>IF(Table13[[#This Row],[Quartile]]="TopQuartile", 1,
 IF(Table13[[#This Row],[Quartile]]="SecondQuartile", 2,
 IF(Table13[[#This Row],[Quartile]]="ThirdQuartile", 3,
 IF(Table13[[#This Row],[Quartile]]="FourthQuartile", 4, ""))))</f>
        <v>1</v>
      </c>
      <c r="F158" s="5" t="s">
        <v>499</v>
      </c>
      <c r="G158" s="5" t="str" cm="1">
        <f t="array" ref="G158">IFERROR(
  INDEX(Table13[Quartile],
    MATCH(1,
      (Table13[[#This Row],[OrgName]]=Table13[OrgName]) *
      (Table13[[#This Row],[Month Number]]-1=Table13[Month Number]),
    0)
  ),
"")</f>
        <v>TopQuartile</v>
      </c>
      <c r="H158" s="5">
        <f>IF(Table13[[#This Row],[Previous Quartile]]="TopQuartile", 1,
 IF(Table13[[#This Row],[Previous Quartile]]="SecondQuartile", 2,
 IF(Table13[[#This Row],[Previous Quartile]]="ThirdQuartile", 3,
 IF(Table13[[#This Row],[Previous Quartile]]="FourthQuartile", 4, ""))))</f>
        <v>1</v>
      </c>
      <c r="I158" s="5" t="str">
        <f>IF(Table13[[#This Row],[Previous Quartile Value]]="", "",
   IF(Table13[[#This Row],[Quartile Value]] &lt; Table13[[#This Row],[Previous Quartile Value]], "Improved",
   IF(Table13[[#This Row],[Quartile Value]] &gt; Table13[[#This Row],[Previous Quartile Value]], "Dropped", "Same")))</f>
        <v>Same</v>
      </c>
      <c r="J158" s="7" t="s">
        <v>14</v>
      </c>
      <c r="K158" s="7" t="str">
        <f>VLOOKUP(J158,Introduction!$B$6:$C$14,2)</f>
        <v>South West</v>
      </c>
      <c r="L158" s="7">
        <v>85</v>
      </c>
      <c r="M158" s="8" t="s">
        <v>496</v>
      </c>
    </row>
    <row r="159" spans="1:13" ht="19.95" customHeight="1" x14ac:dyDescent="0.25">
      <c r="A159" s="40">
        <v>45474</v>
      </c>
      <c r="B159" s="46">
        <f>MONTH(Table13[[#This Row],[YearMonth]])</f>
        <v>7</v>
      </c>
      <c r="C159" s="5" t="s">
        <v>66</v>
      </c>
      <c r="D159" s="6" t="s">
        <v>330</v>
      </c>
      <c r="E159" s="6">
        <f>IF(Table13[[#This Row],[Quartile]]="TopQuartile", 1,
 IF(Table13[[#This Row],[Quartile]]="SecondQuartile", 2,
 IF(Table13[[#This Row],[Quartile]]="ThirdQuartile", 3,
 IF(Table13[[#This Row],[Quartile]]="FourthQuartile", 4, ""))))</f>
        <v>1</v>
      </c>
      <c r="F159" s="5" t="s">
        <v>500</v>
      </c>
      <c r="G159" s="5" t="str" cm="1">
        <f t="array" ref="G159">IFERROR(
  INDEX(Table13[Quartile],
    MATCH(1,
      (Table13[[#This Row],[OrgName]]=Table13[OrgName]) *
      (Table13[[#This Row],[Month Number]]-1=Table13[Month Number]),
    0)
  ),
"")</f>
        <v>SecondQuartile</v>
      </c>
      <c r="H159" s="5">
        <f>IF(Table13[[#This Row],[Previous Quartile]]="TopQuartile", 1,
 IF(Table13[[#This Row],[Previous Quartile]]="SecondQuartile", 2,
 IF(Table13[[#This Row],[Previous Quartile]]="ThirdQuartile", 3,
 IF(Table13[[#This Row],[Previous Quartile]]="FourthQuartile", 4, ""))))</f>
        <v>2</v>
      </c>
      <c r="I159" s="5" t="str">
        <f>IF(Table13[[#This Row],[Previous Quartile Value]]="", "",
   IF(Table13[[#This Row],[Quartile Value]] &lt; Table13[[#This Row],[Previous Quartile Value]], "Improved",
   IF(Table13[[#This Row],[Quartile Value]] &gt; Table13[[#This Row],[Previous Quartile Value]], "Dropped", "Same")))</f>
        <v>Improved</v>
      </c>
      <c r="J159" s="7" t="s">
        <v>18</v>
      </c>
      <c r="K159" s="7" t="str">
        <f>VLOOKUP(J159,Introduction!$B$6:$C$14,2)</f>
        <v>Midlands</v>
      </c>
      <c r="L159" s="7">
        <v>818</v>
      </c>
      <c r="M159" s="8" t="s">
        <v>496</v>
      </c>
    </row>
    <row r="160" spans="1:13" ht="19.95" customHeight="1" x14ac:dyDescent="0.25">
      <c r="A160" s="40">
        <v>45474</v>
      </c>
      <c r="B160" s="46">
        <f>MONTH(Table13[[#This Row],[YearMonth]])</f>
        <v>7</v>
      </c>
      <c r="C160" s="5" t="s">
        <v>79</v>
      </c>
      <c r="D160" s="6" t="s">
        <v>330</v>
      </c>
      <c r="E160" s="6">
        <f>IF(Table13[[#This Row],[Quartile]]="TopQuartile", 1,
 IF(Table13[[#This Row],[Quartile]]="SecondQuartile", 2,
 IF(Table13[[#This Row],[Quartile]]="ThirdQuartile", 3,
 IF(Table13[[#This Row],[Quartile]]="FourthQuartile", 4, ""))))</f>
        <v>1</v>
      </c>
      <c r="F160" s="5" t="s">
        <v>80</v>
      </c>
      <c r="G160" s="5" t="str" cm="1">
        <f t="array" ref="G160">IFERROR(
  INDEX(Table13[Quartile],
    MATCH(1,
      (Table13[[#This Row],[OrgName]]=Table13[OrgName]) *
      (Table13[[#This Row],[Month Number]]-1=Table13[Month Number]),
    0)
  ),
"")</f>
        <v>TopQuartile</v>
      </c>
      <c r="H160" s="5">
        <f>IF(Table13[[#This Row],[Previous Quartile]]="TopQuartile", 1,
 IF(Table13[[#This Row],[Previous Quartile]]="SecondQuartile", 2,
 IF(Table13[[#This Row],[Previous Quartile]]="ThirdQuartile", 3,
 IF(Table13[[#This Row],[Previous Quartile]]="FourthQuartile", 4, ""))))</f>
        <v>1</v>
      </c>
      <c r="I160" s="5" t="str">
        <f>IF(Table13[[#This Row],[Previous Quartile Value]]="", "",
   IF(Table13[[#This Row],[Quartile Value]] &lt; Table13[[#This Row],[Previous Quartile Value]], "Improved",
   IF(Table13[[#This Row],[Quartile Value]] &gt; Table13[[#This Row],[Previous Quartile Value]], "Dropped", "Same")))</f>
        <v>Same</v>
      </c>
      <c r="J160" s="7" t="s">
        <v>24</v>
      </c>
      <c r="K160" s="7" t="str">
        <f>VLOOKUP(J160,Introduction!$B$6:$C$14,2)</f>
        <v>North East and Yorkshire</v>
      </c>
      <c r="L160" s="7">
        <v>98</v>
      </c>
      <c r="M160" s="8" t="s">
        <v>496</v>
      </c>
    </row>
    <row r="161" spans="1:13" ht="19.95" customHeight="1" x14ac:dyDescent="0.25">
      <c r="A161" s="40">
        <v>45474</v>
      </c>
      <c r="B161" s="46">
        <f>MONTH(Table13[[#This Row],[YearMonth]])</f>
        <v>7</v>
      </c>
      <c r="C161" s="5" t="s">
        <v>86</v>
      </c>
      <c r="D161" s="6" t="s">
        <v>330</v>
      </c>
      <c r="E161" s="6">
        <f>IF(Table13[[#This Row],[Quartile]]="TopQuartile", 1,
 IF(Table13[[#This Row],[Quartile]]="SecondQuartile", 2,
 IF(Table13[[#This Row],[Quartile]]="ThirdQuartile", 3,
 IF(Table13[[#This Row],[Quartile]]="FourthQuartile", 4, ""))))</f>
        <v>1</v>
      </c>
      <c r="F161" s="5" t="s">
        <v>501</v>
      </c>
      <c r="G161" s="5" t="str" cm="1">
        <f t="array" ref="G161">IFERROR(
  INDEX(Table13[Quartile],
    MATCH(1,
      (Table13[[#This Row],[OrgName]]=Table13[OrgName]) *
      (Table13[[#This Row],[Month Number]]-1=Table13[Month Number]),
    0)
  ),
"")</f>
        <v>TopQuartile</v>
      </c>
      <c r="H161" s="5">
        <f>IF(Table13[[#This Row],[Previous Quartile]]="TopQuartile", 1,
 IF(Table13[[#This Row],[Previous Quartile]]="SecondQuartile", 2,
 IF(Table13[[#This Row],[Previous Quartile]]="ThirdQuartile", 3,
 IF(Table13[[#This Row],[Previous Quartile]]="FourthQuartile", 4, ""))))</f>
        <v>1</v>
      </c>
      <c r="I161" s="5" t="str">
        <f>IF(Table13[[#This Row],[Previous Quartile Value]]="", "",
   IF(Table13[[#This Row],[Quartile Value]] &lt; Table13[[#This Row],[Previous Quartile Value]], "Improved",
   IF(Table13[[#This Row],[Quartile Value]] &gt; Table13[[#This Row],[Previous Quartile Value]], "Dropped", "Same")))</f>
        <v>Same</v>
      </c>
      <c r="J161" s="7" t="s">
        <v>16</v>
      </c>
      <c r="K161" s="7" t="str">
        <f>VLOOKUP(J161,Introduction!$B$6:$C$14,2)</f>
        <v>South East</v>
      </c>
      <c r="L161" s="7">
        <v>150</v>
      </c>
      <c r="M161" s="8" t="s">
        <v>496</v>
      </c>
    </row>
    <row r="162" spans="1:13" ht="19.95" customHeight="1" x14ac:dyDescent="0.25">
      <c r="A162" s="40">
        <v>45474</v>
      </c>
      <c r="B162" s="46">
        <f>MONTH(Table13[[#This Row],[YearMonth]])</f>
        <v>7</v>
      </c>
      <c r="C162" s="5" t="s">
        <v>87</v>
      </c>
      <c r="D162" s="6" t="s">
        <v>330</v>
      </c>
      <c r="E162" s="6">
        <f>IF(Table13[[#This Row],[Quartile]]="TopQuartile", 1,
 IF(Table13[[#This Row],[Quartile]]="SecondQuartile", 2,
 IF(Table13[[#This Row],[Quartile]]="ThirdQuartile", 3,
 IF(Table13[[#This Row],[Quartile]]="FourthQuartile", 4, ""))))</f>
        <v>1</v>
      </c>
      <c r="F162" s="5" t="s">
        <v>502</v>
      </c>
      <c r="G162" s="5" t="str" cm="1">
        <f t="array" ref="G162">IFERROR(
  INDEX(Table13[Quartile],
    MATCH(1,
      (Table13[[#This Row],[OrgName]]=Table13[OrgName]) *
      (Table13[[#This Row],[Month Number]]-1=Table13[Month Number]),
    0)
  ),
"")</f>
        <v>TopQuartile</v>
      </c>
      <c r="H162" s="5">
        <f>IF(Table13[[#This Row],[Previous Quartile]]="TopQuartile", 1,
 IF(Table13[[#This Row],[Previous Quartile]]="SecondQuartile", 2,
 IF(Table13[[#This Row],[Previous Quartile]]="ThirdQuartile", 3,
 IF(Table13[[#This Row],[Previous Quartile]]="FourthQuartile", 4, ""))))</f>
        <v>1</v>
      </c>
      <c r="I162" s="5" t="str">
        <f>IF(Table13[[#This Row],[Previous Quartile Value]]="", "",
   IF(Table13[[#This Row],[Quartile Value]] &lt; Table13[[#This Row],[Previous Quartile Value]], "Improved",
   IF(Table13[[#This Row],[Quartile Value]] &gt; Table13[[#This Row],[Previous Quartile Value]], "Dropped", "Same")))</f>
        <v>Same</v>
      </c>
      <c r="J162" s="7" t="s">
        <v>22</v>
      </c>
      <c r="K162" s="7" t="str">
        <f>VLOOKUP(J162,Introduction!$B$6:$C$14,2)</f>
        <v>North West</v>
      </c>
      <c r="L162" s="7">
        <v>844</v>
      </c>
      <c r="M162" s="8" t="s">
        <v>496</v>
      </c>
    </row>
    <row r="163" spans="1:13" ht="19.95" customHeight="1" x14ac:dyDescent="0.25">
      <c r="A163" s="40">
        <v>45474</v>
      </c>
      <c r="B163" s="46">
        <f>MONTH(Table13[[#This Row],[YearMonth]])</f>
        <v>7</v>
      </c>
      <c r="C163" s="5" t="s">
        <v>98</v>
      </c>
      <c r="D163" s="6" t="s">
        <v>330</v>
      </c>
      <c r="E163" s="6">
        <f>IF(Table13[[#This Row],[Quartile]]="TopQuartile", 1,
 IF(Table13[[#This Row],[Quartile]]="SecondQuartile", 2,
 IF(Table13[[#This Row],[Quartile]]="ThirdQuartile", 3,
 IF(Table13[[#This Row],[Quartile]]="FourthQuartile", 4, ""))))</f>
        <v>1</v>
      </c>
      <c r="F163" s="5" t="s">
        <v>503</v>
      </c>
      <c r="G163" s="5" t="str" cm="1">
        <f t="array" ref="G163">IFERROR(
  INDEX(Table13[Quartile],
    MATCH(1,
      (Table13[[#This Row],[OrgName]]=Table13[OrgName]) *
      (Table13[[#This Row],[Month Number]]-1=Table13[Month Number]),
    0)
  ),
"")</f>
        <v>TopQuartile</v>
      </c>
      <c r="H163" s="5">
        <f>IF(Table13[[#This Row],[Previous Quartile]]="TopQuartile", 1,
 IF(Table13[[#This Row],[Previous Quartile]]="SecondQuartile", 2,
 IF(Table13[[#This Row],[Previous Quartile]]="ThirdQuartile", 3,
 IF(Table13[[#This Row],[Previous Quartile]]="FourthQuartile", 4, ""))))</f>
        <v>1</v>
      </c>
      <c r="I163" s="5" t="str">
        <f>IF(Table13[[#This Row],[Previous Quartile Value]]="", "",
   IF(Table13[[#This Row],[Quartile Value]] &lt; Table13[[#This Row],[Previous Quartile Value]], "Improved",
   IF(Table13[[#This Row],[Quartile Value]] &gt; Table13[[#This Row],[Previous Quartile Value]], "Dropped", "Same")))</f>
        <v>Same</v>
      </c>
      <c r="J163" s="7" t="s">
        <v>18</v>
      </c>
      <c r="K163" s="7" t="str">
        <f>VLOOKUP(J163,Introduction!$B$6:$C$14,2)</f>
        <v>Midlands</v>
      </c>
      <c r="L163" s="7">
        <v>825</v>
      </c>
      <c r="M163" s="8" t="s">
        <v>496</v>
      </c>
    </row>
    <row r="164" spans="1:13" ht="19.95" customHeight="1" x14ac:dyDescent="0.25">
      <c r="A164" s="40">
        <v>45474</v>
      </c>
      <c r="B164" s="46">
        <f>MONTH(Table13[[#This Row],[YearMonth]])</f>
        <v>7</v>
      </c>
      <c r="C164" s="5" t="s">
        <v>112</v>
      </c>
      <c r="D164" s="6" t="s">
        <v>338</v>
      </c>
      <c r="E164" s="6">
        <f>IF(Table13[[#This Row],[Quartile]]="TopQuartile", 1,
 IF(Table13[[#This Row],[Quartile]]="SecondQuartile", 2,
 IF(Table13[[#This Row],[Quartile]]="ThirdQuartile", 3,
 IF(Table13[[#This Row],[Quartile]]="FourthQuartile", 4, ""))))</f>
        <v>2</v>
      </c>
      <c r="F164" s="5" t="s">
        <v>113</v>
      </c>
      <c r="G164" s="5" t="str" cm="1">
        <f t="array" ref="G164">IFERROR(
  INDEX(Table13[Quartile],
    MATCH(1,
      (Table13[[#This Row],[OrgName]]=Table13[OrgName]) *
      (Table13[[#This Row],[Month Number]]-1=Table13[Month Number]),
    0)
  ),
"")</f>
        <v>SecondQuartile</v>
      </c>
      <c r="H164" s="5">
        <f>IF(Table13[[#This Row],[Previous Quartile]]="TopQuartile", 1,
 IF(Table13[[#This Row],[Previous Quartile]]="SecondQuartile", 2,
 IF(Table13[[#This Row],[Previous Quartile]]="ThirdQuartile", 3,
 IF(Table13[[#This Row],[Previous Quartile]]="FourthQuartile", 4, ""))))</f>
        <v>2</v>
      </c>
      <c r="I164" s="5" t="str">
        <f>IF(Table13[[#This Row],[Previous Quartile Value]]="", "",
   IF(Table13[[#This Row],[Quartile Value]] &lt; Table13[[#This Row],[Previous Quartile Value]], "Improved",
   IF(Table13[[#This Row],[Quartile Value]] &gt; Table13[[#This Row],[Previous Quartile Value]], "Dropped", "Same")))</f>
        <v>Same</v>
      </c>
      <c r="J164" s="7" t="s">
        <v>20</v>
      </c>
      <c r="K164" s="7" t="str">
        <f>VLOOKUP(J164,Introduction!$B$6:$C$14,2)</f>
        <v>East of England</v>
      </c>
      <c r="L164" s="7">
        <v>828</v>
      </c>
      <c r="M164" s="8" t="s">
        <v>496</v>
      </c>
    </row>
    <row r="165" spans="1:13" ht="19.95" customHeight="1" x14ac:dyDescent="0.25">
      <c r="A165" s="40">
        <v>45474</v>
      </c>
      <c r="B165" s="46">
        <f>MONTH(Table13[[#This Row],[YearMonth]])</f>
        <v>7</v>
      </c>
      <c r="C165" s="5" t="s">
        <v>117</v>
      </c>
      <c r="D165" s="6" t="s">
        <v>338</v>
      </c>
      <c r="E165" s="6">
        <f>IF(Table13[[#This Row],[Quartile]]="TopQuartile", 1,
 IF(Table13[[#This Row],[Quartile]]="SecondQuartile", 2,
 IF(Table13[[#This Row],[Quartile]]="ThirdQuartile", 3,
 IF(Table13[[#This Row],[Quartile]]="FourthQuartile", 4, ""))))</f>
        <v>2</v>
      </c>
      <c r="F165" s="5" t="s">
        <v>504</v>
      </c>
      <c r="G165" s="5" t="str" cm="1">
        <f t="array" ref="G165">IFERROR(
  INDEX(Table13[Quartile],
    MATCH(1,
      (Table13[[#This Row],[OrgName]]=Table13[OrgName]) *
      (Table13[[#This Row],[Month Number]]-1=Table13[Month Number]),
    0)
  ),
"")</f>
        <v>SecondQuartile</v>
      </c>
      <c r="H165" s="5">
        <f>IF(Table13[[#This Row],[Previous Quartile]]="TopQuartile", 1,
 IF(Table13[[#This Row],[Previous Quartile]]="SecondQuartile", 2,
 IF(Table13[[#This Row],[Previous Quartile]]="ThirdQuartile", 3,
 IF(Table13[[#This Row],[Previous Quartile]]="FourthQuartile", 4, ""))))</f>
        <v>2</v>
      </c>
      <c r="I165" s="5" t="str">
        <f>IF(Table13[[#This Row],[Previous Quartile Value]]="", "",
   IF(Table13[[#This Row],[Quartile Value]] &lt; Table13[[#This Row],[Previous Quartile Value]], "Improved",
   IF(Table13[[#This Row],[Quartile Value]] &gt; Table13[[#This Row],[Previous Quartile Value]], "Dropped", "Same")))</f>
        <v>Same</v>
      </c>
      <c r="J165" s="7" t="s">
        <v>24</v>
      </c>
      <c r="K165" s="7" t="str">
        <f>VLOOKUP(J165,Introduction!$B$6:$C$14,2)</f>
        <v>North East and Yorkshire</v>
      </c>
      <c r="L165" s="7">
        <v>847</v>
      </c>
      <c r="M165" s="8" t="s">
        <v>496</v>
      </c>
    </row>
    <row r="166" spans="1:13" ht="19.95" customHeight="1" x14ac:dyDescent="0.25">
      <c r="A166" s="40">
        <v>45474</v>
      </c>
      <c r="B166" s="46">
        <f>MONTH(Table13[[#This Row],[YearMonth]])</f>
        <v>7</v>
      </c>
      <c r="C166" s="5" t="s">
        <v>133</v>
      </c>
      <c r="D166" s="6" t="s">
        <v>338</v>
      </c>
      <c r="E166" s="6">
        <f>IF(Table13[[#This Row],[Quartile]]="TopQuartile", 1,
 IF(Table13[[#This Row],[Quartile]]="SecondQuartile", 2,
 IF(Table13[[#This Row],[Quartile]]="ThirdQuartile", 3,
 IF(Table13[[#This Row],[Quartile]]="FourthQuartile", 4, ""))))</f>
        <v>2</v>
      </c>
      <c r="F166" s="5" t="s">
        <v>505</v>
      </c>
      <c r="G166" s="5" t="str" cm="1">
        <f t="array" ref="G166">IFERROR(
  INDEX(Table13[Quartile],
    MATCH(1,
      (Table13[[#This Row],[OrgName]]=Table13[OrgName]) *
      (Table13[[#This Row],[Month Number]]-1=Table13[Month Number]),
    0)
  ),
"")</f>
        <v>SecondQuartile</v>
      </c>
      <c r="H166" s="5">
        <f>IF(Table13[[#This Row],[Previous Quartile]]="TopQuartile", 1,
 IF(Table13[[#This Row],[Previous Quartile]]="SecondQuartile", 2,
 IF(Table13[[#This Row],[Previous Quartile]]="ThirdQuartile", 3,
 IF(Table13[[#This Row],[Previous Quartile]]="FourthQuartile", 4, ""))))</f>
        <v>2</v>
      </c>
      <c r="I166" s="5" t="str">
        <f>IF(Table13[[#This Row],[Previous Quartile Value]]="", "",
   IF(Table13[[#This Row],[Quartile Value]] &lt; Table13[[#This Row],[Previous Quartile Value]], "Improved",
   IF(Table13[[#This Row],[Quartile Value]] &gt; Table13[[#This Row],[Previous Quartile Value]], "Dropped", "Same")))</f>
        <v>Same</v>
      </c>
      <c r="J166" s="7" t="s">
        <v>20</v>
      </c>
      <c r="K166" s="7" t="str">
        <f>VLOOKUP(J166,Introduction!$B$6:$C$14,2)</f>
        <v>East of England</v>
      </c>
      <c r="L166" s="7">
        <v>849</v>
      </c>
      <c r="M166" s="8" t="s">
        <v>496</v>
      </c>
    </row>
    <row r="167" spans="1:13" ht="19.95" customHeight="1" x14ac:dyDescent="0.25">
      <c r="A167" s="40">
        <v>45474</v>
      </c>
      <c r="B167" s="46">
        <f>MONTH(Table13[[#This Row],[YearMonth]])</f>
        <v>7</v>
      </c>
      <c r="C167" s="5" t="s">
        <v>134</v>
      </c>
      <c r="D167" s="6" t="s">
        <v>338</v>
      </c>
      <c r="E167" s="6">
        <f>IF(Table13[[#This Row],[Quartile]]="TopQuartile", 1,
 IF(Table13[[#This Row],[Quartile]]="SecondQuartile", 2,
 IF(Table13[[#This Row],[Quartile]]="ThirdQuartile", 3,
 IF(Table13[[#This Row],[Quartile]]="FourthQuartile", 4, ""))))</f>
        <v>2</v>
      </c>
      <c r="F167" s="5" t="s">
        <v>506</v>
      </c>
      <c r="G167" s="5" t="str" cm="1">
        <f t="array" ref="G167">IFERROR(
  INDEX(Table13[Quartile],
    MATCH(1,
      (Table13[[#This Row],[OrgName]]=Table13[OrgName]) *
      (Table13[[#This Row],[Month Number]]-1=Table13[Month Number]),
    0)
  ),
"")</f>
        <v>SecondQuartile</v>
      </c>
      <c r="H167" s="5">
        <f>IF(Table13[[#This Row],[Previous Quartile]]="TopQuartile", 1,
 IF(Table13[[#This Row],[Previous Quartile]]="SecondQuartile", 2,
 IF(Table13[[#This Row],[Previous Quartile]]="ThirdQuartile", 3,
 IF(Table13[[#This Row],[Previous Quartile]]="FourthQuartile", 4, ""))))</f>
        <v>2</v>
      </c>
      <c r="I167" s="5" t="str">
        <f>IF(Table13[[#This Row],[Previous Quartile Value]]="", "",
   IF(Table13[[#This Row],[Quartile Value]] &lt; Table13[[#This Row],[Previous Quartile Value]], "Improved",
   IF(Table13[[#This Row],[Quartile Value]] &gt; Table13[[#This Row],[Previous Quartile Value]], "Dropped", "Same")))</f>
        <v>Same</v>
      </c>
      <c r="J167" s="7" t="s">
        <v>24</v>
      </c>
      <c r="K167" s="7" t="str">
        <f>VLOOKUP(J167,Introduction!$B$6:$C$14,2)</f>
        <v>North East and Yorkshire</v>
      </c>
      <c r="L167" s="7">
        <v>814</v>
      </c>
      <c r="M167" s="8" t="s">
        <v>496</v>
      </c>
    </row>
    <row r="168" spans="1:13" ht="19.95" customHeight="1" x14ac:dyDescent="0.25">
      <c r="A168" s="40">
        <v>45474</v>
      </c>
      <c r="B168" s="46">
        <f>MONTH(Table13[[#This Row],[YearMonth]])</f>
        <v>7</v>
      </c>
      <c r="C168" s="5" t="s">
        <v>145</v>
      </c>
      <c r="D168" s="6" t="s">
        <v>338</v>
      </c>
      <c r="E168" s="6">
        <f>IF(Table13[[#This Row],[Quartile]]="TopQuartile", 1,
 IF(Table13[[#This Row],[Quartile]]="SecondQuartile", 2,
 IF(Table13[[#This Row],[Quartile]]="ThirdQuartile", 3,
 IF(Table13[[#This Row],[Quartile]]="FourthQuartile", 4, ""))))</f>
        <v>2</v>
      </c>
      <c r="F168" s="5" t="s">
        <v>507</v>
      </c>
      <c r="G168" s="5" t="str" cm="1">
        <f t="array" ref="G168">IFERROR(
  INDEX(Table13[Quartile],
    MATCH(1,
      (Table13[[#This Row],[OrgName]]=Table13[OrgName]) *
      (Table13[[#This Row],[Month Number]]-1=Table13[Month Number]),
    0)
  ),
"")</f>
        <v>SecondQuartile</v>
      </c>
      <c r="H168" s="5">
        <f>IF(Table13[[#This Row],[Previous Quartile]]="TopQuartile", 1,
 IF(Table13[[#This Row],[Previous Quartile]]="SecondQuartile", 2,
 IF(Table13[[#This Row],[Previous Quartile]]="ThirdQuartile", 3,
 IF(Table13[[#This Row],[Previous Quartile]]="FourthQuartile", 4, ""))))</f>
        <v>2</v>
      </c>
      <c r="I168" s="5" t="str">
        <f>IF(Table13[[#This Row],[Previous Quartile Value]]="", "",
   IF(Table13[[#This Row],[Quartile Value]] &lt; Table13[[#This Row],[Previous Quartile Value]], "Improved",
   IF(Table13[[#This Row],[Quartile Value]] &gt; Table13[[#This Row],[Previous Quartile Value]], "Dropped", "Same")))</f>
        <v>Same</v>
      </c>
      <c r="J168" s="7" t="s">
        <v>12</v>
      </c>
      <c r="K168" s="7" t="str">
        <f>VLOOKUP(J168,Introduction!$B$6:$C$14,2)</f>
        <v>London</v>
      </c>
      <c r="L168" s="7">
        <v>811</v>
      </c>
      <c r="M168" s="8" t="s">
        <v>496</v>
      </c>
    </row>
    <row r="169" spans="1:13" ht="19.95" customHeight="1" x14ac:dyDescent="0.25">
      <c r="A169" s="40">
        <v>45474</v>
      </c>
      <c r="B169" s="46">
        <f>MONTH(Table13[[#This Row],[YearMonth]])</f>
        <v>7</v>
      </c>
      <c r="C169" s="5" t="s">
        <v>154</v>
      </c>
      <c r="D169" s="6" t="s">
        <v>338</v>
      </c>
      <c r="E169" s="6">
        <f>IF(Table13[[#This Row],[Quartile]]="TopQuartile", 1,
 IF(Table13[[#This Row],[Quartile]]="SecondQuartile", 2,
 IF(Table13[[#This Row],[Quartile]]="ThirdQuartile", 3,
 IF(Table13[[#This Row],[Quartile]]="FourthQuartile", 4, ""))))</f>
        <v>2</v>
      </c>
      <c r="F169" s="5" t="s">
        <v>508</v>
      </c>
      <c r="G169" s="5" t="str" cm="1">
        <f t="array" ref="G169">IFERROR(
  INDEX(Table13[Quartile],
    MATCH(1,
      (Table13[[#This Row],[OrgName]]=Table13[OrgName]) *
      (Table13[[#This Row],[Month Number]]-1=Table13[Month Number]),
    0)
  ),
"")</f>
        <v>SecondQuartile</v>
      </c>
      <c r="H169" s="5">
        <f>IF(Table13[[#This Row],[Previous Quartile]]="TopQuartile", 1,
 IF(Table13[[#This Row],[Previous Quartile]]="SecondQuartile", 2,
 IF(Table13[[#This Row],[Previous Quartile]]="ThirdQuartile", 3,
 IF(Table13[[#This Row],[Previous Quartile]]="FourthQuartile", 4, ""))))</f>
        <v>2</v>
      </c>
      <c r="I169" s="5" t="str">
        <f>IF(Table13[[#This Row],[Previous Quartile Value]]="", "",
   IF(Table13[[#This Row],[Quartile Value]] &lt; Table13[[#This Row],[Previous Quartile Value]], "Improved",
   IF(Table13[[#This Row],[Quartile Value]] &gt; Table13[[#This Row],[Previous Quartile Value]], "Dropped", "Same")))</f>
        <v>Same</v>
      </c>
      <c r="J169" s="7" t="s">
        <v>24</v>
      </c>
      <c r="K169" s="7" t="str">
        <f>VLOOKUP(J169,Introduction!$B$6:$C$14,2)</f>
        <v>North East and Yorkshire</v>
      </c>
      <c r="L169" s="7">
        <v>816</v>
      </c>
      <c r="M169" s="8" t="s">
        <v>496</v>
      </c>
    </row>
    <row r="170" spans="1:13" ht="19.95" customHeight="1" x14ac:dyDescent="0.25">
      <c r="A170" s="40">
        <v>45474</v>
      </c>
      <c r="B170" s="46">
        <f>MONTH(Table13[[#This Row],[YearMonth]])</f>
        <v>7</v>
      </c>
      <c r="C170" s="5" t="s">
        <v>156</v>
      </c>
      <c r="D170" s="6" t="s">
        <v>338</v>
      </c>
      <c r="E170" s="6">
        <f>IF(Table13[[#This Row],[Quartile]]="TopQuartile", 1,
 IF(Table13[[#This Row],[Quartile]]="SecondQuartile", 2,
 IF(Table13[[#This Row],[Quartile]]="ThirdQuartile", 3,
 IF(Table13[[#This Row],[Quartile]]="FourthQuartile", 4, ""))))</f>
        <v>2</v>
      </c>
      <c r="F170" s="5" t="s">
        <v>509</v>
      </c>
      <c r="G170" s="5" t="str" cm="1">
        <f t="array" ref="G170">IFERROR(
  INDEX(Table13[Quartile],
    MATCH(1,
      (Table13[[#This Row],[OrgName]]=Table13[OrgName]) *
      (Table13[[#This Row],[Month Number]]-1=Table13[Month Number]),
    0)
  ),
"")</f>
        <v>SecondQuartile</v>
      </c>
      <c r="H170" s="5">
        <f>IF(Table13[[#This Row],[Previous Quartile]]="TopQuartile", 1,
 IF(Table13[[#This Row],[Previous Quartile]]="SecondQuartile", 2,
 IF(Table13[[#This Row],[Previous Quartile]]="ThirdQuartile", 3,
 IF(Table13[[#This Row],[Previous Quartile]]="FourthQuartile", 4, ""))))</f>
        <v>2</v>
      </c>
      <c r="I170" s="5" t="str">
        <f>IF(Table13[[#This Row],[Previous Quartile Value]]="", "",
   IF(Table13[[#This Row],[Quartile Value]] &lt; Table13[[#This Row],[Previous Quartile Value]], "Improved",
   IF(Table13[[#This Row],[Quartile Value]] &gt; Table13[[#This Row],[Previous Quartile Value]], "Dropped", "Same")))</f>
        <v>Same</v>
      </c>
      <c r="J170" s="7" t="s">
        <v>20</v>
      </c>
      <c r="K170" s="7" t="str">
        <f>VLOOKUP(J170,Introduction!$B$6:$C$14,2)</f>
        <v>East of England</v>
      </c>
      <c r="L170" s="7">
        <v>812</v>
      </c>
      <c r="M170" s="8" t="s">
        <v>496</v>
      </c>
    </row>
    <row r="171" spans="1:13" ht="19.95" customHeight="1" x14ac:dyDescent="0.25">
      <c r="A171" s="40">
        <v>45474</v>
      </c>
      <c r="B171" s="46">
        <f>MONTH(Table13[[#This Row],[YearMonth]])</f>
        <v>7</v>
      </c>
      <c r="C171" s="5" t="s">
        <v>158</v>
      </c>
      <c r="D171" s="6" t="s">
        <v>338</v>
      </c>
      <c r="E171" s="6">
        <f>IF(Table13[[#This Row],[Quartile]]="TopQuartile", 1,
 IF(Table13[[#This Row],[Quartile]]="SecondQuartile", 2,
 IF(Table13[[#This Row],[Quartile]]="ThirdQuartile", 3,
 IF(Table13[[#This Row],[Quartile]]="FourthQuartile", 4, ""))))</f>
        <v>2</v>
      </c>
      <c r="F171" s="5" t="s">
        <v>510</v>
      </c>
      <c r="G171" s="5" t="str" cm="1">
        <f t="array" ref="G171">IFERROR(
  INDEX(Table13[Quartile],
    MATCH(1,
      (Table13[[#This Row],[OrgName]]=Table13[OrgName]) *
      (Table13[[#This Row],[Month Number]]-1=Table13[Month Number]),
    0)
  ),
"")</f>
        <v>SecondQuartile</v>
      </c>
      <c r="H171" s="5">
        <f>IF(Table13[[#This Row],[Previous Quartile]]="TopQuartile", 1,
 IF(Table13[[#This Row],[Previous Quartile]]="SecondQuartile", 2,
 IF(Table13[[#This Row],[Previous Quartile]]="ThirdQuartile", 3,
 IF(Table13[[#This Row],[Previous Quartile]]="FourthQuartile", 4, ""))))</f>
        <v>2</v>
      </c>
      <c r="I171" s="5" t="str">
        <f>IF(Table13[[#This Row],[Previous Quartile Value]]="", "",
   IF(Table13[[#This Row],[Quartile Value]] &lt; Table13[[#This Row],[Previous Quartile Value]], "Improved",
   IF(Table13[[#This Row],[Quartile Value]] &gt; Table13[[#This Row],[Previous Quartile Value]], "Dropped", "Same")))</f>
        <v>Same</v>
      </c>
      <c r="J171" s="7" t="s">
        <v>12</v>
      </c>
      <c r="K171" s="7" t="str">
        <f>VLOOKUP(J171,Introduction!$B$6:$C$14,2)</f>
        <v>London</v>
      </c>
      <c r="L171" s="7">
        <v>779</v>
      </c>
      <c r="M171" s="8" t="s">
        <v>496</v>
      </c>
    </row>
    <row r="172" spans="1:13" ht="19.95" customHeight="1" x14ac:dyDescent="0.25">
      <c r="A172" s="40">
        <v>45474</v>
      </c>
      <c r="B172" s="46">
        <f>MONTH(Table13[[#This Row],[YearMonth]])</f>
        <v>7</v>
      </c>
      <c r="C172" s="5" t="s">
        <v>171</v>
      </c>
      <c r="D172" s="6" t="s">
        <v>338</v>
      </c>
      <c r="E172" s="6">
        <f>IF(Table13[[#This Row],[Quartile]]="TopQuartile", 1,
 IF(Table13[[#This Row],[Quartile]]="SecondQuartile", 2,
 IF(Table13[[#This Row],[Quartile]]="ThirdQuartile", 3,
 IF(Table13[[#This Row],[Quartile]]="FourthQuartile", 4, ""))))</f>
        <v>2</v>
      </c>
      <c r="F172" s="5" t="s">
        <v>511</v>
      </c>
      <c r="G172" s="5" t="str" cm="1">
        <f t="array" ref="G172">IFERROR(
  INDEX(Table13[Quartile],
    MATCH(1,
      (Table13[[#This Row],[OrgName]]=Table13[OrgName]) *
      (Table13[[#This Row],[Month Number]]-1=Table13[Month Number]),
    0)
  ),
"")</f>
        <v>ThirdQuartile</v>
      </c>
      <c r="H172" s="5">
        <f>IF(Table13[[#This Row],[Previous Quartile]]="TopQuartile", 1,
 IF(Table13[[#This Row],[Previous Quartile]]="SecondQuartile", 2,
 IF(Table13[[#This Row],[Previous Quartile]]="ThirdQuartile", 3,
 IF(Table13[[#This Row],[Previous Quartile]]="FourthQuartile", 4, ""))))</f>
        <v>3</v>
      </c>
      <c r="I172" s="5" t="str">
        <f>IF(Table13[[#This Row],[Previous Quartile Value]]="", "",
   IF(Table13[[#This Row],[Quartile Value]] &lt; Table13[[#This Row],[Previous Quartile Value]], "Improved",
   IF(Table13[[#This Row],[Quartile Value]] &gt; Table13[[#This Row],[Previous Quartile Value]], "Dropped", "Same")))</f>
        <v>Improved</v>
      </c>
      <c r="J172" s="7" t="s">
        <v>20</v>
      </c>
      <c r="K172" s="7" t="str">
        <f>VLOOKUP(J172,Introduction!$B$6:$C$14,2)</f>
        <v>East of England</v>
      </c>
      <c r="L172" s="7">
        <v>839</v>
      </c>
      <c r="M172" s="8" t="s">
        <v>496</v>
      </c>
    </row>
    <row r="173" spans="1:13" ht="19.95" customHeight="1" x14ac:dyDescent="0.25">
      <c r="A173" s="40">
        <v>45474</v>
      </c>
      <c r="B173" s="46">
        <f>MONTH(Table13[[#This Row],[YearMonth]])</f>
        <v>7</v>
      </c>
      <c r="C173" s="5" t="s">
        <v>175</v>
      </c>
      <c r="D173" s="6" t="s">
        <v>341</v>
      </c>
      <c r="E173" s="6">
        <f>IF(Table13[[#This Row],[Quartile]]="TopQuartile", 1,
 IF(Table13[[#This Row],[Quartile]]="SecondQuartile", 2,
 IF(Table13[[#This Row],[Quartile]]="ThirdQuartile", 3,
 IF(Table13[[#This Row],[Quartile]]="FourthQuartile", 4, ""))))</f>
        <v>3</v>
      </c>
      <c r="F173" s="5" t="s">
        <v>512</v>
      </c>
      <c r="G173" s="5" t="str" cm="1">
        <f t="array" ref="G173">IFERROR(
  INDEX(Table13[Quartile],
    MATCH(1,
      (Table13[[#This Row],[OrgName]]=Table13[OrgName]) *
      (Table13[[#This Row],[Month Number]]-1=Table13[Month Number]),
    0)
  ),
"")</f>
        <v>ThirdQuartile</v>
      </c>
      <c r="H173" s="5">
        <f>IF(Table13[[#This Row],[Previous Quartile]]="TopQuartile", 1,
 IF(Table13[[#This Row],[Previous Quartile]]="SecondQuartile", 2,
 IF(Table13[[#This Row],[Previous Quartile]]="ThirdQuartile", 3,
 IF(Table13[[#This Row],[Previous Quartile]]="FourthQuartile", 4, ""))))</f>
        <v>3</v>
      </c>
      <c r="I173" s="5" t="str">
        <f>IF(Table13[[#This Row],[Previous Quartile Value]]="", "",
   IF(Table13[[#This Row],[Quartile Value]] &lt; Table13[[#This Row],[Previous Quartile Value]], "Improved",
   IF(Table13[[#This Row],[Quartile Value]] &gt; Table13[[#This Row],[Previous Quartile Value]], "Dropped", "Same")))</f>
        <v>Same</v>
      </c>
      <c r="J173" s="7" t="s">
        <v>18</v>
      </c>
      <c r="K173" s="7" t="str">
        <f>VLOOKUP(J173,Introduction!$B$6:$C$14,2)</f>
        <v>Midlands</v>
      </c>
      <c r="L173" s="7">
        <v>798</v>
      </c>
      <c r="M173" s="8" t="s">
        <v>496</v>
      </c>
    </row>
    <row r="174" spans="1:13" ht="19.95" customHeight="1" x14ac:dyDescent="0.25">
      <c r="A174" s="40">
        <v>45474</v>
      </c>
      <c r="B174" s="46">
        <f>MONTH(Table13[[#This Row],[YearMonth]])</f>
        <v>7</v>
      </c>
      <c r="C174" s="5" t="s">
        <v>193</v>
      </c>
      <c r="D174" s="6" t="s">
        <v>341</v>
      </c>
      <c r="E174" s="6">
        <f>IF(Table13[[#This Row],[Quartile]]="TopQuartile", 1,
 IF(Table13[[#This Row],[Quartile]]="SecondQuartile", 2,
 IF(Table13[[#This Row],[Quartile]]="ThirdQuartile", 3,
 IF(Table13[[#This Row],[Quartile]]="FourthQuartile", 4, ""))))</f>
        <v>3</v>
      </c>
      <c r="F174" s="5" t="s">
        <v>513</v>
      </c>
      <c r="G174" s="5" t="str" cm="1">
        <f t="array" ref="G174">IFERROR(
  INDEX(Table13[Quartile],
    MATCH(1,
      (Table13[[#This Row],[OrgName]]=Table13[OrgName]) *
      (Table13[[#This Row],[Month Number]]-1=Table13[Month Number]),
    0)
  ),
"")</f>
        <v>ThirdQuartile</v>
      </c>
      <c r="H174" s="5">
        <f>IF(Table13[[#This Row],[Previous Quartile]]="TopQuartile", 1,
 IF(Table13[[#This Row],[Previous Quartile]]="SecondQuartile", 2,
 IF(Table13[[#This Row],[Previous Quartile]]="ThirdQuartile", 3,
 IF(Table13[[#This Row],[Previous Quartile]]="FourthQuartile", 4, ""))))</f>
        <v>3</v>
      </c>
      <c r="I174" s="5" t="str">
        <f>IF(Table13[[#This Row],[Previous Quartile Value]]="", "",
   IF(Table13[[#This Row],[Quartile Value]] &lt; Table13[[#This Row],[Previous Quartile Value]], "Improved",
   IF(Table13[[#This Row],[Quartile Value]] &gt; Table13[[#This Row],[Previous Quartile Value]], "Dropped", "Same")))</f>
        <v>Same</v>
      </c>
      <c r="J174" s="7" t="s">
        <v>20</v>
      </c>
      <c r="K174" s="7" t="str">
        <f>VLOOKUP(J174,Introduction!$B$6:$C$14,2)</f>
        <v>East of England</v>
      </c>
      <c r="L174" s="7">
        <v>448</v>
      </c>
      <c r="M174" s="8" t="s">
        <v>496</v>
      </c>
    </row>
    <row r="175" spans="1:13" ht="19.95" customHeight="1" x14ac:dyDescent="0.25">
      <c r="A175" s="40">
        <v>45474</v>
      </c>
      <c r="B175" s="46">
        <f>MONTH(Table13[[#This Row],[YearMonth]])</f>
        <v>7</v>
      </c>
      <c r="C175" s="5" t="s">
        <v>196</v>
      </c>
      <c r="D175" s="6" t="s">
        <v>341</v>
      </c>
      <c r="E175" s="6">
        <f>IF(Table13[[#This Row],[Quartile]]="TopQuartile", 1,
 IF(Table13[[#This Row],[Quartile]]="SecondQuartile", 2,
 IF(Table13[[#This Row],[Quartile]]="ThirdQuartile", 3,
 IF(Table13[[#This Row],[Quartile]]="FourthQuartile", 4, ""))))</f>
        <v>3</v>
      </c>
      <c r="F175" s="5" t="s">
        <v>514</v>
      </c>
      <c r="G175" s="5" t="str" cm="1">
        <f t="array" ref="G175">IFERROR(
  INDEX(Table13[Quartile],
    MATCH(1,
      (Table13[[#This Row],[OrgName]]=Table13[OrgName]) *
      (Table13[[#This Row],[Month Number]]-1=Table13[Month Number]),
    0)
  ),
"")</f>
        <v>ThirdQuartile</v>
      </c>
      <c r="H175" s="5">
        <f>IF(Table13[[#This Row],[Previous Quartile]]="TopQuartile", 1,
 IF(Table13[[#This Row],[Previous Quartile]]="SecondQuartile", 2,
 IF(Table13[[#This Row],[Previous Quartile]]="ThirdQuartile", 3,
 IF(Table13[[#This Row],[Previous Quartile]]="FourthQuartile", 4, ""))))</f>
        <v>3</v>
      </c>
      <c r="I175" s="5" t="str">
        <f>IF(Table13[[#This Row],[Previous Quartile Value]]="", "",
   IF(Table13[[#This Row],[Quartile Value]] &lt; Table13[[#This Row],[Previous Quartile Value]], "Improved",
   IF(Table13[[#This Row],[Quartile Value]] &gt; Table13[[#This Row],[Previous Quartile Value]], "Dropped", "Same")))</f>
        <v>Same</v>
      </c>
      <c r="J175" s="7" t="s">
        <v>18</v>
      </c>
      <c r="K175" s="7" t="str">
        <f>VLOOKUP(J175,Introduction!$B$6:$C$14,2)</f>
        <v>Midlands</v>
      </c>
      <c r="L175" s="7">
        <v>842</v>
      </c>
      <c r="M175" s="8" t="s">
        <v>496</v>
      </c>
    </row>
    <row r="176" spans="1:13" ht="19.95" customHeight="1" x14ac:dyDescent="0.25">
      <c r="A176" s="40">
        <v>45474</v>
      </c>
      <c r="B176" s="46">
        <f>MONTH(Table13[[#This Row],[YearMonth]])</f>
        <v>7</v>
      </c>
      <c r="C176" s="5" t="s">
        <v>199</v>
      </c>
      <c r="D176" s="6" t="s">
        <v>341</v>
      </c>
      <c r="E176" s="6">
        <f>IF(Table13[[#This Row],[Quartile]]="TopQuartile", 1,
 IF(Table13[[#This Row],[Quartile]]="SecondQuartile", 2,
 IF(Table13[[#This Row],[Quartile]]="ThirdQuartile", 3,
 IF(Table13[[#This Row],[Quartile]]="FourthQuartile", 4, ""))))</f>
        <v>3</v>
      </c>
      <c r="F176" s="5" t="s">
        <v>515</v>
      </c>
      <c r="G176" s="5" t="str" cm="1">
        <f t="array" ref="G176">IFERROR(
  INDEX(Table13[Quartile],
    MATCH(1,
      (Table13[[#This Row],[OrgName]]=Table13[OrgName]) *
      (Table13[[#This Row],[Month Number]]-1=Table13[Month Number]),
    0)
  ),
"")</f>
        <v>ThirdQuartile</v>
      </c>
      <c r="H176" s="5">
        <f>IF(Table13[[#This Row],[Previous Quartile]]="TopQuartile", 1,
 IF(Table13[[#This Row],[Previous Quartile]]="SecondQuartile", 2,
 IF(Table13[[#This Row],[Previous Quartile]]="ThirdQuartile", 3,
 IF(Table13[[#This Row],[Previous Quartile]]="FourthQuartile", 4, ""))))</f>
        <v>3</v>
      </c>
      <c r="I176" s="5" t="str">
        <f>IF(Table13[[#This Row],[Previous Quartile Value]]="", "",
   IF(Table13[[#This Row],[Quartile Value]] &lt; Table13[[#This Row],[Previous Quartile Value]], "Improved",
   IF(Table13[[#This Row],[Quartile Value]] &gt; Table13[[#This Row],[Previous Quartile Value]], "Dropped", "Same")))</f>
        <v>Same</v>
      </c>
      <c r="J176" s="7" t="s">
        <v>24</v>
      </c>
      <c r="K176" s="7" t="str">
        <f>VLOOKUP(J176,Introduction!$B$6:$C$14,2)</f>
        <v>North East and Yorkshire</v>
      </c>
      <c r="L176" s="7">
        <v>810</v>
      </c>
      <c r="M176" s="8" t="s">
        <v>496</v>
      </c>
    </row>
    <row r="177" spans="1:13" ht="19.95" customHeight="1" x14ac:dyDescent="0.25">
      <c r="A177" s="40">
        <v>45474</v>
      </c>
      <c r="B177" s="46">
        <f>MONTH(Table13[[#This Row],[YearMonth]])</f>
        <v>7</v>
      </c>
      <c r="C177" s="5" t="s">
        <v>219</v>
      </c>
      <c r="D177" s="6" t="s">
        <v>341</v>
      </c>
      <c r="E177" s="6">
        <f>IF(Table13[[#This Row],[Quartile]]="TopQuartile", 1,
 IF(Table13[[#This Row],[Quartile]]="SecondQuartile", 2,
 IF(Table13[[#This Row],[Quartile]]="ThirdQuartile", 3,
 IF(Table13[[#This Row],[Quartile]]="FourthQuartile", 4, ""))))</f>
        <v>3</v>
      </c>
      <c r="F177" s="5" t="s">
        <v>516</v>
      </c>
      <c r="G177" s="5" t="str" cm="1">
        <f t="array" ref="G177">IFERROR(
  INDEX(Table13[Quartile],
    MATCH(1,
      (Table13[[#This Row],[OrgName]]=Table13[OrgName]) *
      (Table13[[#This Row],[Month Number]]-1=Table13[Month Number]),
    0)
  ),
"")</f>
        <v>ThirdQuartile</v>
      </c>
      <c r="H177" s="5">
        <f>IF(Table13[[#This Row],[Previous Quartile]]="TopQuartile", 1,
 IF(Table13[[#This Row],[Previous Quartile]]="SecondQuartile", 2,
 IF(Table13[[#This Row],[Previous Quartile]]="ThirdQuartile", 3,
 IF(Table13[[#This Row],[Previous Quartile]]="FourthQuartile", 4, ""))))</f>
        <v>3</v>
      </c>
      <c r="I177" s="5" t="str">
        <f>IF(Table13[[#This Row],[Previous Quartile Value]]="", "",
   IF(Table13[[#This Row],[Quartile Value]] &lt; Table13[[#This Row],[Previous Quartile Value]], "Improved",
   IF(Table13[[#This Row],[Quartile Value]] &gt; Table13[[#This Row],[Previous Quartile Value]], "Dropped", "Same")))</f>
        <v>Same</v>
      </c>
      <c r="J177" s="7" t="s">
        <v>22</v>
      </c>
      <c r="K177" s="7" t="str">
        <f>VLOOKUP(J177,Introduction!$B$6:$C$14,2)</f>
        <v>North West</v>
      </c>
      <c r="L177" s="7">
        <v>835</v>
      </c>
      <c r="M177" s="8" t="s">
        <v>496</v>
      </c>
    </row>
    <row r="178" spans="1:13" ht="19.95" customHeight="1" x14ac:dyDescent="0.25">
      <c r="A178" s="40">
        <v>45474</v>
      </c>
      <c r="B178" s="46">
        <f>MONTH(Table13[[#This Row],[YearMonth]])</f>
        <v>7</v>
      </c>
      <c r="C178" s="5" t="s">
        <v>230</v>
      </c>
      <c r="D178" s="6" t="s">
        <v>341</v>
      </c>
      <c r="E178" s="6">
        <f>IF(Table13[[#This Row],[Quartile]]="TopQuartile", 1,
 IF(Table13[[#This Row],[Quartile]]="SecondQuartile", 2,
 IF(Table13[[#This Row],[Quartile]]="ThirdQuartile", 3,
 IF(Table13[[#This Row],[Quartile]]="FourthQuartile", 4, ""))))</f>
        <v>3</v>
      </c>
      <c r="F178" s="5" t="s">
        <v>517</v>
      </c>
      <c r="G178" s="5" t="str" cm="1">
        <f t="array" ref="G178">IFERROR(
  INDEX(Table13[Quartile],
    MATCH(1,
      (Table13[[#This Row],[OrgName]]=Table13[OrgName]) *
      (Table13[[#This Row],[Month Number]]-1=Table13[Month Number]),
    0)
  ),
"")</f>
        <v>SecondQuartile</v>
      </c>
      <c r="H178" s="5">
        <f>IF(Table13[[#This Row],[Previous Quartile]]="TopQuartile", 1,
 IF(Table13[[#This Row],[Previous Quartile]]="SecondQuartile", 2,
 IF(Table13[[#This Row],[Previous Quartile]]="ThirdQuartile", 3,
 IF(Table13[[#This Row],[Previous Quartile]]="FourthQuartile", 4, ""))))</f>
        <v>2</v>
      </c>
      <c r="I178" s="5" t="str">
        <f>IF(Table13[[#This Row],[Previous Quartile Value]]="", "",
   IF(Table13[[#This Row],[Quartile Value]] &lt; Table13[[#This Row],[Previous Quartile Value]], "Improved",
   IF(Table13[[#This Row],[Quartile Value]] &gt; Table13[[#This Row],[Previous Quartile Value]], "Dropped", "Same")))</f>
        <v>Dropped</v>
      </c>
      <c r="J178" s="7" t="s">
        <v>18</v>
      </c>
      <c r="K178" s="7" t="str">
        <f>VLOOKUP(J178,Introduction!$B$6:$C$14,2)</f>
        <v>Midlands</v>
      </c>
      <c r="L178" s="7">
        <v>826</v>
      </c>
      <c r="M178" s="8" t="s">
        <v>496</v>
      </c>
    </row>
    <row r="179" spans="1:13" ht="19.95" customHeight="1" x14ac:dyDescent="0.25">
      <c r="A179" s="40">
        <v>45474</v>
      </c>
      <c r="B179" s="46">
        <f>MONTH(Table13[[#This Row],[YearMonth]])</f>
        <v>7</v>
      </c>
      <c r="C179" s="5" t="s">
        <v>233</v>
      </c>
      <c r="D179" s="6" t="s">
        <v>341</v>
      </c>
      <c r="E179" s="6">
        <f>IF(Table13[[#This Row],[Quartile]]="TopQuartile", 1,
 IF(Table13[[#This Row],[Quartile]]="SecondQuartile", 2,
 IF(Table13[[#This Row],[Quartile]]="ThirdQuartile", 3,
 IF(Table13[[#This Row],[Quartile]]="FourthQuartile", 4, ""))))</f>
        <v>3</v>
      </c>
      <c r="F179" s="5" t="s">
        <v>518</v>
      </c>
      <c r="G179" s="5" t="str" cm="1">
        <f t="array" ref="G179">IFERROR(
  INDEX(Table13[Quartile],
    MATCH(1,
      (Table13[[#This Row],[OrgName]]=Table13[OrgName]) *
      (Table13[[#This Row],[Month Number]]-1=Table13[Month Number]),
    0)
  ),
"")</f>
        <v>ThirdQuartile</v>
      </c>
      <c r="H179" s="5">
        <f>IF(Table13[[#This Row],[Previous Quartile]]="TopQuartile", 1,
 IF(Table13[[#This Row],[Previous Quartile]]="SecondQuartile", 2,
 IF(Table13[[#This Row],[Previous Quartile]]="ThirdQuartile", 3,
 IF(Table13[[#This Row],[Previous Quartile]]="FourthQuartile", 4, ""))))</f>
        <v>3</v>
      </c>
      <c r="I179" s="5" t="str">
        <f>IF(Table13[[#This Row],[Previous Quartile Value]]="", "",
   IF(Table13[[#This Row],[Quartile Value]] &lt; Table13[[#This Row],[Previous Quartile Value]], "Improved",
   IF(Table13[[#This Row],[Quartile Value]] &gt; Table13[[#This Row],[Previous Quartile Value]], "Dropped", "Same")))</f>
        <v>Same</v>
      </c>
      <c r="J179" s="7" t="s">
        <v>18</v>
      </c>
      <c r="K179" s="7" t="str">
        <f>VLOOKUP(J179,Introduction!$B$6:$C$14,2)</f>
        <v>Midlands</v>
      </c>
      <c r="L179" s="7">
        <v>820</v>
      </c>
      <c r="M179" s="8" t="s">
        <v>496</v>
      </c>
    </row>
    <row r="180" spans="1:13" ht="19.95" customHeight="1" x14ac:dyDescent="0.25">
      <c r="A180" s="40">
        <v>45474</v>
      </c>
      <c r="B180" s="46">
        <f>MONTH(Table13[[#This Row],[YearMonth]])</f>
        <v>7</v>
      </c>
      <c r="C180" s="5" t="s">
        <v>238</v>
      </c>
      <c r="D180" s="6" t="s">
        <v>341</v>
      </c>
      <c r="E180" s="6">
        <f>IF(Table13[[#This Row],[Quartile]]="TopQuartile", 1,
 IF(Table13[[#This Row],[Quartile]]="SecondQuartile", 2,
 IF(Table13[[#This Row],[Quartile]]="ThirdQuartile", 3,
 IF(Table13[[#This Row],[Quartile]]="FourthQuartile", 4, ""))))</f>
        <v>3</v>
      </c>
      <c r="F180" s="5" t="s">
        <v>519</v>
      </c>
      <c r="G180" s="5" t="str" cm="1">
        <f t="array" ref="G180">IFERROR(
  INDEX(Table13[Quartile],
    MATCH(1,
      (Table13[[#This Row],[OrgName]]=Table13[OrgName]) *
      (Table13[[#This Row],[Month Number]]-1=Table13[Month Number]),
    0)
  ),
"")</f>
        <v>ThirdQuartile</v>
      </c>
      <c r="H180" s="5">
        <f>IF(Table13[[#This Row],[Previous Quartile]]="TopQuartile", 1,
 IF(Table13[[#This Row],[Previous Quartile]]="SecondQuartile", 2,
 IF(Table13[[#This Row],[Previous Quartile]]="ThirdQuartile", 3,
 IF(Table13[[#This Row],[Previous Quartile]]="FourthQuartile", 4, ""))))</f>
        <v>3</v>
      </c>
      <c r="I180" s="5" t="str">
        <f>IF(Table13[[#This Row],[Previous Quartile Value]]="", "",
   IF(Table13[[#This Row],[Quartile Value]] &lt; Table13[[#This Row],[Previous Quartile Value]], "Improved",
   IF(Table13[[#This Row],[Quartile Value]] &gt; Table13[[#This Row],[Previous Quartile Value]], "Dropped", "Same")))</f>
        <v>Same</v>
      </c>
      <c r="J180" s="7" t="s">
        <v>24</v>
      </c>
      <c r="K180" s="7" t="str">
        <f>VLOOKUP(J180,Introduction!$B$6:$C$14,2)</f>
        <v>North East and Yorkshire</v>
      </c>
      <c r="L180" s="7">
        <v>845</v>
      </c>
      <c r="M180" s="8" t="s">
        <v>496</v>
      </c>
    </row>
    <row r="181" spans="1:13" ht="19.95" customHeight="1" x14ac:dyDescent="0.25">
      <c r="A181" s="40">
        <v>45474</v>
      </c>
      <c r="B181" s="46">
        <f>MONTH(Table13[[#This Row],[YearMonth]])</f>
        <v>7</v>
      </c>
      <c r="C181" s="5" t="s">
        <v>248</v>
      </c>
      <c r="D181" s="6" t="s">
        <v>350</v>
      </c>
      <c r="E181" s="6">
        <f>IF(Table13[[#This Row],[Quartile]]="TopQuartile", 1,
 IF(Table13[[#This Row],[Quartile]]="SecondQuartile", 2,
 IF(Table13[[#This Row],[Quartile]]="ThirdQuartile", 3,
 IF(Table13[[#This Row],[Quartile]]="FourthQuartile", 4, ""))))</f>
        <v>4</v>
      </c>
      <c r="F181" s="5" t="s">
        <v>520</v>
      </c>
      <c r="G181" s="5" t="str" cm="1">
        <f t="array" ref="G181">IFERROR(
  INDEX(Table13[Quartile],
    MATCH(1,
      (Table13[[#This Row],[OrgName]]=Table13[OrgName]) *
      (Table13[[#This Row],[Month Number]]-1=Table13[Month Number]),
    0)
  ),
"")</f>
        <v>FourthQuartile</v>
      </c>
      <c r="H181" s="5">
        <f>IF(Table13[[#This Row],[Previous Quartile]]="TopQuartile", 1,
 IF(Table13[[#This Row],[Previous Quartile]]="SecondQuartile", 2,
 IF(Table13[[#This Row],[Previous Quartile]]="ThirdQuartile", 3,
 IF(Table13[[#This Row],[Previous Quartile]]="FourthQuartile", 4, ""))))</f>
        <v>4</v>
      </c>
      <c r="I181" s="5" t="str">
        <f>IF(Table13[[#This Row],[Previous Quartile Value]]="", "",
   IF(Table13[[#This Row],[Quartile Value]] &lt; Table13[[#This Row],[Previous Quartile Value]], "Improved",
   IF(Table13[[#This Row],[Quartile Value]] &gt; Table13[[#This Row],[Previous Quartile Value]], "Dropped", "Same")))</f>
        <v>Same</v>
      </c>
      <c r="J181" s="7" t="s">
        <v>12</v>
      </c>
      <c r="K181" s="7" t="str">
        <f>VLOOKUP(J181,Introduction!$B$6:$C$14,2)</f>
        <v>London</v>
      </c>
      <c r="L181" s="7">
        <v>848</v>
      </c>
      <c r="M181" s="8" t="s">
        <v>496</v>
      </c>
    </row>
    <row r="182" spans="1:13" ht="19.95" customHeight="1" x14ac:dyDescent="0.25">
      <c r="A182" s="40">
        <v>45474</v>
      </c>
      <c r="B182" s="46">
        <f>MONTH(Table13[[#This Row],[YearMonth]])</f>
        <v>7</v>
      </c>
      <c r="C182" s="5" t="s">
        <v>259</v>
      </c>
      <c r="D182" s="6" t="s">
        <v>350</v>
      </c>
      <c r="E182" s="6">
        <f>IF(Table13[[#This Row],[Quartile]]="TopQuartile", 1,
 IF(Table13[[#This Row],[Quartile]]="SecondQuartile", 2,
 IF(Table13[[#This Row],[Quartile]]="ThirdQuartile", 3,
 IF(Table13[[#This Row],[Quartile]]="FourthQuartile", 4, ""))))</f>
        <v>4</v>
      </c>
      <c r="F182" s="5" t="s">
        <v>521</v>
      </c>
      <c r="G182" s="5" t="str" cm="1">
        <f t="array" ref="G182">IFERROR(
  INDEX(Table13[Quartile],
    MATCH(1,
      (Table13[[#This Row],[OrgName]]=Table13[OrgName]) *
      (Table13[[#This Row],[Month Number]]-1=Table13[Month Number]),
    0)
  ),
"")</f>
        <v>FourthQuartile</v>
      </c>
      <c r="H182" s="5">
        <f>IF(Table13[[#This Row],[Previous Quartile]]="TopQuartile", 1,
 IF(Table13[[#This Row],[Previous Quartile]]="SecondQuartile", 2,
 IF(Table13[[#This Row],[Previous Quartile]]="ThirdQuartile", 3,
 IF(Table13[[#This Row],[Previous Quartile]]="FourthQuartile", 4, ""))))</f>
        <v>4</v>
      </c>
      <c r="I182" s="5" t="str">
        <f>IF(Table13[[#This Row],[Previous Quartile Value]]="", "",
   IF(Table13[[#This Row],[Quartile Value]] &lt; Table13[[#This Row],[Previous Quartile Value]], "Improved",
   IF(Table13[[#This Row],[Quartile Value]] &gt; Table13[[#This Row],[Previous Quartile Value]], "Dropped", "Same")))</f>
        <v>Same</v>
      </c>
      <c r="J182" s="7" t="s">
        <v>12</v>
      </c>
      <c r="K182" s="7" t="str">
        <f>VLOOKUP(J182,Introduction!$B$6:$C$14,2)</f>
        <v>London</v>
      </c>
      <c r="L182" s="7">
        <v>824</v>
      </c>
      <c r="M182" s="8" t="s">
        <v>496</v>
      </c>
    </row>
    <row r="183" spans="1:13" ht="19.95" customHeight="1" x14ac:dyDescent="0.25">
      <c r="A183" s="40">
        <v>45474</v>
      </c>
      <c r="B183" s="46">
        <f>MONTH(Table13[[#This Row],[YearMonth]])</f>
        <v>7</v>
      </c>
      <c r="C183" s="5" t="s">
        <v>260</v>
      </c>
      <c r="D183" s="6" t="s">
        <v>350</v>
      </c>
      <c r="E183" s="6">
        <f>IF(Table13[[#This Row],[Quartile]]="TopQuartile", 1,
 IF(Table13[[#This Row],[Quartile]]="SecondQuartile", 2,
 IF(Table13[[#This Row],[Quartile]]="ThirdQuartile", 3,
 IF(Table13[[#This Row],[Quartile]]="FourthQuartile", 4, ""))))</f>
        <v>4</v>
      </c>
      <c r="F183" s="5" t="s">
        <v>522</v>
      </c>
      <c r="G183" s="5" t="str" cm="1">
        <f t="array" ref="G183">IFERROR(
  INDEX(Table13[Quartile],
    MATCH(1,
      (Table13[[#This Row],[OrgName]]=Table13[OrgName]) *
      (Table13[[#This Row],[Month Number]]-1=Table13[Month Number]),
    0)
  ),
"")</f>
        <v>FourthQuartile</v>
      </c>
      <c r="H183" s="5">
        <f>IF(Table13[[#This Row],[Previous Quartile]]="TopQuartile", 1,
 IF(Table13[[#This Row],[Previous Quartile]]="SecondQuartile", 2,
 IF(Table13[[#This Row],[Previous Quartile]]="ThirdQuartile", 3,
 IF(Table13[[#This Row],[Previous Quartile]]="FourthQuartile", 4, ""))))</f>
        <v>4</v>
      </c>
      <c r="I183" s="5" t="str">
        <f>IF(Table13[[#This Row],[Previous Quartile Value]]="", "",
   IF(Table13[[#This Row],[Quartile Value]] &lt; Table13[[#This Row],[Previous Quartile Value]], "Improved",
   IF(Table13[[#This Row],[Quartile Value]] &gt; Table13[[#This Row],[Previous Quartile Value]], "Dropped", "Same")))</f>
        <v>Same</v>
      </c>
      <c r="J183" s="7" t="s">
        <v>24</v>
      </c>
      <c r="K183" s="7" t="str">
        <f>VLOOKUP(J183,Introduction!$B$6:$C$14,2)</f>
        <v>North East and Yorkshire</v>
      </c>
      <c r="L183" s="7">
        <v>833</v>
      </c>
      <c r="M183" s="8" t="s">
        <v>496</v>
      </c>
    </row>
    <row r="184" spans="1:13" ht="19.95" customHeight="1" x14ac:dyDescent="0.25">
      <c r="A184" s="40">
        <v>45474</v>
      </c>
      <c r="B184" s="46">
        <f>MONTH(Table13[[#This Row],[YearMonth]])</f>
        <v>7</v>
      </c>
      <c r="C184" s="5" t="s">
        <v>261</v>
      </c>
      <c r="D184" s="6" t="s">
        <v>350</v>
      </c>
      <c r="E184" s="6">
        <f>IF(Table13[[#This Row],[Quartile]]="TopQuartile", 1,
 IF(Table13[[#This Row],[Quartile]]="SecondQuartile", 2,
 IF(Table13[[#This Row],[Quartile]]="ThirdQuartile", 3,
 IF(Table13[[#This Row],[Quartile]]="FourthQuartile", 4, ""))))</f>
        <v>4</v>
      </c>
      <c r="F184" s="5" t="s">
        <v>523</v>
      </c>
      <c r="G184" s="5" t="str" cm="1">
        <f t="array" ref="G184">IFERROR(
  INDEX(Table13[Quartile],
    MATCH(1,
      (Table13[[#This Row],[OrgName]]=Table13[OrgName]) *
      (Table13[[#This Row],[Month Number]]-1=Table13[Month Number]),
    0)
  ),
"")</f>
        <v>FourthQuartile</v>
      </c>
      <c r="H184" s="5">
        <f>IF(Table13[[#This Row],[Previous Quartile]]="TopQuartile", 1,
 IF(Table13[[#This Row],[Previous Quartile]]="SecondQuartile", 2,
 IF(Table13[[#This Row],[Previous Quartile]]="ThirdQuartile", 3,
 IF(Table13[[#This Row],[Previous Quartile]]="FourthQuartile", 4, ""))))</f>
        <v>4</v>
      </c>
      <c r="I184" s="5" t="str">
        <f>IF(Table13[[#This Row],[Previous Quartile Value]]="", "",
   IF(Table13[[#This Row],[Quartile Value]] &lt; Table13[[#This Row],[Previous Quartile Value]], "Improved",
   IF(Table13[[#This Row],[Quartile Value]] &gt; Table13[[#This Row],[Previous Quartile Value]], "Dropped", "Same")))</f>
        <v>Same</v>
      </c>
      <c r="J184" s="7" t="s">
        <v>14</v>
      </c>
      <c r="K184" s="7" t="str">
        <f>VLOOKUP(J184,Introduction!$B$6:$C$14,2)</f>
        <v>South West</v>
      </c>
      <c r="L184" s="7">
        <v>83</v>
      </c>
      <c r="M184" s="8" t="s">
        <v>496</v>
      </c>
    </row>
    <row r="185" spans="1:13" ht="19.95" customHeight="1" x14ac:dyDescent="0.25">
      <c r="A185" s="40">
        <v>45474</v>
      </c>
      <c r="B185" s="46">
        <f>MONTH(Table13[[#This Row],[YearMonth]])</f>
        <v>7</v>
      </c>
      <c r="C185" s="5" t="s">
        <v>276</v>
      </c>
      <c r="D185" s="6" t="s">
        <v>350</v>
      </c>
      <c r="E185" s="6">
        <f>IF(Table13[[#This Row],[Quartile]]="TopQuartile", 1,
 IF(Table13[[#This Row],[Quartile]]="SecondQuartile", 2,
 IF(Table13[[#This Row],[Quartile]]="ThirdQuartile", 3,
 IF(Table13[[#This Row],[Quartile]]="FourthQuartile", 4, ""))))</f>
        <v>4</v>
      </c>
      <c r="F185" s="5" t="s">
        <v>524</v>
      </c>
      <c r="G185" s="5" t="str" cm="1">
        <f t="array" ref="G185">IFERROR(
  INDEX(Table13[Quartile],
    MATCH(1,
      (Table13[[#This Row],[OrgName]]=Table13[OrgName]) *
      (Table13[[#This Row],[Month Number]]-1=Table13[Month Number]),
    0)
  ),
"")</f>
        <v>FourthQuartile</v>
      </c>
      <c r="H185" s="5">
        <f>IF(Table13[[#This Row],[Previous Quartile]]="TopQuartile", 1,
 IF(Table13[[#This Row],[Previous Quartile]]="SecondQuartile", 2,
 IF(Table13[[#This Row],[Previous Quartile]]="ThirdQuartile", 3,
 IF(Table13[[#This Row],[Previous Quartile]]="FourthQuartile", 4, ""))))</f>
        <v>4</v>
      </c>
      <c r="I185" s="5" t="str">
        <f>IF(Table13[[#This Row],[Previous Quartile Value]]="", "",
   IF(Table13[[#This Row],[Quartile Value]] &lt; Table13[[#This Row],[Previous Quartile Value]], "Improved",
   IF(Table13[[#This Row],[Quartile Value]] &gt; Table13[[#This Row],[Previous Quartile Value]], "Dropped", "Same")))</f>
        <v>Same</v>
      </c>
      <c r="J185" s="7" t="s">
        <v>16</v>
      </c>
      <c r="K185" s="7" t="str">
        <f>VLOOKUP(J185,Introduction!$B$6:$C$14,2)</f>
        <v>South East</v>
      </c>
      <c r="L185" s="7">
        <v>74</v>
      </c>
      <c r="M185" s="8" t="s">
        <v>496</v>
      </c>
    </row>
    <row r="186" spans="1:13" ht="19.95" customHeight="1" x14ac:dyDescent="0.25">
      <c r="A186" s="40">
        <v>45474</v>
      </c>
      <c r="B186" s="46">
        <f>MONTH(Table13[[#This Row],[YearMonth]])</f>
        <v>7</v>
      </c>
      <c r="C186" s="5" t="s">
        <v>288</v>
      </c>
      <c r="D186" s="6" t="s">
        <v>350</v>
      </c>
      <c r="E186" s="6">
        <f>IF(Table13[[#This Row],[Quartile]]="TopQuartile", 1,
 IF(Table13[[#This Row],[Quartile]]="SecondQuartile", 2,
 IF(Table13[[#This Row],[Quartile]]="ThirdQuartile", 3,
 IF(Table13[[#This Row],[Quartile]]="FourthQuartile", 4, ""))))</f>
        <v>4</v>
      </c>
      <c r="F186" s="5" t="s">
        <v>525</v>
      </c>
      <c r="G186" s="5" t="str" cm="1">
        <f t="array" ref="G186">IFERROR(
  INDEX(Table13[Quartile],
    MATCH(1,
      (Table13[[#This Row],[OrgName]]=Table13[OrgName]) *
      (Table13[[#This Row],[Month Number]]-1=Table13[Month Number]),
    0)
  ),
"")</f>
        <v>FourthQuartile</v>
      </c>
      <c r="H186" s="5">
        <f>IF(Table13[[#This Row],[Previous Quartile]]="TopQuartile", 1,
 IF(Table13[[#This Row],[Previous Quartile]]="SecondQuartile", 2,
 IF(Table13[[#This Row],[Previous Quartile]]="ThirdQuartile", 3,
 IF(Table13[[#This Row],[Previous Quartile]]="FourthQuartile", 4, ""))))</f>
        <v>4</v>
      </c>
      <c r="I186" s="5" t="str">
        <f>IF(Table13[[#This Row],[Previous Quartile Value]]="", "",
   IF(Table13[[#This Row],[Quartile Value]] &lt; Table13[[#This Row],[Previous Quartile Value]], "Improved",
   IF(Table13[[#This Row],[Quartile Value]] &gt; Table13[[#This Row],[Previous Quartile Value]], "Dropped", "Same")))</f>
        <v>Same</v>
      </c>
      <c r="J186" s="7" t="s">
        <v>14</v>
      </c>
      <c r="K186" s="7" t="str">
        <f>VLOOKUP(J186,Introduction!$B$6:$C$14,2)</f>
        <v>South West</v>
      </c>
      <c r="L186" s="7">
        <v>832</v>
      </c>
      <c r="M186" s="8" t="s">
        <v>496</v>
      </c>
    </row>
    <row r="187" spans="1:13" ht="19.95" customHeight="1" x14ac:dyDescent="0.25">
      <c r="A187" s="40">
        <v>45474</v>
      </c>
      <c r="B187" s="46">
        <f>MONTH(Table13[[#This Row],[YearMonth]])</f>
        <v>7</v>
      </c>
      <c r="C187" s="5" t="s">
        <v>291</v>
      </c>
      <c r="D187" s="6" t="s">
        <v>350</v>
      </c>
      <c r="E187" s="6">
        <f>IF(Table13[[#This Row],[Quartile]]="TopQuartile", 1,
 IF(Table13[[#This Row],[Quartile]]="SecondQuartile", 2,
 IF(Table13[[#This Row],[Quartile]]="ThirdQuartile", 3,
 IF(Table13[[#This Row],[Quartile]]="FourthQuartile", 4, ""))))</f>
        <v>4</v>
      </c>
      <c r="F187" s="5" t="s">
        <v>526</v>
      </c>
      <c r="G187" s="5" t="str" cm="1">
        <f t="array" ref="G187">IFERROR(
  INDEX(Table13[Quartile],
    MATCH(1,
      (Table13[[#This Row],[OrgName]]=Table13[OrgName]) *
      (Table13[[#This Row],[Month Number]]-1=Table13[Month Number]),
    0)
  ),
"")</f>
        <v>FourthQuartile</v>
      </c>
      <c r="H187" s="5">
        <f>IF(Table13[[#This Row],[Previous Quartile]]="TopQuartile", 1,
 IF(Table13[[#This Row],[Previous Quartile]]="SecondQuartile", 2,
 IF(Table13[[#This Row],[Previous Quartile]]="ThirdQuartile", 3,
 IF(Table13[[#This Row],[Previous Quartile]]="FourthQuartile", 4, ""))))</f>
        <v>4</v>
      </c>
      <c r="I187" s="5" t="str">
        <f>IF(Table13[[#This Row],[Previous Quartile Value]]="", "",
   IF(Table13[[#This Row],[Quartile Value]] &lt; Table13[[#This Row],[Previous Quartile Value]], "Improved",
   IF(Table13[[#This Row],[Quartile Value]] &gt; Table13[[#This Row],[Previous Quartile Value]], "Dropped", "Same")))</f>
        <v>Same</v>
      </c>
      <c r="J187" s="7" t="s">
        <v>18</v>
      </c>
      <c r="K187" s="7" t="str">
        <f>VLOOKUP(J187,Introduction!$B$6:$C$14,2)</f>
        <v>Midlands</v>
      </c>
      <c r="L187" s="7">
        <v>445</v>
      </c>
      <c r="M187" s="8" t="s">
        <v>496</v>
      </c>
    </row>
    <row r="188" spans="1:13" ht="19.95" customHeight="1" x14ac:dyDescent="0.25">
      <c r="A188" s="40">
        <v>45474</v>
      </c>
      <c r="B188" s="46">
        <f>MONTH(Table13[[#This Row],[YearMonth]])</f>
        <v>7</v>
      </c>
      <c r="C188" s="5" t="s">
        <v>297</v>
      </c>
      <c r="D188" s="6" t="s">
        <v>350</v>
      </c>
      <c r="E188" s="6">
        <f>IF(Table13[[#This Row],[Quartile]]="TopQuartile", 1,
 IF(Table13[[#This Row],[Quartile]]="SecondQuartile", 2,
 IF(Table13[[#This Row],[Quartile]]="ThirdQuartile", 3,
 IF(Table13[[#This Row],[Quartile]]="FourthQuartile", 4, ""))))</f>
        <v>4</v>
      </c>
      <c r="F188" s="5" t="s">
        <v>527</v>
      </c>
      <c r="G188" s="5" t="str" cm="1">
        <f t="array" ref="G188">IFERROR(
  INDEX(Table13[Quartile],
    MATCH(1,
      (Table13[[#This Row],[OrgName]]=Table13[OrgName]) *
      (Table13[[#This Row],[Month Number]]-1=Table13[Month Number]),
    0)
  ),
"")</f>
        <v>FourthQuartile</v>
      </c>
      <c r="H188" s="5">
        <f>IF(Table13[[#This Row],[Previous Quartile]]="TopQuartile", 1,
 IF(Table13[[#This Row],[Previous Quartile]]="SecondQuartile", 2,
 IF(Table13[[#This Row],[Previous Quartile]]="ThirdQuartile", 3,
 IF(Table13[[#This Row],[Previous Quartile]]="FourthQuartile", 4, ""))))</f>
        <v>4</v>
      </c>
      <c r="I188" s="5" t="str">
        <f>IF(Table13[[#This Row],[Previous Quartile Value]]="", "",
   IF(Table13[[#This Row],[Quartile Value]] &lt; Table13[[#This Row],[Previous Quartile Value]], "Improved",
   IF(Table13[[#This Row],[Quartile Value]] &gt; Table13[[#This Row],[Previous Quartile Value]], "Dropped", "Same")))</f>
        <v>Same</v>
      </c>
      <c r="J188" s="7" t="s">
        <v>16</v>
      </c>
      <c r="K188" s="7" t="str">
        <f>VLOOKUP(J188,Introduction!$B$6:$C$14,2)</f>
        <v>South East</v>
      </c>
      <c r="L188" s="7">
        <v>78</v>
      </c>
      <c r="M188" s="8" t="s">
        <v>496</v>
      </c>
    </row>
    <row r="189" spans="1:13" ht="19.95" customHeight="1" x14ac:dyDescent="0.25">
      <c r="A189" s="40">
        <v>45474</v>
      </c>
      <c r="B189" s="46">
        <f>MONTH(Table13[[#This Row],[YearMonth]])</f>
        <v>7</v>
      </c>
      <c r="C189" s="5" t="s">
        <v>314</v>
      </c>
      <c r="D189" s="6" t="s">
        <v>350</v>
      </c>
      <c r="E189" s="6">
        <f>IF(Table13[[#This Row],[Quartile]]="TopQuartile", 1,
 IF(Table13[[#This Row],[Quartile]]="SecondQuartile", 2,
 IF(Table13[[#This Row],[Quartile]]="ThirdQuartile", 3,
 IF(Table13[[#This Row],[Quartile]]="FourthQuartile", 4, ""))))</f>
        <v>4</v>
      </c>
      <c r="F189" s="5" t="s">
        <v>528</v>
      </c>
      <c r="G189" s="5" t="str" cm="1">
        <f t="array" ref="G189">IFERROR(
  INDEX(Table13[Quartile],
    MATCH(1,
      (Table13[[#This Row],[OrgName]]=Table13[OrgName]) *
      (Table13[[#This Row],[Month Number]]-1=Table13[Month Number]),
    0)
  ),
"")</f>
        <v>FourthQuartile</v>
      </c>
      <c r="H189" s="5">
        <f>IF(Table13[[#This Row],[Previous Quartile]]="TopQuartile", 1,
 IF(Table13[[#This Row],[Previous Quartile]]="SecondQuartile", 2,
 IF(Table13[[#This Row],[Previous Quartile]]="ThirdQuartile", 3,
 IF(Table13[[#This Row],[Previous Quartile]]="FourthQuartile", 4, ""))))</f>
        <v>4</v>
      </c>
      <c r="I189" s="5" t="str">
        <f>IF(Table13[[#This Row],[Previous Quartile Value]]="", "",
   IF(Table13[[#This Row],[Quartile Value]] &lt; Table13[[#This Row],[Previous Quartile Value]], "Improved",
   IF(Table13[[#This Row],[Quartile Value]] &gt; Table13[[#This Row],[Previous Quartile Value]], "Dropped", "Same")))</f>
        <v>Same</v>
      </c>
      <c r="J189" s="7" t="s">
        <v>20</v>
      </c>
      <c r="K189" s="7" t="str">
        <f>VLOOKUP(J189,Introduction!$B$6:$C$14,2)</f>
        <v>East of England</v>
      </c>
      <c r="L189" s="7">
        <v>829</v>
      </c>
      <c r="M189" s="8" t="s">
        <v>496</v>
      </c>
    </row>
    <row r="190" spans="1:13" ht="19.95" customHeight="1" x14ac:dyDescent="0.25">
      <c r="A190" s="40">
        <v>45474</v>
      </c>
      <c r="B190" s="46">
        <f>MONTH(Table13[[#This Row],[YearMonth]])</f>
        <v>7</v>
      </c>
      <c r="C190" s="5" t="s">
        <v>28</v>
      </c>
      <c r="D190" s="6" t="s">
        <v>330</v>
      </c>
      <c r="E190" s="6">
        <f>IF(Table13[[#This Row],[Quartile]]="TopQuartile", 1,
 IF(Table13[[#This Row],[Quartile]]="SecondQuartile", 2,
 IF(Table13[[#This Row],[Quartile]]="ThirdQuartile", 3,
 IF(Table13[[#This Row],[Quartile]]="FourthQuartile", 4, ""))))</f>
        <v>1</v>
      </c>
      <c r="F190" s="5" t="s">
        <v>529</v>
      </c>
      <c r="G190" s="5" t="str" cm="1">
        <f t="array" ref="G190">IFERROR(
  INDEX(Table13[Quartile],
    MATCH(1,
      (Table13[[#This Row],[OrgName]]=Table13[OrgName]) *
      (Table13[[#This Row],[Month Number]]-1=Table13[Month Number]),
    0)
  ),
"")</f>
        <v>TopQuartile</v>
      </c>
      <c r="H190" s="5">
        <f>IF(Table13[[#This Row],[Previous Quartile]]="TopQuartile", 1,
 IF(Table13[[#This Row],[Previous Quartile]]="SecondQuartile", 2,
 IF(Table13[[#This Row],[Previous Quartile]]="ThirdQuartile", 3,
 IF(Table13[[#This Row],[Previous Quartile]]="FourthQuartile", 4, ""))))</f>
        <v>1</v>
      </c>
      <c r="I190" s="5" t="str">
        <f>IF(Table13[[#This Row],[Previous Quartile Value]]="", "",
   IF(Table13[[#This Row],[Quartile Value]] &lt; Table13[[#This Row],[Previous Quartile Value]], "Improved",
   IF(Table13[[#This Row],[Quartile Value]] &gt; Table13[[#This Row],[Previous Quartile Value]], "Dropped", "Same")))</f>
        <v>Same</v>
      </c>
      <c r="J190" s="7" t="s">
        <v>16</v>
      </c>
      <c r="K190" s="7" t="str">
        <f>VLOOKUP(J190,Introduction!$B$6:$C$14,2)</f>
        <v>South East</v>
      </c>
      <c r="L190" s="7">
        <v>146</v>
      </c>
      <c r="M190" s="8" t="s">
        <v>530</v>
      </c>
    </row>
    <row r="191" spans="1:13" ht="19.95" customHeight="1" x14ac:dyDescent="0.25">
      <c r="A191" s="40">
        <v>45474</v>
      </c>
      <c r="B191" s="46">
        <f>MONTH(Table13[[#This Row],[YearMonth]])</f>
        <v>7</v>
      </c>
      <c r="C191" s="5" t="s">
        <v>29</v>
      </c>
      <c r="D191" s="6" t="s">
        <v>330</v>
      </c>
      <c r="E191" s="6">
        <f>IF(Table13[[#This Row],[Quartile]]="TopQuartile", 1,
 IF(Table13[[#This Row],[Quartile]]="SecondQuartile", 2,
 IF(Table13[[#This Row],[Quartile]]="ThirdQuartile", 3,
 IF(Table13[[#This Row],[Quartile]]="FourthQuartile", 4, ""))))</f>
        <v>1</v>
      </c>
      <c r="F191" s="5" t="s">
        <v>531</v>
      </c>
      <c r="G191" s="5" t="str" cm="1">
        <f t="array" ref="G191">IFERROR(
  INDEX(Table13[Quartile],
    MATCH(1,
      (Table13[[#This Row],[OrgName]]=Table13[OrgName]) *
      (Table13[[#This Row],[Month Number]]-1=Table13[Month Number]),
    0)
  ),
"")</f>
        <v>TopQuartile</v>
      </c>
      <c r="H191" s="5">
        <f>IF(Table13[[#This Row],[Previous Quartile]]="TopQuartile", 1,
 IF(Table13[[#This Row],[Previous Quartile]]="SecondQuartile", 2,
 IF(Table13[[#This Row],[Previous Quartile]]="ThirdQuartile", 3,
 IF(Table13[[#This Row],[Previous Quartile]]="FourthQuartile", 4, ""))))</f>
        <v>1</v>
      </c>
      <c r="I191" s="5" t="str">
        <f>IF(Table13[[#This Row],[Previous Quartile Value]]="", "",
   IF(Table13[[#This Row],[Quartile Value]] &lt; Table13[[#This Row],[Previous Quartile Value]], "Improved",
   IF(Table13[[#This Row],[Quartile Value]] &gt; Table13[[#This Row],[Previous Quartile Value]], "Dropped", "Same")))</f>
        <v>Same</v>
      </c>
      <c r="J191" s="7" t="s">
        <v>14</v>
      </c>
      <c r="K191" s="7" t="str">
        <f>VLOOKUP(J191,Introduction!$B$6:$C$14,2)</f>
        <v>South West</v>
      </c>
      <c r="L191" s="7">
        <v>843</v>
      </c>
      <c r="M191" s="8" t="s">
        <v>530</v>
      </c>
    </row>
    <row r="192" spans="1:13" ht="19.95" customHeight="1" x14ac:dyDescent="0.25">
      <c r="A192" s="40">
        <v>45474</v>
      </c>
      <c r="B192" s="46">
        <f>MONTH(Table13[[#This Row],[YearMonth]])</f>
        <v>7</v>
      </c>
      <c r="C192" s="5" t="s">
        <v>30</v>
      </c>
      <c r="D192" s="6" t="s">
        <v>330</v>
      </c>
      <c r="E192" s="6">
        <f>IF(Table13[[#This Row],[Quartile]]="TopQuartile", 1,
 IF(Table13[[#This Row],[Quartile]]="SecondQuartile", 2,
 IF(Table13[[#This Row],[Quartile]]="ThirdQuartile", 3,
 IF(Table13[[#This Row],[Quartile]]="FourthQuartile", 4, ""))))</f>
        <v>1</v>
      </c>
      <c r="F192" s="5" t="s">
        <v>532</v>
      </c>
      <c r="G192" s="5" t="str" cm="1">
        <f t="array" ref="G192">IFERROR(
  INDEX(Table13[Quartile],
    MATCH(1,
      (Table13[[#This Row],[OrgName]]=Table13[OrgName]) *
      (Table13[[#This Row],[Month Number]]-1=Table13[Month Number]),
    0)
  ),
"")</f>
        <v>SecondQuartile</v>
      </c>
      <c r="H192" s="5">
        <f>IF(Table13[[#This Row],[Previous Quartile]]="TopQuartile", 1,
 IF(Table13[[#This Row],[Previous Quartile]]="SecondQuartile", 2,
 IF(Table13[[#This Row],[Previous Quartile]]="ThirdQuartile", 3,
 IF(Table13[[#This Row],[Previous Quartile]]="FourthQuartile", 4, ""))))</f>
        <v>2</v>
      </c>
      <c r="I192" s="5" t="str">
        <f>IF(Table13[[#This Row],[Previous Quartile Value]]="", "",
   IF(Table13[[#This Row],[Quartile Value]] &lt; Table13[[#This Row],[Previous Quartile Value]], "Improved",
   IF(Table13[[#This Row],[Quartile Value]] &gt; Table13[[#This Row],[Previous Quartile Value]], "Dropped", "Same")))</f>
        <v>Improved</v>
      </c>
      <c r="J192" s="7" t="s">
        <v>14</v>
      </c>
      <c r="K192" s="7" t="str">
        <f>VLOOKUP(J192,Introduction!$B$6:$C$14,2)</f>
        <v>South West</v>
      </c>
      <c r="L192" s="7">
        <v>461</v>
      </c>
      <c r="M192" s="8" t="s">
        <v>530</v>
      </c>
    </row>
    <row r="193" spans="1:13" ht="19.95" customHeight="1" x14ac:dyDescent="0.25">
      <c r="A193" s="40">
        <v>45474</v>
      </c>
      <c r="B193" s="46">
        <f>MONTH(Table13[[#This Row],[YearMonth]])</f>
        <v>7</v>
      </c>
      <c r="C193" s="5" t="s">
        <v>42</v>
      </c>
      <c r="D193" s="6" t="s">
        <v>330</v>
      </c>
      <c r="E193" s="6">
        <f>IF(Table13[[#This Row],[Quartile]]="TopQuartile", 1,
 IF(Table13[[#This Row],[Quartile]]="SecondQuartile", 2,
 IF(Table13[[#This Row],[Quartile]]="ThirdQuartile", 3,
 IF(Table13[[#This Row],[Quartile]]="FourthQuartile", 4, ""))))</f>
        <v>1</v>
      </c>
      <c r="F193" s="5" t="s">
        <v>533</v>
      </c>
      <c r="G193" s="5" t="str" cm="1">
        <f t="array" ref="G193">IFERROR(
  INDEX(Table13[Quartile],
    MATCH(1,
      (Table13[[#This Row],[OrgName]]=Table13[OrgName]) *
      (Table13[[#This Row],[Month Number]]-1=Table13[Month Number]),
    0)
  ),
"")</f>
        <v>TopQuartile</v>
      </c>
      <c r="H193" s="5">
        <f>IF(Table13[[#This Row],[Previous Quartile]]="TopQuartile", 1,
 IF(Table13[[#This Row],[Previous Quartile]]="SecondQuartile", 2,
 IF(Table13[[#This Row],[Previous Quartile]]="ThirdQuartile", 3,
 IF(Table13[[#This Row],[Previous Quartile]]="FourthQuartile", 4, ""))))</f>
        <v>1</v>
      </c>
      <c r="I193" s="5" t="str">
        <f>IF(Table13[[#This Row],[Previous Quartile Value]]="", "",
   IF(Table13[[#This Row],[Quartile Value]] &lt; Table13[[#This Row],[Previous Quartile Value]], "Improved",
   IF(Table13[[#This Row],[Quartile Value]] &gt; Table13[[#This Row],[Previous Quartile Value]], "Dropped", "Same")))</f>
        <v>Same</v>
      </c>
      <c r="J193" s="7" t="s">
        <v>18</v>
      </c>
      <c r="K193" s="7" t="str">
        <f>VLOOKUP(J193,Introduction!$B$6:$C$14,2)</f>
        <v>Midlands</v>
      </c>
      <c r="L193" s="7">
        <v>106</v>
      </c>
      <c r="M193" s="8" t="s">
        <v>530</v>
      </c>
    </row>
    <row r="194" spans="1:13" ht="19.95" customHeight="1" x14ac:dyDescent="0.25">
      <c r="A194" s="40">
        <v>45474</v>
      </c>
      <c r="B194" s="46">
        <f>MONTH(Table13[[#This Row],[YearMonth]])</f>
        <v>7</v>
      </c>
      <c r="C194" s="5" t="s">
        <v>48</v>
      </c>
      <c r="D194" s="6" t="s">
        <v>330</v>
      </c>
      <c r="E194" s="6">
        <f>IF(Table13[[#This Row],[Quartile]]="TopQuartile", 1,
 IF(Table13[[#This Row],[Quartile]]="SecondQuartile", 2,
 IF(Table13[[#This Row],[Quartile]]="ThirdQuartile", 3,
 IF(Table13[[#This Row],[Quartile]]="FourthQuartile", 4, ""))))</f>
        <v>1</v>
      </c>
      <c r="F194" s="5" t="s">
        <v>534</v>
      </c>
      <c r="G194" s="5" t="str" cm="1">
        <f t="array" ref="G194">IFERROR(
  INDEX(Table13[Quartile],
    MATCH(1,
      (Table13[[#This Row],[OrgName]]=Table13[OrgName]) *
      (Table13[[#This Row],[Month Number]]-1=Table13[Month Number]),
    0)
  ),
"")</f>
        <v>TopQuartile</v>
      </c>
      <c r="H194" s="5">
        <f>IF(Table13[[#This Row],[Previous Quartile]]="TopQuartile", 1,
 IF(Table13[[#This Row],[Previous Quartile]]="SecondQuartile", 2,
 IF(Table13[[#This Row],[Previous Quartile]]="ThirdQuartile", 3,
 IF(Table13[[#This Row],[Previous Quartile]]="FourthQuartile", 4, ""))))</f>
        <v>1</v>
      </c>
      <c r="I194" s="5" t="str">
        <f>IF(Table13[[#This Row],[Previous Quartile Value]]="", "",
   IF(Table13[[#This Row],[Quartile Value]] &lt; Table13[[#This Row],[Previous Quartile Value]], "Improved",
   IF(Table13[[#This Row],[Quartile Value]] &gt; Table13[[#This Row],[Previous Quartile Value]], "Dropped", "Same")))</f>
        <v>Same</v>
      </c>
      <c r="J194" s="7" t="s">
        <v>22</v>
      </c>
      <c r="K194" s="7" t="str">
        <f>VLOOKUP(J194,Introduction!$B$6:$C$14,2)</f>
        <v>North West</v>
      </c>
      <c r="L194" s="7">
        <v>493</v>
      </c>
      <c r="M194" s="8" t="s">
        <v>530</v>
      </c>
    </row>
    <row r="195" spans="1:13" ht="19.95" customHeight="1" x14ac:dyDescent="0.25">
      <c r="A195" s="40">
        <v>45474</v>
      </c>
      <c r="B195" s="46">
        <f>MONTH(Table13[[#This Row],[YearMonth]])</f>
        <v>7</v>
      </c>
      <c r="C195" s="5" t="s">
        <v>51</v>
      </c>
      <c r="D195" s="6" t="s">
        <v>330</v>
      </c>
      <c r="E195" s="6">
        <f>IF(Table13[[#This Row],[Quartile]]="TopQuartile", 1,
 IF(Table13[[#This Row],[Quartile]]="SecondQuartile", 2,
 IF(Table13[[#This Row],[Quartile]]="ThirdQuartile", 3,
 IF(Table13[[#This Row],[Quartile]]="FourthQuartile", 4, ""))))</f>
        <v>1</v>
      </c>
      <c r="F195" s="5" t="s">
        <v>535</v>
      </c>
      <c r="G195" s="5" t="str" cm="1">
        <f t="array" ref="G195">IFERROR(
  INDEX(Table13[Quartile],
    MATCH(1,
      (Table13[[#This Row],[OrgName]]=Table13[OrgName]) *
      (Table13[[#This Row],[Month Number]]-1=Table13[Month Number]),
    0)
  ),
"")</f>
        <v>TopQuartile</v>
      </c>
      <c r="H195" s="5">
        <f>IF(Table13[[#This Row],[Previous Quartile]]="TopQuartile", 1,
 IF(Table13[[#This Row],[Previous Quartile]]="SecondQuartile", 2,
 IF(Table13[[#This Row],[Previous Quartile]]="ThirdQuartile", 3,
 IF(Table13[[#This Row],[Previous Quartile]]="FourthQuartile", 4, ""))))</f>
        <v>1</v>
      </c>
      <c r="I195" s="5" t="str">
        <f>IF(Table13[[#This Row],[Previous Quartile Value]]="", "",
   IF(Table13[[#This Row],[Quartile Value]] &lt; Table13[[#This Row],[Previous Quartile Value]], "Improved",
   IF(Table13[[#This Row],[Quartile Value]] &gt; Table13[[#This Row],[Previous Quartile Value]], "Dropped", "Same")))</f>
        <v>Same</v>
      </c>
      <c r="J195" s="7" t="s">
        <v>16</v>
      </c>
      <c r="K195" s="7" t="str">
        <f>VLOOKUP(J195,Introduction!$B$6:$C$14,2)</f>
        <v>South East</v>
      </c>
      <c r="L195" s="7">
        <v>482</v>
      </c>
      <c r="M195" s="8" t="s">
        <v>530</v>
      </c>
    </row>
    <row r="196" spans="1:13" ht="19.95" customHeight="1" x14ac:dyDescent="0.25">
      <c r="A196" s="40">
        <v>45474</v>
      </c>
      <c r="B196" s="46">
        <f>MONTH(Table13[[#This Row],[YearMonth]])</f>
        <v>7</v>
      </c>
      <c r="C196" s="5" t="s">
        <v>63</v>
      </c>
      <c r="D196" s="6" t="s">
        <v>330</v>
      </c>
      <c r="E196" s="6">
        <f>IF(Table13[[#This Row],[Quartile]]="TopQuartile", 1,
 IF(Table13[[#This Row],[Quartile]]="SecondQuartile", 2,
 IF(Table13[[#This Row],[Quartile]]="ThirdQuartile", 3,
 IF(Table13[[#This Row],[Quartile]]="FourthQuartile", 4, ""))))</f>
        <v>1</v>
      </c>
      <c r="F196" s="5" t="s">
        <v>536</v>
      </c>
      <c r="G196" s="5" t="str" cm="1">
        <f t="array" ref="G196">IFERROR(
  INDEX(Table13[Quartile],
    MATCH(1,
      (Table13[[#This Row],[OrgName]]=Table13[OrgName]) *
      (Table13[[#This Row],[Month Number]]-1=Table13[Month Number]),
    0)
  ),
"")</f>
        <v>TopQuartile</v>
      </c>
      <c r="H196" s="5">
        <f>IF(Table13[[#This Row],[Previous Quartile]]="TopQuartile", 1,
 IF(Table13[[#This Row],[Previous Quartile]]="SecondQuartile", 2,
 IF(Table13[[#This Row],[Previous Quartile]]="ThirdQuartile", 3,
 IF(Table13[[#This Row],[Previous Quartile]]="FourthQuartile", 4, ""))))</f>
        <v>1</v>
      </c>
      <c r="I196" s="5" t="str">
        <f>IF(Table13[[#This Row],[Previous Quartile Value]]="", "",
   IF(Table13[[#This Row],[Quartile Value]] &lt; Table13[[#This Row],[Previous Quartile Value]], "Improved",
   IF(Table13[[#This Row],[Quartile Value]] &gt; Table13[[#This Row],[Previous Quartile Value]], "Dropped", "Same")))</f>
        <v>Same</v>
      </c>
      <c r="J196" s="7" t="s">
        <v>14</v>
      </c>
      <c r="K196" s="7" t="str">
        <f>VLOOKUP(J196,Introduction!$B$6:$C$14,2)</f>
        <v>South West</v>
      </c>
      <c r="L196" s="7">
        <v>983</v>
      </c>
      <c r="M196" s="8" t="s">
        <v>530</v>
      </c>
    </row>
    <row r="197" spans="1:13" ht="19.95" customHeight="1" x14ac:dyDescent="0.25">
      <c r="A197" s="40">
        <v>45474</v>
      </c>
      <c r="B197" s="46">
        <f>MONTH(Table13[[#This Row],[YearMonth]])</f>
        <v>7</v>
      </c>
      <c r="C197" s="5" t="s">
        <v>64</v>
      </c>
      <c r="D197" s="6" t="s">
        <v>330</v>
      </c>
      <c r="E197" s="6">
        <f>IF(Table13[[#This Row],[Quartile]]="TopQuartile", 1,
 IF(Table13[[#This Row],[Quartile]]="SecondQuartile", 2,
 IF(Table13[[#This Row],[Quartile]]="ThirdQuartile", 3,
 IF(Table13[[#This Row],[Quartile]]="FourthQuartile", 4, ""))))</f>
        <v>1</v>
      </c>
      <c r="F197" s="5" t="s">
        <v>537</v>
      </c>
      <c r="G197" s="5" t="str" cm="1">
        <f t="array" ref="G197">IFERROR(
  INDEX(Table13[Quartile],
    MATCH(1,
      (Table13[[#This Row],[OrgName]]=Table13[OrgName]) *
      (Table13[[#This Row],[Month Number]]-1=Table13[Month Number]),
    0)
  ),
"")</f>
        <v>TopQuartile</v>
      </c>
      <c r="H197" s="5">
        <f>IF(Table13[[#This Row],[Previous Quartile]]="TopQuartile", 1,
 IF(Table13[[#This Row],[Previous Quartile]]="SecondQuartile", 2,
 IF(Table13[[#This Row],[Previous Quartile]]="ThirdQuartile", 3,
 IF(Table13[[#This Row],[Previous Quartile]]="FourthQuartile", 4, ""))))</f>
        <v>1</v>
      </c>
      <c r="I197" s="5" t="str">
        <f>IF(Table13[[#This Row],[Previous Quartile Value]]="", "",
   IF(Table13[[#This Row],[Quartile Value]] &lt; Table13[[#This Row],[Previous Quartile Value]], "Improved",
   IF(Table13[[#This Row],[Quartile Value]] &gt; Table13[[#This Row],[Previous Quartile Value]], "Dropped", "Same")))</f>
        <v>Same</v>
      </c>
      <c r="J197" s="7" t="s">
        <v>20</v>
      </c>
      <c r="K197" s="7" t="str">
        <f>VLOOKUP(J197,Introduction!$B$6:$C$14,2)</f>
        <v>East of England</v>
      </c>
      <c r="L197" s="7">
        <v>465</v>
      </c>
      <c r="M197" s="8" t="s">
        <v>530</v>
      </c>
    </row>
    <row r="198" spans="1:13" ht="19.95" customHeight="1" x14ac:dyDescent="0.25">
      <c r="A198" s="40">
        <v>45474</v>
      </c>
      <c r="B198" s="46">
        <f>MONTH(Table13[[#This Row],[YearMonth]])</f>
        <v>7</v>
      </c>
      <c r="C198" s="5" t="s">
        <v>65</v>
      </c>
      <c r="D198" s="6" t="s">
        <v>330</v>
      </c>
      <c r="E198" s="6">
        <f>IF(Table13[[#This Row],[Quartile]]="TopQuartile", 1,
 IF(Table13[[#This Row],[Quartile]]="SecondQuartile", 2,
 IF(Table13[[#This Row],[Quartile]]="ThirdQuartile", 3,
 IF(Table13[[#This Row],[Quartile]]="FourthQuartile", 4, ""))))</f>
        <v>1</v>
      </c>
      <c r="F198" s="5" t="s">
        <v>538</v>
      </c>
      <c r="G198" s="5" t="str" cm="1">
        <f t="array" ref="G198">IFERROR(
  INDEX(Table13[Quartile],
    MATCH(1,
      (Table13[[#This Row],[OrgName]]=Table13[OrgName]) *
      (Table13[[#This Row],[Month Number]]-1=Table13[Month Number]),
    0)
  ),
"")</f>
        <v>TopQuartile</v>
      </c>
      <c r="H198" s="5">
        <f>IF(Table13[[#This Row],[Previous Quartile]]="TopQuartile", 1,
 IF(Table13[[#This Row],[Previous Quartile]]="SecondQuartile", 2,
 IF(Table13[[#This Row],[Previous Quartile]]="ThirdQuartile", 3,
 IF(Table13[[#This Row],[Previous Quartile]]="FourthQuartile", 4, ""))))</f>
        <v>1</v>
      </c>
      <c r="I198" s="5" t="str">
        <f>IF(Table13[[#This Row],[Previous Quartile Value]]="", "",
   IF(Table13[[#This Row],[Quartile Value]] &lt; Table13[[#This Row],[Previous Quartile Value]], "Improved",
   IF(Table13[[#This Row],[Quartile Value]] &gt; Table13[[#This Row],[Previous Quartile Value]], "Dropped", "Same")))</f>
        <v>Same</v>
      </c>
      <c r="J198" s="7" t="s">
        <v>18</v>
      </c>
      <c r="K198" s="7" t="str">
        <f>VLOOKUP(J198,Introduction!$B$6:$C$14,2)</f>
        <v>Midlands</v>
      </c>
      <c r="L198" s="7">
        <v>86</v>
      </c>
      <c r="M198" s="8" t="s">
        <v>530</v>
      </c>
    </row>
    <row r="199" spans="1:13" ht="19.95" customHeight="1" x14ac:dyDescent="0.25">
      <c r="A199" s="40">
        <v>45474</v>
      </c>
      <c r="B199" s="46">
        <f>MONTH(Table13[[#This Row],[YearMonth]])</f>
        <v>7</v>
      </c>
      <c r="C199" s="5" t="s">
        <v>72</v>
      </c>
      <c r="D199" s="6" t="s">
        <v>330</v>
      </c>
      <c r="E199" s="6">
        <f>IF(Table13[[#This Row],[Quartile]]="TopQuartile", 1,
 IF(Table13[[#This Row],[Quartile]]="SecondQuartile", 2,
 IF(Table13[[#This Row],[Quartile]]="ThirdQuartile", 3,
 IF(Table13[[#This Row],[Quartile]]="FourthQuartile", 4, ""))))</f>
        <v>1</v>
      </c>
      <c r="F199" s="5" t="s">
        <v>539</v>
      </c>
      <c r="G199" s="5" t="str" cm="1">
        <f t="array" ref="G199">IFERROR(
  INDEX(Table13[Quartile],
    MATCH(1,
      (Table13[[#This Row],[OrgName]]=Table13[OrgName]) *
      (Table13[[#This Row],[Month Number]]-1=Table13[Month Number]),
    0)
  ),
"")</f>
        <v>TopQuartile</v>
      </c>
      <c r="H199" s="5">
        <f>IF(Table13[[#This Row],[Previous Quartile]]="TopQuartile", 1,
 IF(Table13[[#This Row],[Previous Quartile]]="SecondQuartile", 2,
 IF(Table13[[#This Row],[Previous Quartile]]="ThirdQuartile", 3,
 IF(Table13[[#This Row],[Previous Quartile]]="FourthQuartile", 4, ""))))</f>
        <v>1</v>
      </c>
      <c r="I199" s="5" t="str">
        <f>IF(Table13[[#This Row],[Previous Quartile Value]]="", "",
   IF(Table13[[#This Row],[Quartile Value]] &lt; Table13[[#This Row],[Previous Quartile Value]], "Improved",
   IF(Table13[[#This Row],[Quartile Value]] &gt; Table13[[#This Row],[Previous Quartile Value]], "Dropped", "Same")))</f>
        <v>Same</v>
      </c>
      <c r="J199" s="7" t="s">
        <v>18</v>
      </c>
      <c r="K199" s="7" t="str">
        <f>VLOOKUP(J199,Introduction!$B$6:$C$14,2)</f>
        <v>Midlands</v>
      </c>
      <c r="L199" s="7">
        <v>66</v>
      </c>
      <c r="M199" s="8" t="s">
        <v>530</v>
      </c>
    </row>
    <row r="200" spans="1:13" ht="19.95" customHeight="1" x14ac:dyDescent="0.25">
      <c r="A200" s="40">
        <v>45474</v>
      </c>
      <c r="B200" s="46">
        <f>MONTH(Table13[[#This Row],[YearMonth]])</f>
        <v>7</v>
      </c>
      <c r="C200" s="5" t="s">
        <v>73</v>
      </c>
      <c r="D200" s="6" t="s">
        <v>330</v>
      </c>
      <c r="E200" s="6">
        <f>IF(Table13[[#This Row],[Quartile]]="TopQuartile", 1,
 IF(Table13[[#This Row],[Quartile]]="SecondQuartile", 2,
 IF(Table13[[#This Row],[Quartile]]="ThirdQuartile", 3,
 IF(Table13[[#This Row],[Quartile]]="FourthQuartile", 4, ""))))</f>
        <v>1</v>
      </c>
      <c r="F200" s="5" t="s">
        <v>540</v>
      </c>
      <c r="G200" s="5" t="str" cm="1">
        <f t="array" ref="G200">IFERROR(
  INDEX(Table13[Quartile],
    MATCH(1,
      (Table13[[#This Row],[OrgName]]=Table13[OrgName]) *
      (Table13[[#This Row],[Month Number]]-1=Table13[Month Number]),
    0)
  ),
"")</f>
        <v>TopQuartile</v>
      </c>
      <c r="H200" s="5">
        <f>IF(Table13[[#This Row],[Previous Quartile]]="TopQuartile", 1,
 IF(Table13[[#This Row],[Previous Quartile]]="SecondQuartile", 2,
 IF(Table13[[#This Row],[Previous Quartile]]="ThirdQuartile", 3,
 IF(Table13[[#This Row],[Previous Quartile]]="FourthQuartile", 4, ""))))</f>
        <v>1</v>
      </c>
      <c r="I200" s="5" t="str">
        <f>IF(Table13[[#This Row],[Previous Quartile Value]]="", "",
   IF(Table13[[#This Row],[Quartile Value]] &lt; Table13[[#This Row],[Previous Quartile Value]], "Improved",
   IF(Table13[[#This Row],[Quartile Value]] &gt; Table13[[#This Row],[Previous Quartile Value]], "Dropped", "Same")))</f>
        <v>Same</v>
      </c>
      <c r="J200" s="7" t="s">
        <v>14</v>
      </c>
      <c r="K200" s="7" t="str">
        <f>VLOOKUP(J200,Introduction!$B$6:$C$14,2)</f>
        <v>South West</v>
      </c>
      <c r="L200" s="7">
        <v>462</v>
      </c>
      <c r="M200" s="8" t="s">
        <v>530</v>
      </c>
    </row>
    <row r="201" spans="1:13" ht="19.95" customHeight="1" x14ac:dyDescent="0.25">
      <c r="A201" s="40">
        <v>45474</v>
      </c>
      <c r="B201" s="46">
        <f>MONTH(Table13[[#This Row],[YearMonth]])</f>
        <v>7</v>
      </c>
      <c r="C201" s="5" t="s">
        <v>76</v>
      </c>
      <c r="D201" s="6" t="s">
        <v>330</v>
      </c>
      <c r="E201" s="6">
        <f>IF(Table13[[#This Row],[Quartile]]="TopQuartile", 1,
 IF(Table13[[#This Row],[Quartile]]="SecondQuartile", 2,
 IF(Table13[[#This Row],[Quartile]]="ThirdQuartile", 3,
 IF(Table13[[#This Row],[Quartile]]="FourthQuartile", 4, ""))))</f>
        <v>1</v>
      </c>
      <c r="F201" s="5" t="s">
        <v>541</v>
      </c>
      <c r="G201" s="5" t="str" cm="1">
        <f t="array" ref="G201">IFERROR(
  INDEX(Table13[Quartile],
    MATCH(1,
      (Table13[[#This Row],[OrgName]]=Table13[OrgName]) *
      (Table13[[#This Row],[Month Number]]-1=Table13[Month Number]),
    0)
  ),
"")</f>
        <v>TopQuartile</v>
      </c>
      <c r="H201" s="5">
        <f>IF(Table13[[#This Row],[Previous Quartile]]="TopQuartile", 1,
 IF(Table13[[#This Row],[Previous Quartile]]="SecondQuartile", 2,
 IF(Table13[[#This Row],[Previous Quartile]]="ThirdQuartile", 3,
 IF(Table13[[#This Row],[Previous Quartile]]="FourthQuartile", 4, ""))))</f>
        <v>1</v>
      </c>
      <c r="I201" s="5" t="str">
        <f>IF(Table13[[#This Row],[Previous Quartile Value]]="", "",
   IF(Table13[[#This Row],[Quartile Value]] &lt; Table13[[#This Row],[Previous Quartile Value]], "Improved",
   IF(Table13[[#This Row],[Quartile Value]] &gt; Table13[[#This Row],[Previous Quartile Value]], "Dropped", "Same")))</f>
        <v>Same</v>
      </c>
      <c r="J201" s="7" t="s">
        <v>14</v>
      </c>
      <c r="K201" s="7" t="str">
        <f>VLOOKUP(J201,Introduction!$B$6:$C$14,2)</f>
        <v>South West</v>
      </c>
      <c r="L201" s="7">
        <v>144</v>
      </c>
      <c r="M201" s="8" t="s">
        <v>530</v>
      </c>
    </row>
    <row r="202" spans="1:13" ht="19.95" customHeight="1" x14ac:dyDescent="0.25">
      <c r="A202" s="40">
        <v>45474</v>
      </c>
      <c r="B202" s="46">
        <f>MONTH(Table13[[#This Row],[YearMonth]])</f>
        <v>7</v>
      </c>
      <c r="C202" s="5" t="s">
        <v>83</v>
      </c>
      <c r="D202" s="6" t="s">
        <v>330</v>
      </c>
      <c r="E202" s="6">
        <f>IF(Table13[[#This Row],[Quartile]]="TopQuartile", 1,
 IF(Table13[[#This Row],[Quartile]]="SecondQuartile", 2,
 IF(Table13[[#This Row],[Quartile]]="ThirdQuartile", 3,
 IF(Table13[[#This Row],[Quartile]]="FourthQuartile", 4, ""))))</f>
        <v>1</v>
      </c>
      <c r="F202" s="5" t="s">
        <v>542</v>
      </c>
      <c r="G202" s="5" t="str" cm="1">
        <f t="array" ref="G202">IFERROR(
  INDEX(Table13[Quartile],
    MATCH(1,
      (Table13[[#This Row],[OrgName]]=Table13[OrgName]) *
      (Table13[[#This Row],[Month Number]]-1=Table13[Month Number]),
    0)
  ),
"")</f>
        <v>TopQuartile</v>
      </c>
      <c r="H202" s="5">
        <f>IF(Table13[[#This Row],[Previous Quartile]]="TopQuartile", 1,
 IF(Table13[[#This Row],[Previous Quartile]]="SecondQuartile", 2,
 IF(Table13[[#This Row],[Previous Quartile]]="ThirdQuartile", 3,
 IF(Table13[[#This Row],[Previous Quartile]]="FourthQuartile", 4, ""))))</f>
        <v>1</v>
      </c>
      <c r="I202" s="5" t="str">
        <f>IF(Table13[[#This Row],[Previous Quartile Value]]="", "",
   IF(Table13[[#This Row],[Quartile Value]] &lt; Table13[[#This Row],[Previous Quartile Value]], "Improved",
   IF(Table13[[#This Row],[Quartile Value]] &gt; Table13[[#This Row],[Previous Quartile Value]], "Dropped", "Same")))</f>
        <v>Same</v>
      </c>
      <c r="J202" s="7" t="s">
        <v>18</v>
      </c>
      <c r="K202" s="7" t="str">
        <f>VLOOKUP(J202,Introduction!$B$6:$C$14,2)</f>
        <v>Midlands</v>
      </c>
      <c r="L202" s="7">
        <v>116</v>
      </c>
      <c r="M202" s="8" t="s">
        <v>530</v>
      </c>
    </row>
    <row r="203" spans="1:13" ht="19.95" customHeight="1" x14ac:dyDescent="0.25">
      <c r="A203" s="40">
        <v>45474</v>
      </c>
      <c r="B203" s="46">
        <f>MONTH(Table13[[#This Row],[YearMonth]])</f>
        <v>7</v>
      </c>
      <c r="C203" s="5" t="s">
        <v>93</v>
      </c>
      <c r="D203" s="6" t="s">
        <v>330</v>
      </c>
      <c r="E203" s="6">
        <f>IF(Table13[[#This Row],[Quartile]]="TopQuartile", 1,
 IF(Table13[[#This Row],[Quartile]]="SecondQuartile", 2,
 IF(Table13[[#This Row],[Quartile]]="ThirdQuartile", 3,
 IF(Table13[[#This Row],[Quartile]]="FourthQuartile", 4, ""))))</f>
        <v>1</v>
      </c>
      <c r="F203" s="5" t="s">
        <v>543</v>
      </c>
      <c r="G203" s="5" t="str" cm="1">
        <f t="array" ref="G203">IFERROR(
  INDEX(Table13[Quartile],
    MATCH(1,
      (Table13[[#This Row],[OrgName]]=Table13[OrgName]) *
      (Table13[[#This Row],[Month Number]]-1=Table13[Month Number]),
    0)
  ),
"")</f>
        <v>TopQuartile</v>
      </c>
      <c r="H203" s="5">
        <f>IF(Table13[[#This Row],[Previous Quartile]]="TopQuartile", 1,
 IF(Table13[[#This Row],[Previous Quartile]]="SecondQuartile", 2,
 IF(Table13[[#This Row],[Previous Quartile]]="ThirdQuartile", 3,
 IF(Table13[[#This Row],[Previous Quartile]]="FourthQuartile", 4, ""))))</f>
        <v>1</v>
      </c>
      <c r="I203" s="5" t="str">
        <f>IF(Table13[[#This Row],[Previous Quartile Value]]="", "",
   IF(Table13[[#This Row],[Quartile Value]] &lt; Table13[[#This Row],[Previous Quartile Value]], "Improved",
   IF(Table13[[#This Row],[Quartile Value]] &gt; Table13[[#This Row],[Previous Quartile Value]], "Dropped", "Same")))</f>
        <v>Same</v>
      </c>
      <c r="J203" s="7" t="s">
        <v>16</v>
      </c>
      <c r="K203" s="7" t="str">
        <f>VLOOKUP(J203,Introduction!$B$6:$C$14,2)</f>
        <v>South East</v>
      </c>
      <c r="L203" s="7">
        <v>495</v>
      </c>
      <c r="M203" s="8" t="s">
        <v>530</v>
      </c>
    </row>
    <row r="204" spans="1:13" ht="19.95" customHeight="1" x14ac:dyDescent="0.25">
      <c r="A204" s="40">
        <v>45474</v>
      </c>
      <c r="B204" s="46">
        <f>MONTH(Table13[[#This Row],[YearMonth]])</f>
        <v>7</v>
      </c>
      <c r="C204" s="5" t="s">
        <v>100</v>
      </c>
      <c r="D204" s="6" t="s">
        <v>338</v>
      </c>
      <c r="E204" s="6">
        <f>IF(Table13[[#This Row],[Quartile]]="TopQuartile", 1,
 IF(Table13[[#This Row],[Quartile]]="SecondQuartile", 2,
 IF(Table13[[#This Row],[Quartile]]="ThirdQuartile", 3,
 IF(Table13[[#This Row],[Quartile]]="FourthQuartile", 4, ""))))</f>
        <v>2</v>
      </c>
      <c r="F204" s="5" t="s">
        <v>544</v>
      </c>
      <c r="G204" s="5" t="str" cm="1">
        <f t="array" ref="G204">IFERROR(
  INDEX(Table13[Quartile],
    MATCH(1,
      (Table13[[#This Row],[OrgName]]=Table13[OrgName]) *
      (Table13[[#This Row],[Month Number]]-1=Table13[Month Number]),
    0)
  ),
"")</f>
        <v>TopQuartile</v>
      </c>
      <c r="H204" s="5">
        <f>IF(Table13[[#This Row],[Previous Quartile]]="TopQuartile", 1,
 IF(Table13[[#This Row],[Previous Quartile]]="SecondQuartile", 2,
 IF(Table13[[#This Row],[Previous Quartile]]="ThirdQuartile", 3,
 IF(Table13[[#This Row],[Previous Quartile]]="FourthQuartile", 4, ""))))</f>
        <v>1</v>
      </c>
      <c r="I204" s="5" t="str">
        <f>IF(Table13[[#This Row],[Previous Quartile Value]]="", "",
   IF(Table13[[#This Row],[Quartile Value]] &lt; Table13[[#This Row],[Previous Quartile Value]], "Improved",
   IF(Table13[[#This Row],[Quartile Value]] &gt; Table13[[#This Row],[Previous Quartile Value]], "Dropped", "Same")))</f>
        <v>Dropped</v>
      </c>
      <c r="J204" s="7" t="s">
        <v>24</v>
      </c>
      <c r="K204" s="7" t="str">
        <f>VLOOKUP(J204,Introduction!$B$6:$C$14,2)</f>
        <v>North East and Yorkshire</v>
      </c>
      <c r="L204" s="7">
        <v>133</v>
      </c>
      <c r="M204" s="8" t="s">
        <v>530</v>
      </c>
    </row>
    <row r="205" spans="1:13" ht="19.95" customHeight="1" x14ac:dyDescent="0.25">
      <c r="A205" s="40">
        <v>45474</v>
      </c>
      <c r="B205" s="46">
        <f>MONTH(Table13[[#This Row],[YearMonth]])</f>
        <v>7</v>
      </c>
      <c r="C205" s="5" t="s">
        <v>110</v>
      </c>
      <c r="D205" s="6" t="s">
        <v>338</v>
      </c>
      <c r="E205" s="6">
        <f>IF(Table13[[#This Row],[Quartile]]="TopQuartile", 1,
 IF(Table13[[#This Row],[Quartile]]="SecondQuartile", 2,
 IF(Table13[[#This Row],[Quartile]]="ThirdQuartile", 3,
 IF(Table13[[#This Row],[Quartile]]="FourthQuartile", 4, ""))))</f>
        <v>2</v>
      </c>
      <c r="F205" s="5" t="s">
        <v>545</v>
      </c>
      <c r="G205" s="5" t="str" cm="1">
        <f t="array" ref="G205">IFERROR(
  INDEX(Table13[Quartile],
    MATCH(1,
      (Table13[[#This Row],[OrgName]]=Table13[OrgName]) *
      (Table13[[#This Row],[Month Number]]-1=Table13[Month Number]),
    0)
  ),
"")</f>
        <v>TopQuartile</v>
      </c>
      <c r="H205" s="5">
        <f>IF(Table13[[#This Row],[Previous Quartile]]="TopQuartile", 1,
 IF(Table13[[#This Row],[Previous Quartile]]="SecondQuartile", 2,
 IF(Table13[[#This Row],[Previous Quartile]]="ThirdQuartile", 3,
 IF(Table13[[#This Row],[Previous Quartile]]="FourthQuartile", 4, ""))))</f>
        <v>1</v>
      </c>
      <c r="I205" s="5" t="str">
        <f>IF(Table13[[#This Row],[Previous Quartile Value]]="", "",
   IF(Table13[[#This Row],[Quartile Value]] &lt; Table13[[#This Row],[Previous Quartile Value]], "Improved",
   IF(Table13[[#This Row],[Quartile Value]] &gt; Table13[[#This Row],[Previous Quartile Value]], "Dropped", "Same")))</f>
        <v>Dropped</v>
      </c>
      <c r="J205" s="7" t="s">
        <v>16</v>
      </c>
      <c r="K205" s="7" t="str">
        <f>VLOOKUP(J205,Introduction!$B$6:$C$14,2)</f>
        <v>South East</v>
      </c>
      <c r="L205" s="7">
        <v>104</v>
      </c>
      <c r="M205" s="8" t="s">
        <v>530</v>
      </c>
    </row>
    <row r="206" spans="1:13" ht="19.95" customHeight="1" x14ac:dyDescent="0.25">
      <c r="A206" s="40">
        <v>45474</v>
      </c>
      <c r="B206" s="46">
        <f>MONTH(Table13[[#This Row],[YearMonth]])</f>
        <v>7</v>
      </c>
      <c r="C206" s="5" t="s">
        <v>115</v>
      </c>
      <c r="D206" s="6" t="s">
        <v>338</v>
      </c>
      <c r="E206" s="6">
        <f>IF(Table13[[#This Row],[Quartile]]="TopQuartile", 1,
 IF(Table13[[#This Row],[Quartile]]="SecondQuartile", 2,
 IF(Table13[[#This Row],[Quartile]]="ThirdQuartile", 3,
 IF(Table13[[#This Row],[Quartile]]="FourthQuartile", 4, ""))))</f>
        <v>2</v>
      </c>
      <c r="F206" s="5" t="s">
        <v>546</v>
      </c>
      <c r="G206" s="5" t="str" cm="1">
        <f t="array" ref="G206">IFERROR(
  INDEX(Table13[Quartile],
    MATCH(1,
      (Table13[[#This Row],[OrgName]]=Table13[OrgName]) *
      (Table13[[#This Row],[Month Number]]-1=Table13[Month Number]),
    0)
  ),
"")</f>
        <v>TopQuartile</v>
      </c>
      <c r="H206" s="5">
        <f>IF(Table13[[#This Row],[Previous Quartile]]="TopQuartile", 1,
 IF(Table13[[#This Row],[Previous Quartile]]="SecondQuartile", 2,
 IF(Table13[[#This Row],[Previous Quartile]]="ThirdQuartile", 3,
 IF(Table13[[#This Row],[Previous Quartile]]="FourthQuartile", 4, ""))))</f>
        <v>1</v>
      </c>
      <c r="I206" s="5" t="str">
        <f>IF(Table13[[#This Row],[Previous Quartile Value]]="", "",
   IF(Table13[[#This Row],[Quartile Value]] &lt; Table13[[#This Row],[Previous Quartile Value]], "Improved",
   IF(Table13[[#This Row],[Quartile Value]] &gt; Table13[[#This Row],[Previous Quartile Value]], "Dropped", "Same")))</f>
        <v>Dropped</v>
      </c>
      <c r="J206" s="7" t="s">
        <v>18</v>
      </c>
      <c r="K206" s="7" t="str">
        <f>VLOOKUP(J206,Introduction!$B$6:$C$14,2)</f>
        <v>Midlands</v>
      </c>
      <c r="L206" s="7">
        <v>942</v>
      </c>
      <c r="M206" s="8" t="s">
        <v>530</v>
      </c>
    </row>
    <row r="207" spans="1:13" ht="19.95" customHeight="1" x14ac:dyDescent="0.25">
      <c r="A207" s="40">
        <v>45474</v>
      </c>
      <c r="B207" s="46">
        <f>MONTH(Table13[[#This Row],[YearMonth]])</f>
        <v>7</v>
      </c>
      <c r="C207" s="5" t="s">
        <v>124</v>
      </c>
      <c r="D207" s="6" t="s">
        <v>338</v>
      </c>
      <c r="E207" s="6">
        <f>IF(Table13[[#This Row],[Quartile]]="TopQuartile", 1,
 IF(Table13[[#This Row],[Quartile]]="SecondQuartile", 2,
 IF(Table13[[#This Row],[Quartile]]="ThirdQuartile", 3,
 IF(Table13[[#This Row],[Quartile]]="FourthQuartile", 4, ""))))</f>
        <v>2</v>
      </c>
      <c r="F207" s="5" t="s">
        <v>547</v>
      </c>
      <c r="G207" s="5" t="str" cm="1">
        <f t="array" ref="G207">IFERROR(
  INDEX(Table13[Quartile],
    MATCH(1,
      (Table13[[#This Row],[OrgName]]=Table13[OrgName]) *
      (Table13[[#This Row],[Month Number]]-1=Table13[Month Number]),
    0)
  ),
"")</f>
        <v>SecondQuartile</v>
      </c>
      <c r="H207" s="5">
        <f>IF(Table13[[#This Row],[Previous Quartile]]="TopQuartile", 1,
 IF(Table13[[#This Row],[Previous Quartile]]="SecondQuartile", 2,
 IF(Table13[[#This Row],[Previous Quartile]]="ThirdQuartile", 3,
 IF(Table13[[#This Row],[Previous Quartile]]="FourthQuartile", 4, ""))))</f>
        <v>2</v>
      </c>
      <c r="I207" s="5" t="str">
        <f>IF(Table13[[#This Row],[Previous Quartile Value]]="", "",
   IF(Table13[[#This Row],[Quartile Value]] &lt; Table13[[#This Row],[Previous Quartile Value]], "Improved",
   IF(Table13[[#This Row],[Quartile Value]] &gt; Table13[[#This Row],[Previous Quartile Value]], "Dropped", "Same")))</f>
        <v>Same</v>
      </c>
      <c r="J207" s="7" t="s">
        <v>18</v>
      </c>
      <c r="K207" s="7" t="str">
        <f>VLOOKUP(J207,Introduction!$B$6:$C$14,2)</f>
        <v>Midlands</v>
      </c>
      <c r="L207" s="7">
        <v>994</v>
      </c>
      <c r="M207" s="8" t="s">
        <v>530</v>
      </c>
    </row>
    <row r="208" spans="1:13" ht="19.95" customHeight="1" x14ac:dyDescent="0.25">
      <c r="A208" s="40">
        <v>45474</v>
      </c>
      <c r="B208" s="46">
        <f>MONTH(Table13[[#This Row],[YearMonth]])</f>
        <v>7</v>
      </c>
      <c r="C208" s="5" t="s">
        <v>126</v>
      </c>
      <c r="D208" s="6" t="s">
        <v>338</v>
      </c>
      <c r="E208" s="6">
        <f>IF(Table13[[#This Row],[Quartile]]="TopQuartile", 1,
 IF(Table13[[#This Row],[Quartile]]="SecondQuartile", 2,
 IF(Table13[[#This Row],[Quartile]]="ThirdQuartile", 3,
 IF(Table13[[#This Row],[Quartile]]="FourthQuartile", 4, ""))))</f>
        <v>2</v>
      </c>
      <c r="F208" s="5" t="s">
        <v>548</v>
      </c>
      <c r="G208" s="5" t="str" cm="1">
        <f t="array" ref="G208">IFERROR(
  INDEX(Table13[Quartile],
    MATCH(1,
      (Table13[[#This Row],[OrgName]]=Table13[OrgName]) *
      (Table13[[#This Row],[Month Number]]-1=Table13[Month Number]),
    0)
  ),
"")</f>
        <v>SecondQuartile</v>
      </c>
      <c r="H208" s="5">
        <f>IF(Table13[[#This Row],[Previous Quartile]]="TopQuartile", 1,
 IF(Table13[[#This Row],[Previous Quartile]]="SecondQuartile", 2,
 IF(Table13[[#This Row],[Previous Quartile]]="ThirdQuartile", 3,
 IF(Table13[[#This Row],[Previous Quartile]]="FourthQuartile", 4, ""))))</f>
        <v>2</v>
      </c>
      <c r="I208" s="5" t="str">
        <f>IF(Table13[[#This Row],[Previous Quartile Value]]="", "",
   IF(Table13[[#This Row],[Quartile Value]] &lt; Table13[[#This Row],[Previous Quartile Value]], "Improved",
   IF(Table13[[#This Row],[Quartile Value]] &gt; Table13[[#This Row],[Previous Quartile Value]], "Dropped", "Same")))</f>
        <v>Same</v>
      </c>
      <c r="J208" s="7" t="s">
        <v>12</v>
      </c>
      <c r="K208" s="7" t="str">
        <f>VLOOKUP(J208,Introduction!$B$6:$C$14,2)</f>
        <v>London</v>
      </c>
      <c r="L208" s="7">
        <v>487</v>
      </c>
      <c r="M208" s="8" t="s">
        <v>530</v>
      </c>
    </row>
    <row r="209" spans="1:13" ht="19.95" customHeight="1" x14ac:dyDescent="0.25">
      <c r="A209" s="40">
        <v>45474</v>
      </c>
      <c r="B209" s="46">
        <f>MONTH(Table13[[#This Row],[YearMonth]])</f>
        <v>7</v>
      </c>
      <c r="C209" s="5" t="s">
        <v>131</v>
      </c>
      <c r="D209" s="6" t="s">
        <v>338</v>
      </c>
      <c r="E209" s="6">
        <f>IF(Table13[[#This Row],[Quartile]]="TopQuartile", 1,
 IF(Table13[[#This Row],[Quartile]]="SecondQuartile", 2,
 IF(Table13[[#This Row],[Quartile]]="ThirdQuartile", 3,
 IF(Table13[[#This Row],[Quartile]]="FourthQuartile", 4, ""))))</f>
        <v>2</v>
      </c>
      <c r="F209" s="5" t="s">
        <v>549</v>
      </c>
      <c r="G209" s="5" t="str" cm="1">
        <f t="array" ref="G209">IFERROR(
  INDEX(Table13[Quartile],
    MATCH(1,
      (Table13[[#This Row],[OrgName]]=Table13[OrgName]) *
      (Table13[[#This Row],[Month Number]]-1=Table13[Month Number]),
    0)
  ),
"")</f>
        <v>SecondQuartile</v>
      </c>
      <c r="H209" s="5">
        <f>IF(Table13[[#This Row],[Previous Quartile]]="TopQuartile", 1,
 IF(Table13[[#This Row],[Previous Quartile]]="SecondQuartile", 2,
 IF(Table13[[#This Row],[Previous Quartile]]="ThirdQuartile", 3,
 IF(Table13[[#This Row],[Previous Quartile]]="FourthQuartile", 4, ""))))</f>
        <v>2</v>
      </c>
      <c r="I209" s="5" t="str">
        <f>IF(Table13[[#This Row],[Previous Quartile Value]]="", "",
   IF(Table13[[#This Row],[Quartile Value]] &lt; Table13[[#This Row],[Previous Quartile Value]], "Improved",
   IF(Table13[[#This Row],[Quartile Value]] &gt; Table13[[#This Row],[Previous Quartile Value]], "Dropped", "Same")))</f>
        <v>Same</v>
      </c>
      <c r="J209" s="7" t="s">
        <v>18</v>
      </c>
      <c r="K209" s="7" t="str">
        <f>VLOOKUP(J209,Introduction!$B$6:$C$14,2)</f>
        <v>Midlands</v>
      </c>
      <c r="L209" s="7">
        <v>105</v>
      </c>
      <c r="M209" s="8" t="s">
        <v>530</v>
      </c>
    </row>
    <row r="210" spans="1:13" ht="19.95" customHeight="1" x14ac:dyDescent="0.25">
      <c r="A210" s="40">
        <v>45474</v>
      </c>
      <c r="B210" s="46">
        <f>MONTH(Table13[[#This Row],[YearMonth]])</f>
        <v>7</v>
      </c>
      <c r="C210" s="5" t="s">
        <v>139</v>
      </c>
      <c r="D210" s="6" t="s">
        <v>338</v>
      </c>
      <c r="E210" s="6">
        <f>IF(Table13[[#This Row],[Quartile]]="TopQuartile", 1,
 IF(Table13[[#This Row],[Quartile]]="SecondQuartile", 2,
 IF(Table13[[#This Row],[Quartile]]="ThirdQuartile", 3,
 IF(Table13[[#This Row],[Quartile]]="FourthQuartile", 4, ""))))</f>
        <v>2</v>
      </c>
      <c r="F210" s="5" t="s">
        <v>550</v>
      </c>
      <c r="G210" s="5" t="str" cm="1">
        <f t="array" ref="G210">IFERROR(
  INDEX(Table13[Quartile],
    MATCH(1,
      (Table13[[#This Row],[OrgName]]=Table13[OrgName]) *
      (Table13[[#This Row],[Month Number]]-1=Table13[Month Number]),
    0)
  ),
"")</f>
        <v>SecondQuartile</v>
      </c>
      <c r="H210" s="5">
        <f>IF(Table13[[#This Row],[Previous Quartile]]="TopQuartile", 1,
 IF(Table13[[#This Row],[Previous Quartile]]="SecondQuartile", 2,
 IF(Table13[[#This Row],[Previous Quartile]]="ThirdQuartile", 3,
 IF(Table13[[#This Row],[Previous Quartile]]="FourthQuartile", 4, ""))))</f>
        <v>2</v>
      </c>
      <c r="I210" s="5" t="str">
        <f>IF(Table13[[#This Row],[Previous Quartile Value]]="", "",
   IF(Table13[[#This Row],[Quartile Value]] &lt; Table13[[#This Row],[Previous Quartile Value]], "Improved",
   IF(Table13[[#This Row],[Quartile Value]] &gt; Table13[[#This Row],[Previous Quartile Value]], "Dropped", "Same")))</f>
        <v>Same</v>
      </c>
      <c r="J210" s="7" t="s">
        <v>18</v>
      </c>
      <c r="K210" s="7" t="str">
        <f>VLOOKUP(J210,Introduction!$B$6:$C$14,2)</f>
        <v>Midlands</v>
      </c>
      <c r="L210" s="7">
        <v>529</v>
      </c>
      <c r="M210" s="8" t="s">
        <v>530</v>
      </c>
    </row>
    <row r="211" spans="1:13" ht="19.95" customHeight="1" x14ac:dyDescent="0.25">
      <c r="A211" s="40">
        <v>45474</v>
      </c>
      <c r="B211" s="46">
        <f>MONTH(Table13[[#This Row],[YearMonth]])</f>
        <v>7</v>
      </c>
      <c r="C211" s="5" t="s">
        <v>151</v>
      </c>
      <c r="D211" s="6" t="s">
        <v>338</v>
      </c>
      <c r="E211" s="6">
        <f>IF(Table13[[#This Row],[Quartile]]="TopQuartile", 1,
 IF(Table13[[#This Row],[Quartile]]="SecondQuartile", 2,
 IF(Table13[[#This Row],[Quartile]]="ThirdQuartile", 3,
 IF(Table13[[#This Row],[Quartile]]="FourthQuartile", 4, ""))))</f>
        <v>2</v>
      </c>
      <c r="F211" s="5" t="s">
        <v>551</v>
      </c>
      <c r="G211" s="5" t="str" cm="1">
        <f t="array" ref="G211">IFERROR(
  INDEX(Table13[Quartile],
    MATCH(1,
      (Table13[[#This Row],[OrgName]]=Table13[OrgName]) *
      (Table13[[#This Row],[Month Number]]-1=Table13[Month Number]),
    0)
  ),
"")</f>
        <v>SecondQuartile</v>
      </c>
      <c r="H211" s="5">
        <f>IF(Table13[[#This Row],[Previous Quartile]]="TopQuartile", 1,
 IF(Table13[[#This Row],[Previous Quartile]]="SecondQuartile", 2,
 IF(Table13[[#This Row],[Previous Quartile]]="ThirdQuartile", 3,
 IF(Table13[[#This Row],[Previous Quartile]]="FourthQuartile", 4, ""))))</f>
        <v>2</v>
      </c>
      <c r="I211" s="5" t="str">
        <f>IF(Table13[[#This Row],[Previous Quartile Value]]="", "",
   IF(Table13[[#This Row],[Quartile Value]] &lt; Table13[[#This Row],[Previous Quartile Value]], "Improved",
   IF(Table13[[#This Row],[Quartile Value]] &gt; Table13[[#This Row],[Previous Quartile Value]], "Dropped", "Same")))</f>
        <v>Same</v>
      </c>
      <c r="J211" s="7" t="s">
        <v>18</v>
      </c>
      <c r="K211" s="7" t="str">
        <f>VLOOKUP(J211,Introduction!$B$6:$C$14,2)</f>
        <v>Midlands</v>
      </c>
      <c r="L211" s="7">
        <v>111</v>
      </c>
      <c r="M211" s="8" t="s">
        <v>530</v>
      </c>
    </row>
    <row r="212" spans="1:13" ht="19.95" customHeight="1" x14ac:dyDescent="0.25">
      <c r="A212" s="40">
        <v>45474</v>
      </c>
      <c r="B212" s="46">
        <f>MONTH(Table13[[#This Row],[YearMonth]])</f>
        <v>7</v>
      </c>
      <c r="C212" s="5" t="s">
        <v>159</v>
      </c>
      <c r="D212" s="6" t="s">
        <v>338</v>
      </c>
      <c r="E212" s="6">
        <f>IF(Table13[[#This Row],[Quartile]]="TopQuartile", 1,
 IF(Table13[[#This Row],[Quartile]]="SecondQuartile", 2,
 IF(Table13[[#This Row],[Quartile]]="ThirdQuartile", 3,
 IF(Table13[[#This Row],[Quartile]]="FourthQuartile", 4, ""))))</f>
        <v>2</v>
      </c>
      <c r="F212" s="5" t="s">
        <v>552</v>
      </c>
      <c r="G212" s="5" t="str" cm="1">
        <f t="array" ref="G212">IFERROR(
  INDEX(Table13[Quartile],
    MATCH(1,
      (Table13[[#This Row],[OrgName]]=Table13[OrgName]) *
      (Table13[[#This Row],[Month Number]]-1=Table13[Month Number]),
    0)
  ),
"")</f>
        <v>SecondQuartile</v>
      </c>
      <c r="H212" s="5">
        <f>IF(Table13[[#This Row],[Previous Quartile]]="TopQuartile", 1,
 IF(Table13[[#This Row],[Previous Quartile]]="SecondQuartile", 2,
 IF(Table13[[#This Row],[Previous Quartile]]="ThirdQuartile", 3,
 IF(Table13[[#This Row],[Previous Quartile]]="FourthQuartile", 4, ""))))</f>
        <v>2</v>
      </c>
      <c r="I212" s="5" t="str">
        <f>IF(Table13[[#This Row],[Previous Quartile Value]]="", "",
   IF(Table13[[#This Row],[Quartile Value]] &lt; Table13[[#This Row],[Previous Quartile Value]], "Improved",
   IF(Table13[[#This Row],[Quartile Value]] &gt; Table13[[#This Row],[Previous Quartile Value]], "Dropped", "Same")))</f>
        <v>Same</v>
      </c>
      <c r="J212" s="7" t="s">
        <v>20</v>
      </c>
      <c r="K212" s="7" t="str">
        <f>VLOOKUP(J212,Introduction!$B$6:$C$14,2)</f>
        <v>East of England</v>
      </c>
      <c r="L212" s="7">
        <v>137</v>
      </c>
      <c r="M212" s="8" t="s">
        <v>530</v>
      </c>
    </row>
    <row r="213" spans="1:13" ht="19.95" customHeight="1" x14ac:dyDescent="0.25">
      <c r="A213" s="40">
        <v>45474</v>
      </c>
      <c r="B213" s="46">
        <f>MONTH(Table13[[#This Row],[YearMonth]])</f>
        <v>7</v>
      </c>
      <c r="C213" s="5" t="s">
        <v>162</v>
      </c>
      <c r="D213" s="6" t="s">
        <v>338</v>
      </c>
      <c r="E213" s="6">
        <f>IF(Table13[[#This Row],[Quartile]]="TopQuartile", 1,
 IF(Table13[[#This Row],[Quartile]]="SecondQuartile", 2,
 IF(Table13[[#This Row],[Quartile]]="ThirdQuartile", 3,
 IF(Table13[[#This Row],[Quartile]]="FourthQuartile", 4, ""))))</f>
        <v>2</v>
      </c>
      <c r="F213" s="5" t="s">
        <v>553</v>
      </c>
      <c r="G213" s="5" t="str" cm="1">
        <f t="array" ref="G213">IFERROR(
  INDEX(Table13[Quartile],
    MATCH(1,
      (Table13[[#This Row],[OrgName]]=Table13[OrgName]) *
      (Table13[[#This Row],[Month Number]]-1=Table13[Month Number]),
    0)
  ),
"")</f>
        <v>SecondQuartile</v>
      </c>
      <c r="H213" s="5">
        <f>IF(Table13[[#This Row],[Previous Quartile]]="TopQuartile", 1,
 IF(Table13[[#This Row],[Previous Quartile]]="SecondQuartile", 2,
 IF(Table13[[#This Row],[Previous Quartile]]="ThirdQuartile", 3,
 IF(Table13[[#This Row],[Previous Quartile]]="FourthQuartile", 4, ""))))</f>
        <v>2</v>
      </c>
      <c r="I213" s="5" t="str">
        <f>IF(Table13[[#This Row],[Previous Quartile Value]]="", "",
   IF(Table13[[#This Row],[Quartile Value]] &lt; Table13[[#This Row],[Previous Quartile Value]], "Improved",
   IF(Table13[[#This Row],[Quartile Value]] &gt; Table13[[#This Row],[Previous Quartile Value]], "Dropped", "Same")))</f>
        <v>Same</v>
      </c>
      <c r="J213" s="7" t="s">
        <v>14</v>
      </c>
      <c r="K213" s="7" t="str">
        <f>VLOOKUP(J213,Introduction!$B$6:$C$14,2)</f>
        <v>South West</v>
      </c>
      <c r="L213" s="7">
        <v>471</v>
      </c>
      <c r="M213" s="8" t="s">
        <v>530</v>
      </c>
    </row>
    <row r="214" spans="1:13" ht="19.95" customHeight="1" x14ac:dyDescent="0.25">
      <c r="A214" s="40">
        <v>45474</v>
      </c>
      <c r="B214" s="46">
        <f>MONTH(Table13[[#This Row],[YearMonth]])</f>
        <v>7</v>
      </c>
      <c r="C214" s="5" t="s">
        <v>166</v>
      </c>
      <c r="D214" s="6" t="s">
        <v>338</v>
      </c>
      <c r="E214" s="6">
        <f>IF(Table13[[#This Row],[Quartile]]="TopQuartile", 1,
 IF(Table13[[#This Row],[Quartile]]="SecondQuartile", 2,
 IF(Table13[[#This Row],[Quartile]]="ThirdQuartile", 3,
 IF(Table13[[#This Row],[Quartile]]="FourthQuartile", 4, ""))))</f>
        <v>2</v>
      </c>
      <c r="F214" s="5" t="s">
        <v>554</v>
      </c>
      <c r="G214" s="5" t="str" cm="1">
        <f t="array" ref="G214">IFERROR(
  INDEX(Table13[Quartile],
    MATCH(1,
      (Table13[[#This Row],[OrgName]]=Table13[OrgName]) *
      (Table13[[#This Row],[Month Number]]-1=Table13[Month Number]),
    0)
  ),
"")</f>
        <v>SecondQuartile</v>
      </c>
      <c r="H214" s="5">
        <f>IF(Table13[[#This Row],[Previous Quartile]]="TopQuartile", 1,
 IF(Table13[[#This Row],[Previous Quartile]]="SecondQuartile", 2,
 IF(Table13[[#This Row],[Previous Quartile]]="ThirdQuartile", 3,
 IF(Table13[[#This Row],[Previous Quartile]]="FourthQuartile", 4, ""))))</f>
        <v>2</v>
      </c>
      <c r="I214" s="5" t="str">
        <f>IF(Table13[[#This Row],[Previous Quartile Value]]="", "",
   IF(Table13[[#This Row],[Quartile Value]] &lt; Table13[[#This Row],[Previous Quartile Value]], "Improved",
   IF(Table13[[#This Row],[Quartile Value]] &gt; Table13[[#This Row],[Previous Quartile Value]], "Dropped", "Same")))</f>
        <v>Same</v>
      </c>
      <c r="J214" s="7" t="s">
        <v>18</v>
      </c>
      <c r="K214" s="7" t="str">
        <f>VLOOKUP(J214,Introduction!$B$6:$C$14,2)</f>
        <v>Midlands</v>
      </c>
      <c r="L214" s="7">
        <v>996</v>
      </c>
      <c r="M214" s="8" t="s">
        <v>530</v>
      </c>
    </row>
    <row r="215" spans="1:13" ht="19.95" customHeight="1" x14ac:dyDescent="0.25">
      <c r="A215" s="40">
        <v>45474</v>
      </c>
      <c r="B215" s="46">
        <f>MONTH(Table13[[#This Row],[YearMonth]])</f>
        <v>7</v>
      </c>
      <c r="C215" s="5" t="s">
        <v>206</v>
      </c>
      <c r="D215" s="6" t="s">
        <v>341</v>
      </c>
      <c r="E215" s="6">
        <f>IF(Table13[[#This Row],[Quartile]]="TopQuartile", 1,
 IF(Table13[[#This Row],[Quartile]]="SecondQuartile", 2,
 IF(Table13[[#This Row],[Quartile]]="ThirdQuartile", 3,
 IF(Table13[[#This Row],[Quartile]]="FourthQuartile", 4, ""))))</f>
        <v>3</v>
      </c>
      <c r="F215" s="5" t="s">
        <v>555</v>
      </c>
      <c r="G215" s="5" t="str" cm="1">
        <f t="array" ref="G215">IFERROR(
  INDEX(Table13[Quartile],
    MATCH(1,
      (Table13[[#This Row],[OrgName]]=Table13[OrgName]) *
      (Table13[[#This Row],[Month Number]]-1=Table13[Month Number]),
    0)
  ),
"")</f>
        <v>ThirdQuartile</v>
      </c>
      <c r="H215" s="5">
        <f>IF(Table13[[#This Row],[Previous Quartile]]="TopQuartile", 1,
 IF(Table13[[#This Row],[Previous Quartile]]="SecondQuartile", 2,
 IF(Table13[[#This Row],[Previous Quartile]]="ThirdQuartile", 3,
 IF(Table13[[#This Row],[Previous Quartile]]="FourthQuartile", 4, ""))))</f>
        <v>3</v>
      </c>
      <c r="I215" s="5" t="str">
        <f>IF(Table13[[#This Row],[Previous Quartile Value]]="", "",
   IF(Table13[[#This Row],[Quartile Value]] &lt; Table13[[#This Row],[Previous Quartile Value]], "Improved",
   IF(Table13[[#This Row],[Quartile Value]] &gt; Table13[[#This Row],[Previous Quartile Value]], "Dropped", "Same")))</f>
        <v>Same</v>
      </c>
      <c r="J215" s="7" t="s">
        <v>12</v>
      </c>
      <c r="K215" s="7" t="str">
        <f>VLOOKUP(J215,Introduction!$B$6:$C$14,2)</f>
        <v>London</v>
      </c>
      <c r="L215" s="7">
        <v>807</v>
      </c>
      <c r="M215" s="8" t="s">
        <v>530</v>
      </c>
    </row>
    <row r="216" spans="1:13" ht="19.95" customHeight="1" x14ac:dyDescent="0.25">
      <c r="A216" s="40">
        <v>45474</v>
      </c>
      <c r="B216" s="46">
        <f>MONTH(Table13[[#This Row],[YearMonth]])</f>
        <v>7</v>
      </c>
      <c r="C216" s="5" t="s">
        <v>216</v>
      </c>
      <c r="D216" s="6" t="s">
        <v>341</v>
      </c>
      <c r="E216" s="6">
        <f>IF(Table13[[#This Row],[Quartile]]="TopQuartile", 1,
 IF(Table13[[#This Row],[Quartile]]="SecondQuartile", 2,
 IF(Table13[[#This Row],[Quartile]]="ThirdQuartile", 3,
 IF(Table13[[#This Row],[Quartile]]="FourthQuartile", 4, ""))))</f>
        <v>3</v>
      </c>
      <c r="F216" s="5" t="s">
        <v>556</v>
      </c>
      <c r="G216" s="5" t="str" cm="1">
        <f t="array" ref="G216">IFERROR(
  INDEX(Table13[Quartile],
    MATCH(1,
      (Table13[[#This Row],[OrgName]]=Table13[OrgName]) *
      (Table13[[#This Row],[Month Number]]-1=Table13[Month Number]),
    0)
  ),
"")</f>
        <v>ThirdQuartile</v>
      </c>
      <c r="H216" s="5">
        <f>IF(Table13[[#This Row],[Previous Quartile]]="TopQuartile", 1,
 IF(Table13[[#This Row],[Previous Quartile]]="SecondQuartile", 2,
 IF(Table13[[#This Row],[Previous Quartile]]="ThirdQuartile", 3,
 IF(Table13[[#This Row],[Previous Quartile]]="FourthQuartile", 4, ""))))</f>
        <v>3</v>
      </c>
      <c r="I216" s="5" t="str">
        <f>IF(Table13[[#This Row],[Previous Quartile Value]]="", "",
   IF(Table13[[#This Row],[Quartile Value]] &lt; Table13[[#This Row],[Previous Quartile Value]], "Improved",
   IF(Table13[[#This Row],[Quartile Value]] &gt; Table13[[#This Row],[Previous Quartile Value]], "Dropped", "Same")))</f>
        <v>Same</v>
      </c>
      <c r="J216" s="7" t="s">
        <v>12</v>
      </c>
      <c r="K216" s="7" t="str">
        <f>VLOOKUP(J216,Introduction!$B$6:$C$14,2)</f>
        <v>London</v>
      </c>
      <c r="L216" s="7">
        <v>985</v>
      </c>
      <c r="M216" s="8" t="s">
        <v>530</v>
      </c>
    </row>
    <row r="217" spans="1:13" ht="19.95" customHeight="1" x14ac:dyDescent="0.25">
      <c r="A217" s="40">
        <v>45474</v>
      </c>
      <c r="B217" s="46">
        <f>MONTH(Table13[[#This Row],[YearMonth]])</f>
        <v>7</v>
      </c>
      <c r="C217" s="5" t="s">
        <v>221</v>
      </c>
      <c r="D217" s="6" t="s">
        <v>341</v>
      </c>
      <c r="E217" s="6">
        <f>IF(Table13[[#This Row],[Quartile]]="TopQuartile", 1,
 IF(Table13[[#This Row],[Quartile]]="SecondQuartile", 2,
 IF(Table13[[#This Row],[Quartile]]="ThirdQuartile", 3,
 IF(Table13[[#This Row],[Quartile]]="FourthQuartile", 4, ""))))</f>
        <v>3</v>
      </c>
      <c r="F217" s="5" t="s">
        <v>557</v>
      </c>
      <c r="G217" s="5" t="str" cm="1">
        <f t="array" ref="G217">IFERROR(
  INDEX(Table13[Quartile],
    MATCH(1,
      (Table13[[#This Row],[OrgName]]=Table13[OrgName]) *
      (Table13[[#This Row],[Month Number]]-1=Table13[Month Number]),
    0)
  ),
"")</f>
        <v>ThirdQuartile</v>
      </c>
      <c r="H217" s="5">
        <f>IF(Table13[[#This Row],[Previous Quartile]]="TopQuartile", 1,
 IF(Table13[[#This Row],[Previous Quartile]]="SecondQuartile", 2,
 IF(Table13[[#This Row],[Previous Quartile]]="ThirdQuartile", 3,
 IF(Table13[[#This Row],[Previous Quartile]]="FourthQuartile", 4, ""))))</f>
        <v>3</v>
      </c>
      <c r="I217" s="5" t="str">
        <f>IF(Table13[[#This Row],[Previous Quartile Value]]="", "",
   IF(Table13[[#This Row],[Quartile Value]] &lt; Table13[[#This Row],[Previous Quartile Value]], "Improved",
   IF(Table13[[#This Row],[Quartile Value]] &gt; Table13[[#This Row],[Previous Quartile Value]], "Dropped", "Same")))</f>
        <v>Same</v>
      </c>
      <c r="J217" s="7" t="s">
        <v>16</v>
      </c>
      <c r="K217" s="7" t="str">
        <f>VLOOKUP(J217,Introduction!$B$6:$C$14,2)</f>
        <v>South East</v>
      </c>
      <c r="L217" s="7">
        <v>95</v>
      </c>
      <c r="M217" s="8" t="s">
        <v>530</v>
      </c>
    </row>
    <row r="218" spans="1:13" ht="19.95" customHeight="1" x14ac:dyDescent="0.25">
      <c r="A218" s="40">
        <v>45474</v>
      </c>
      <c r="B218" s="46">
        <f>MONTH(Table13[[#This Row],[YearMonth]])</f>
        <v>7</v>
      </c>
      <c r="C218" s="5" t="s">
        <v>231</v>
      </c>
      <c r="D218" s="6" t="s">
        <v>341</v>
      </c>
      <c r="E218" s="6">
        <f>IF(Table13[[#This Row],[Quartile]]="TopQuartile", 1,
 IF(Table13[[#This Row],[Quartile]]="SecondQuartile", 2,
 IF(Table13[[#This Row],[Quartile]]="ThirdQuartile", 3,
 IF(Table13[[#This Row],[Quartile]]="FourthQuartile", 4, ""))))</f>
        <v>3</v>
      </c>
      <c r="F218" s="5" t="s">
        <v>558</v>
      </c>
      <c r="G218" s="5" t="str" cm="1">
        <f t="array" ref="G218">IFERROR(
  INDEX(Table13[Quartile],
    MATCH(1,
      (Table13[[#This Row],[OrgName]]=Table13[OrgName]) *
      (Table13[[#This Row],[Month Number]]-1=Table13[Month Number]),
    0)
  ),
"")</f>
        <v>ThirdQuartile</v>
      </c>
      <c r="H218" s="5">
        <f>IF(Table13[[#This Row],[Previous Quartile]]="TopQuartile", 1,
 IF(Table13[[#This Row],[Previous Quartile]]="SecondQuartile", 2,
 IF(Table13[[#This Row],[Previous Quartile]]="ThirdQuartile", 3,
 IF(Table13[[#This Row],[Previous Quartile]]="FourthQuartile", 4, ""))))</f>
        <v>3</v>
      </c>
      <c r="I218" s="5" t="str">
        <f>IF(Table13[[#This Row],[Previous Quartile Value]]="", "",
   IF(Table13[[#This Row],[Quartile Value]] &lt; Table13[[#This Row],[Previous Quartile Value]], "Improved",
   IF(Table13[[#This Row],[Quartile Value]] &gt; Table13[[#This Row],[Previous Quartile Value]], "Dropped", "Same")))</f>
        <v>Same</v>
      </c>
      <c r="J218" s="7" t="s">
        <v>12</v>
      </c>
      <c r="K218" s="7" t="str">
        <f>VLOOKUP(J218,Introduction!$B$6:$C$14,2)</f>
        <v>London</v>
      </c>
      <c r="L218" s="7">
        <v>491</v>
      </c>
      <c r="M218" s="8" t="s">
        <v>530</v>
      </c>
    </row>
    <row r="219" spans="1:13" ht="19.95" customHeight="1" x14ac:dyDescent="0.25">
      <c r="A219" s="40">
        <v>45474</v>
      </c>
      <c r="B219" s="46">
        <f>MONTH(Table13[[#This Row],[YearMonth]])</f>
        <v>7</v>
      </c>
      <c r="C219" s="5" t="s">
        <v>234</v>
      </c>
      <c r="D219" s="6" t="s">
        <v>341</v>
      </c>
      <c r="E219" s="6">
        <f>IF(Table13[[#This Row],[Quartile]]="TopQuartile", 1,
 IF(Table13[[#This Row],[Quartile]]="SecondQuartile", 2,
 IF(Table13[[#This Row],[Quartile]]="ThirdQuartile", 3,
 IF(Table13[[#This Row],[Quartile]]="FourthQuartile", 4, ""))))</f>
        <v>3</v>
      </c>
      <c r="F219" s="5" t="s">
        <v>559</v>
      </c>
      <c r="G219" s="5" t="str" cm="1">
        <f t="array" ref="G219">IFERROR(
  INDEX(Table13[Quartile],
    MATCH(1,
      (Table13[[#This Row],[OrgName]]=Table13[OrgName]) *
      (Table13[[#This Row],[Month Number]]-1=Table13[Month Number]),
    0)
  ),
"")</f>
        <v>ThirdQuartile</v>
      </c>
      <c r="H219" s="5">
        <f>IF(Table13[[#This Row],[Previous Quartile]]="TopQuartile", 1,
 IF(Table13[[#This Row],[Previous Quartile]]="SecondQuartile", 2,
 IF(Table13[[#This Row],[Previous Quartile]]="ThirdQuartile", 3,
 IF(Table13[[#This Row],[Previous Quartile]]="FourthQuartile", 4, ""))))</f>
        <v>3</v>
      </c>
      <c r="I219" s="5" t="str">
        <f>IF(Table13[[#This Row],[Previous Quartile Value]]="", "",
   IF(Table13[[#This Row],[Quartile Value]] &lt; Table13[[#This Row],[Previous Quartile Value]], "Improved",
   IF(Table13[[#This Row],[Quartile Value]] &gt; Table13[[#This Row],[Previous Quartile Value]], "Dropped", "Same")))</f>
        <v>Same</v>
      </c>
      <c r="J219" s="7" t="s">
        <v>22</v>
      </c>
      <c r="K219" s="7" t="str">
        <f>VLOOKUP(J219,Introduction!$B$6:$C$14,2)</f>
        <v>North West</v>
      </c>
      <c r="L219" s="7">
        <v>125</v>
      </c>
      <c r="M219" s="8" t="s">
        <v>530</v>
      </c>
    </row>
    <row r="220" spans="1:13" ht="19.95" customHeight="1" x14ac:dyDescent="0.25">
      <c r="A220" s="40">
        <v>45474</v>
      </c>
      <c r="B220" s="46">
        <f>MONTH(Table13[[#This Row],[YearMonth]])</f>
        <v>7</v>
      </c>
      <c r="C220" s="5" t="s">
        <v>247</v>
      </c>
      <c r="D220" s="6" t="s">
        <v>350</v>
      </c>
      <c r="E220" s="6">
        <f>IF(Table13[[#This Row],[Quartile]]="TopQuartile", 1,
 IF(Table13[[#This Row],[Quartile]]="SecondQuartile", 2,
 IF(Table13[[#This Row],[Quartile]]="ThirdQuartile", 3,
 IF(Table13[[#This Row],[Quartile]]="FourthQuartile", 4, ""))))</f>
        <v>4</v>
      </c>
      <c r="F220" s="5" t="s">
        <v>560</v>
      </c>
      <c r="G220" s="5" t="str" cm="1">
        <f t="array" ref="G220">IFERROR(
  INDEX(Table13[Quartile],
    MATCH(1,
      (Table13[[#This Row],[OrgName]]=Table13[OrgName]) *
      (Table13[[#This Row],[Month Number]]-1=Table13[Month Number]),
    0)
  ),
"")</f>
        <v>FourthQuartile</v>
      </c>
      <c r="H220" s="5">
        <f>IF(Table13[[#This Row],[Previous Quartile]]="TopQuartile", 1,
 IF(Table13[[#This Row],[Previous Quartile]]="SecondQuartile", 2,
 IF(Table13[[#This Row],[Previous Quartile]]="ThirdQuartile", 3,
 IF(Table13[[#This Row],[Previous Quartile]]="FourthQuartile", 4, ""))))</f>
        <v>4</v>
      </c>
      <c r="I220" s="5" t="str">
        <f>IF(Table13[[#This Row],[Previous Quartile Value]]="", "",
   IF(Table13[[#This Row],[Quartile Value]] &lt; Table13[[#This Row],[Previous Quartile Value]], "Improved",
   IF(Table13[[#This Row],[Quartile Value]] &gt; Table13[[#This Row],[Previous Quartile Value]], "Dropped", "Same")))</f>
        <v>Same</v>
      </c>
      <c r="J220" s="7" t="s">
        <v>24</v>
      </c>
      <c r="K220" s="7" t="str">
        <f>VLOOKUP(J220,Introduction!$B$6:$C$14,2)</f>
        <v>North East and Yorkshire</v>
      </c>
      <c r="L220" s="7">
        <v>134</v>
      </c>
      <c r="M220" s="8" t="s">
        <v>530</v>
      </c>
    </row>
    <row r="221" spans="1:13" ht="19.95" customHeight="1" x14ac:dyDescent="0.25">
      <c r="A221" s="40">
        <v>45474</v>
      </c>
      <c r="B221" s="46">
        <f>MONTH(Table13[[#This Row],[YearMonth]])</f>
        <v>7</v>
      </c>
      <c r="C221" s="5" t="s">
        <v>262</v>
      </c>
      <c r="D221" s="6" t="s">
        <v>350</v>
      </c>
      <c r="E221" s="6">
        <f>IF(Table13[[#This Row],[Quartile]]="TopQuartile", 1,
 IF(Table13[[#This Row],[Quartile]]="SecondQuartile", 2,
 IF(Table13[[#This Row],[Quartile]]="ThirdQuartile", 3,
 IF(Table13[[#This Row],[Quartile]]="FourthQuartile", 4, ""))))</f>
        <v>4</v>
      </c>
      <c r="F221" s="5" t="s">
        <v>561</v>
      </c>
      <c r="G221" s="5" t="str" cm="1">
        <f t="array" ref="G221">IFERROR(
  INDEX(Table13[Quartile],
    MATCH(1,
      (Table13[[#This Row],[OrgName]]=Table13[OrgName]) *
      (Table13[[#This Row],[Month Number]]-1=Table13[Month Number]),
    0)
  ),
"")</f>
        <v>FourthQuartile</v>
      </c>
      <c r="H221" s="5">
        <f>IF(Table13[[#This Row],[Previous Quartile]]="TopQuartile", 1,
 IF(Table13[[#This Row],[Previous Quartile]]="SecondQuartile", 2,
 IF(Table13[[#This Row],[Previous Quartile]]="ThirdQuartile", 3,
 IF(Table13[[#This Row],[Previous Quartile]]="FourthQuartile", 4, ""))))</f>
        <v>4</v>
      </c>
      <c r="I221" s="5" t="str">
        <f>IF(Table13[[#This Row],[Previous Quartile Value]]="", "",
   IF(Table13[[#This Row],[Quartile Value]] &lt; Table13[[#This Row],[Previous Quartile Value]], "Improved",
   IF(Table13[[#This Row],[Quartile Value]] &gt; Table13[[#This Row],[Previous Quartile Value]], "Dropped", "Same")))</f>
        <v>Same</v>
      </c>
      <c r="J221" s="7" t="s">
        <v>22</v>
      </c>
      <c r="K221" s="7" t="str">
        <f>VLOOKUP(J221,Introduction!$B$6:$C$14,2)</f>
        <v>North West</v>
      </c>
      <c r="L221" s="7">
        <v>896</v>
      </c>
      <c r="M221" s="8" t="s">
        <v>530</v>
      </c>
    </row>
    <row r="222" spans="1:13" ht="19.95" customHeight="1" x14ac:dyDescent="0.25">
      <c r="A222" s="40">
        <v>45474</v>
      </c>
      <c r="B222" s="46">
        <f>MONTH(Table13[[#This Row],[YearMonth]])</f>
        <v>7</v>
      </c>
      <c r="C222" s="5" t="s">
        <v>265</v>
      </c>
      <c r="D222" s="6" t="s">
        <v>350</v>
      </c>
      <c r="E222" s="6">
        <f>IF(Table13[[#This Row],[Quartile]]="TopQuartile", 1,
 IF(Table13[[#This Row],[Quartile]]="SecondQuartile", 2,
 IF(Table13[[#This Row],[Quartile]]="ThirdQuartile", 3,
 IF(Table13[[#This Row],[Quartile]]="FourthQuartile", 4, ""))))</f>
        <v>4</v>
      </c>
      <c r="F222" s="5" t="s">
        <v>562</v>
      </c>
      <c r="G222" s="5" t="str" cm="1">
        <f t="array" ref="G222">IFERROR(
  INDEX(Table13[Quartile],
    MATCH(1,
      (Table13[[#This Row],[OrgName]]=Table13[OrgName]) *
      (Table13[[#This Row],[Month Number]]-1=Table13[Month Number]),
    0)
  ),
"")</f>
        <v>FourthQuartile</v>
      </c>
      <c r="H222" s="5">
        <f>IF(Table13[[#This Row],[Previous Quartile]]="TopQuartile", 1,
 IF(Table13[[#This Row],[Previous Quartile]]="SecondQuartile", 2,
 IF(Table13[[#This Row],[Previous Quartile]]="ThirdQuartile", 3,
 IF(Table13[[#This Row],[Previous Quartile]]="FourthQuartile", 4, ""))))</f>
        <v>4</v>
      </c>
      <c r="I222" s="5" t="str">
        <f>IF(Table13[[#This Row],[Previous Quartile Value]]="", "",
   IF(Table13[[#This Row],[Quartile Value]] &lt; Table13[[#This Row],[Previous Quartile Value]], "Improved",
   IF(Table13[[#This Row],[Quartile Value]] &gt; Table13[[#This Row],[Previous Quartile Value]], "Dropped", "Same")))</f>
        <v>Same</v>
      </c>
      <c r="J222" s="7" t="s">
        <v>16</v>
      </c>
      <c r="K222" s="7" t="str">
        <f>VLOOKUP(J222,Introduction!$B$6:$C$14,2)</f>
        <v>South East</v>
      </c>
      <c r="L222" s="7">
        <v>256</v>
      </c>
      <c r="M222" s="8" t="s">
        <v>530</v>
      </c>
    </row>
    <row r="223" spans="1:13" ht="19.95" customHeight="1" x14ac:dyDescent="0.25">
      <c r="A223" s="40">
        <v>45474</v>
      </c>
      <c r="B223" s="46">
        <f>MONTH(Table13[[#This Row],[YearMonth]])</f>
        <v>7</v>
      </c>
      <c r="C223" s="5" t="s">
        <v>266</v>
      </c>
      <c r="D223" s="6" t="s">
        <v>350</v>
      </c>
      <c r="E223" s="6">
        <f>IF(Table13[[#This Row],[Quartile]]="TopQuartile", 1,
 IF(Table13[[#This Row],[Quartile]]="SecondQuartile", 2,
 IF(Table13[[#This Row],[Quartile]]="ThirdQuartile", 3,
 IF(Table13[[#This Row],[Quartile]]="FourthQuartile", 4, ""))))</f>
        <v>4</v>
      </c>
      <c r="F223" s="5" t="s">
        <v>563</v>
      </c>
      <c r="G223" s="5" t="str" cm="1">
        <f t="array" ref="G223">IFERROR(
  INDEX(Table13[Quartile],
    MATCH(1,
      (Table13[[#This Row],[OrgName]]=Table13[OrgName]) *
      (Table13[[#This Row],[Month Number]]-1=Table13[Month Number]),
    0)
  ),
"")</f>
        <v>FourthQuartile</v>
      </c>
      <c r="H223" s="5">
        <f>IF(Table13[[#This Row],[Previous Quartile]]="TopQuartile", 1,
 IF(Table13[[#This Row],[Previous Quartile]]="SecondQuartile", 2,
 IF(Table13[[#This Row],[Previous Quartile]]="ThirdQuartile", 3,
 IF(Table13[[#This Row],[Previous Quartile]]="FourthQuartile", 4, ""))))</f>
        <v>4</v>
      </c>
      <c r="I223" s="5" t="str">
        <f>IF(Table13[[#This Row],[Previous Quartile Value]]="", "",
   IF(Table13[[#This Row],[Quartile Value]] &lt; Table13[[#This Row],[Previous Quartile Value]], "Improved",
   IF(Table13[[#This Row],[Quartile Value]] &gt; Table13[[#This Row],[Previous Quartile Value]], "Dropped", "Same")))</f>
        <v>Same</v>
      </c>
      <c r="J223" s="7" t="s">
        <v>12</v>
      </c>
      <c r="K223" s="7" t="str">
        <f>VLOOKUP(J223,Introduction!$B$6:$C$14,2)</f>
        <v>London</v>
      </c>
      <c r="L223" s="7">
        <v>161</v>
      </c>
      <c r="M223" s="8" t="s">
        <v>530</v>
      </c>
    </row>
    <row r="224" spans="1:13" ht="19.95" customHeight="1" x14ac:dyDescent="0.25">
      <c r="A224" s="40">
        <v>45474</v>
      </c>
      <c r="B224" s="46">
        <f>MONTH(Table13[[#This Row],[YearMonth]])</f>
        <v>7</v>
      </c>
      <c r="C224" s="5" t="s">
        <v>272</v>
      </c>
      <c r="D224" s="6" t="s">
        <v>350</v>
      </c>
      <c r="E224" s="6">
        <f>IF(Table13[[#This Row],[Quartile]]="TopQuartile", 1,
 IF(Table13[[#This Row],[Quartile]]="SecondQuartile", 2,
 IF(Table13[[#This Row],[Quartile]]="ThirdQuartile", 3,
 IF(Table13[[#This Row],[Quartile]]="FourthQuartile", 4, ""))))</f>
        <v>4</v>
      </c>
      <c r="F224" s="5" t="s">
        <v>564</v>
      </c>
      <c r="G224" s="5" t="str" cm="1">
        <f t="array" ref="G224">IFERROR(
  INDEX(Table13[Quartile],
    MATCH(1,
      (Table13[[#This Row],[OrgName]]=Table13[OrgName]) *
      (Table13[[#This Row],[Month Number]]-1=Table13[Month Number]),
    0)
  ),
"")</f>
        <v>FourthQuartile</v>
      </c>
      <c r="H224" s="5">
        <f>IF(Table13[[#This Row],[Previous Quartile]]="TopQuartile", 1,
 IF(Table13[[#This Row],[Previous Quartile]]="SecondQuartile", 2,
 IF(Table13[[#This Row],[Previous Quartile]]="ThirdQuartile", 3,
 IF(Table13[[#This Row],[Previous Quartile]]="FourthQuartile", 4, ""))))</f>
        <v>4</v>
      </c>
      <c r="I224" s="5" t="str">
        <f>IF(Table13[[#This Row],[Previous Quartile Value]]="", "",
   IF(Table13[[#This Row],[Quartile Value]] &lt; Table13[[#This Row],[Previous Quartile Value]], "Improved",
   IF(Table13[[#This Row],[Quartile Value]] &gt; Table13[[#This Row],[Previous Quartile Value]], "Dropped", "Same")))</f>
        <v>Same</v>
      </c>
      <c r="J224" s="7" t="s">
        <v>20</v>
      </c>
      <c r="K224" s="7" t="str">
        <f>VLOOKUP(J224,Introduction!$B$6:$C$14,2)</f>
        <v>East of England</v>
      </c>
      <c r="L224" s="7">
        <v>708</v>
      </c>
      <c r="M224" s="8" t="s">
        <v>530</v>
      </c>
    </row>
    <row r="225" spans="1:13" ht="19.95" customHeight="1" x14ac:dyDescent="0.25">
      <c r="A225" s="40">
        <v>45474</v>
      </c>
      <c r="B225" s="46">
        <f>MONTH(Table13[[#This Row],[YearMonth]])</f>
        <v>7</v>
      </c>
      <c r="C225" s="5" t="s">
        <v>275</v>
      </c>
      <c r="D225" s="6" t="s">
        <v>350</v>
      </c>
      <c r="E225" s="6">
        <f>IF(Table13[[#This Row],[Quartile]]="TopQuartile", 1,
 IF(Table13[[#This Row],[Quartile]]="SecondQuartile", 2,
 IF(Table13[[#This Row],[Quartile]]="ThirdQuartile", 3,
 IF(Table13[[#This Row],[Quartile]]="FourthQuartile", 4, ""))))</f>
        <v>4</v>
      </c>
      <c r="F225" s="5" t="s">
        <v>565</v>
      </c>
      <c r="G225" s="5" t="str" cm="1">
        <f t="array" ref="G225">IFERROR(
  INDEX(Table13[Quartile],
    MATCH(1,
      (Table13[[#This Row],[OrgName]]=Table13[OrgName]) *
      (Table13[[#This Row],[Month Number]]-1=Table13[Month Number]),
    0)
  ),
"")</f>
        <v>FourthQuartile</v>
      </c>
      <c r="H225" s="5">
        <f>IF(Table13[[#This Row],[Previous Quartile]]="TopQuartile", 1,
 IF(Table13[[#This Row],[Previous Quartile]]="SecondQuartile", 2,
 IF(Table13[[#This Row],[Previous Quartile]]="ThirdQuartile", 3,
 IF(Table13[[#This Row],[Previous Quartile]]="FourthQuartile", 4, ""))))</f>
        <v>4</v>
      </c>
      <c r="I225" s="5" t="str">
        <f>IF(Table13[[#This Row],[Previous Quartile Value]]="", "",
   IF(Table13[[#This Row],[Quartile Value]] &lt; Table13[[#This Row],[Previous Quartile Value]], "Improved",
   IF(Table13[[#This Row],[Quartile Value]] &gt; Table13[[#This Row],[Previous Quartile Value]], "Dropped", "Same")))</f>
        <v>Same</v>
      </c>
      <c r="J225" s="7" t="s">
        <v>18</v>
      </c>
      <c r="K225" s="7" t="str">
        <f>VLOOKUP(J225,Introduction!$B$6:$C$14,2)</f>
        <v>Midlands</v>
      </c>
      <c r="L225" s="7">
        <v>118</v>
      </c>
      <c r="M225" s="8" t="s">
        <v>530</v>
      </c>
    </row>
    <row r="226" spans="1:13" ht="19.95" customHeight="1" x14ac:dyDescent="0.25">
      <c r="A226" s="40">
        <v>45474</v>
      </c>
      <c r="B226" s="46">
        <f>MONTH(Table13[[#This Row],[YearMonth]])</f>
        <v>7</v>
      </c>
      <c r="C226" s="5" t="s">
        <v>284</v>
      </c>
      <c r="D226" s="6" t="s">
        <v>350</v>
      </c>
      <c r="E226" s="6">
        <f>IF(Table13[[#This Row],[Quartile]]="TopQuartile", 1,
 IF(Table13[[#This Row],[Quartile]]="SecondQuartile", 2,
 IF(Table13[[#This Row],[Quartile]]="ThirdQuartile", 3,
 IF(Table13[[#This Row],[Quartile]]="FourthQuartile", 4, ""))))</f>
        <v>4</v>
      </c>
      <c r="F226" s="5" t="s">
        <v>566</v>
      </c>
      <c r="G226" s="5" t="str" cm="1">
        <f t="array" ref="G226">IFERROR(
  INDEX(Table13[Quartile],
    MATCH(1,
      (Table13[[#This Row],[OrgName]]=Table13[OrgName]) *
      (Table13[[#This Row],[Month Number]]-1=Table13[Month Number]),
    0)
  ),
"")</f>
        <v>FourthQuartile</v>
      </c>
      <c r="H226" s="5">
        <f>IF(Table13[[#This Row],[Previous Quartile]]="TopQuartile", 1,
 IF(Table13[[#This Row],[Previous Quartile]]="SecondQuartile", 2,
 IF(Table13[[#This Row],[Previous Quartile]]="ThirdQuartile", 3,
 IF(Table13[[#This Row],[Previous Quartile]]="FourthQuartile", 4, ""))))</f>
        <v>4</v>
      </c>
      <c r="I226" s="5" t="str">
        <f>IF(Table13[[#This Row],[Previous Quartile Value]]="", "",
   IF(Table13[[#This Row],[Quartile Value]] &lt; Table13[[#This Row],[Previous Quartile Value]], "Improved",
   IF(Table13[[#This Row],[Quartile Value]] &gt; Table13[[#This Row],[Previous Quartile Value]], "Dropped", "Same")))</f>
        <v>Same</v>
      </c>
      <c r="J226" s="7" t="s">
        <v>20</v>
      </c>
      <c r="K226" s="7" t="str">
        <f>VLOOKUP(J226,Introduction!$B$6:$C$14,2)</f>
        <v>East of England</v>
      </c>
      <c r="L226" s="7">
        <v>468</v>
      </c>
      <c r="M226" s="8" t="s">
        <v>530</v>
      </c>
    </row>
    <row r="227" spans="1:13" ht="19.95" customHeight="1" x14ac:dyDescent="0.25">
      <c r="A227" s="40">
        <v>45474</v>
      </c>
      <c r="B227" s="46">
        <f>MONTH(Table13[[#This Row],[YearMonth]])</f>
        <v>7</v>
      </c>
      <c r="C227" s="5" t="s">
        <v>302</v>
      </c>
      <c r="D227" s="6" t="s">
        <v>350</v>
      </c>
      <c r="E227" s="6">
        <f>IF(Table13[[#This Row],[Quartile]]="TopQuartile", 1,
 IF(Table13[[#This Row],[Quartile]]="SecondQuartile", 2,
 IF(Table13[[#This Row],[Quartile]]="ThirdQuartile", 3,
 IF(Table13[[#This Row],[Quartile]]="FourthQuartile", 4, ""))))</f>
        <v>4</v>
      </c>
      <c r="F227" s="5" t="s">
        <v>567</v>
      </c>
      <c r="G227" s="5" t="str" cm="1">
        <f t="array" ref="G227">IFERROR(
  INDEX(Table13[Quartile],
    MATCH(1,
      (Table13[[#This Row],[OrgName]]=Table13[OrgName]) *
      (Table13[[#This Row],[Month Number]]-1=Table13[Month Number]),
    0)
  ),
"")</f>
        <v>FourthQuartile</v>
      </c>
      <c r="H227" s="5">
        <f>IF(Table13[[#This Row],[Previous Quartile]]="TopQuartile", 1,
 IF(Table13[[#This Row],[Previous Quartile]]="SecondQuartile", 2,
 IF(Table13[[#This Row],[Previous Quartile]]="ThirdQuartile", 3,
 IF(Table13[[#This Row],[Previous Quartile]]="FourthQuartile", 4, ""))))</f>
        <v>4</v>
      </c>
      <c r="I227" s="5" t="str">
        <f>IF(Table13[[#This Row],[Previous Quartile Value]]="", "",
   IF(Table13[[#This Row],[Quartile Value]] &lt; Table13[[#This Row],[Previous Quartile Value]], "Improved",
   IF(Table13[[#This Row],[Quartile Value]] &gt; Table13[[#This Row],[Previous Quartile Value]], "Dropped", "Same")))</f>
        <v>Same</v>
      </c>
      <c r="J227" s="7" t="s">
        <v>24</v>
      </c>
      <c r="K227" s="7" t="str">
        <f>VLOOKUP(J227,Introduction!$B$6:$C$14,2)</f>
        <v>North East and Yorkshire</v>
      </c>
      <c r="L227" s="7">
        <v>475</v>
      </c>
      <c r="M227" s="8" t="s">
        <v>530</v>
      </c>
    </row>
    <row r="228" spans="1:13" ht="19.95" customHeight="1" x14ac:dyDescent="0.25">
      <c r="A228" s="40">
        <v>45474</v>
      </c>
      <c r="B228" s="46">
        <f>MONTH(Table13[[#This Row],[YearMonth]])</f>
        <v>7</v>
      </c>
      <c r="C228" s="5" t="s">
        <v>303</v>
      </c>
      <c r="D228" s="6" t="s">
        <v>350</v>
      </c>
      <c r="E228" s="6">
        <f>IF(Table13[[#This Row],[Quartile]]="TopQuartile", 1,
 IF(Table13[[#This Row],[Quartile]]="SecondQuartile", 2,
 IF(Table13[[#This Row],[Quartile]]="ThirdQuartile", 3,
 IF(Table13[[#This Row],[Quartile]]="FourthQuartile", 4, ""))))</f>
        <v>4</v>
      </c>
      <c r="F228" s="5" t="s">
        <v>568</v>
      </c>
      <c r="G228" s="5" t="str" cm="1">
        <f t="array" ref="G228">IFERROR(
  INDEX(Table13[Quartile],
    MATCH(1,
      (Table13[[#This Row],[OrgName]]=Table13[OrgName]) *
      (Table13[[#This Row],[Month Number]]-1=Table13[Month Number]),
    0)
  ),
"")</f>
        <v>FourthQuartile</v>
      </c>
      <c r="H228" s="5">
        <f>IF(Table13[[#This Row],[Previous Quartile]]="TopQuartile", 1,
 IF(Table13[[#This Row],[Previous Quartile]]="SecondQuartile", 2,
 IF(Table13[[#This Row],[Previous Quartile]]="ThirdQuartile", 3,
 IF(Table13[[#This Row],[Previous Quartile]]="FourthQuartile", 4, ""))))</f>
        <v>4</v>
      </c>
      <c r="I228" s="5" t="str">
        <f>IF(Table13[[#This Row],[Previous Quartile Value]]="", "",
   IF(Table13[[#This Row],[Quartile Value]] &lt; Table13[[#This Row],[Previous Quartile Value]], "Improved",
   IF(Table13[[#This Row],[Quartile Value]] &gt; Table13[[#This Row],[Previous Quartile Value]], "Dropped", "Same")))</f>
        <v>Same</v>
      </c>
      <c r="J228" s="7" t="s">
        <v>14</v>
      </c>
      <c r="K228" s="7" t="str">
        <f>VLOOKUP(J228,Introduction!$B$6:$C$14,2)</f>
        <v>South West</v>
      </c>
      <c r="L228" s="7">
        <v>467</v>
      </c>
      <c r="M228" s="8" t="s">
        <v>530</v>
      </c>
    </row>
    <row r="229" spans="1:13" ht="19.95" customHeight="1" x14ac:dyDescent="0.25">
      <c r="A229" s="40">
        <v>45474</v>
      </c>
      <c r="B229" s="46">
        <f>MONTH(Table13[[#This Row],[YearMonth]])</f>
        <v>7</v>
      </c>
      <c r="C229" s="5" t="s">
        <v>304</v>
      </c>
      <c r="D229" s="6" t="s">
        <v>350</v>
      </c>
      <c r="E229" s="6">
        <f>IF(Table13[[#This Row],[Quartile]]="TopQuartile", 1,
 IF(Table13[[#This Row],[Quartile]]="SecondQuartile", 2,
 IF(Table13[[#This Row],[Quartile]]="ThirdQuartile", 3,
 IF(Table13[[#This Row],[Quartile]]="FourthQuartile", 4, ""))))</f>
        <v>4</v>
      </c>
      <c r="F229" s="5" t="s">
        <v>569</v>
      </c>
      <c r="G229" s="5" t="str" cm="1">
        <f t="array" ref="G229">IFERROR(
  INDEX(Table13[Quartile],
    MATCH(1,
      (Table13[[#This Row],[OrgName]]=Table13[OrgName]) *
      (Table13[[#This Row],[Month Number]]-1=Table13[Month Number]),
    0)
  ),
"")</f>
        <v>FourthQuartile</v>
      </c>
      <c r="H229" s="5">
        <f>IF(Table13[[#This Row],[Previous Quartile]]="TopQuartile", 1,
 IF(Table13[[#This Row],[Previous Quartile]]="SecondQuartile", 2,
 IF(Table13[[#This Row],[Previous Quartile]]="ThirdQuartile", 3,
 IF(Table13[[#This Row],[Previous Quartile]]="FourthQuartile", 4, ""))))</f>
        <v>4</v>
      </c>
      <c r="I229" s="5" t="str">
        <f>IF(Table13[[#This Row],[Previous Quartile Value]]="", "",
   IF(Table13[[#This Row],[Quartile Value]] &lt; Table13[[#This Row],[Previous Quartile Value]], "Improved",
   IF(Table13[[#This Row],[Quartile Value]] &gt; Table13[[#This Row],[Previous Quartile Value]], "Dropped", "Same")))</f>
        <v>Same</v>
      </c>
      <c r="J229" s="7" t="s">
        <v>20</v>
      </c>
      <c r="K229" s="7" t="str">
        <f>VLOOKUP(J229,Introduction!$B$6:$C$14,2)</f>
        <v>East of England</v>
      </c>
      <c r="L229" s="7">
        <v>710</v>
      </c>
      <c r="M229" s="8" t="s">
        <v>530</v>
      </c>
    </row>
    <row r="230" spans="1:13" ht="19.95" customHeight="1" x14ac:dyDescent="0.25">
      <c r="A230" s="40">
        <v>45474</v>
      </c>
      <c r="B230" s="46">
        <f>MONTH(Table13[[#This Row],[YearMonth]])</f>
        <v>7</v>
      </c>
      <c r="C230" s="5" t="s">
        <v>311</v>
      </c>
      <c r="D230" s="6" t="s">
        <v>350</v>
      </c>
      <c r="E230" s="6">
        <f>IF(Table13[[#This Row],[Quartile]]="TopQuartile", 1,
 IF(Table13[[#This Row],[Quartile]]="SecondQuartile", 2,
 IF(Table13[[#This Row],[Quartile]]="ThirdQuartile", 3,
 IF(Table13[[#This Row],[Quartile]]="FourthQuartile", 4, ""))))</f>
        <v>4</v>
      </c>
      <c r="F230" s="5" t="s">
        <v>570</v>
      </c>
      <c r="G230" s="5" t="str" cm="1">
        <f t="array" ref="G230">IFERROR(
  INDEX(Table13[Quartile],
    MATCH(1,
      (Table13[[#This Row],[OrgName]]=Table13[OrgName]) *
      (Table13[[#This Row],[Month Number]]-1=Table13[Month Number]),
    0)
  ),
"")</f>
        <v>FourthQuartile</v>
      </c>
      <c r="H230" s="5">
        <f>IF(Table13[[#This Row],[Previous Quartile]]="TopQuartile", 1,
 IF(Table13[[#This Row],[Previous Quartile]]="SecondQuartile", 2,
 IF(Table13[[#This Row],[Previous Quartile]]="ThirdQuartile", 3,
 IF(Table13[[#This Row],[Previous Quartile]]="FourthQuartile", 4, ""))))</f>
        <v>4</v>
      </c>
      <c r="I230" s="5" t="str">
        <f>IF(Table13[[#This Row],[Previous Quartile Value]]="", "",
   IF(Table13[[#This Row],[Quartile Value]] &lt; Table13[[#This Row],[Previous Quartile Value]], "Improved",
   IF(Table13[[#This Row],[Quartile Value]] &gt; Table13[[#This Row],[Previous Quartile Value]], "Dropped", "Same")))</f>
        <v>Same</v>
      </c>
      <c r="J230" s="7" t="s">
        <v>24</v>
      </c>
      <c r="K230" s="7" t="str">
        <f>VLOOKUP(J230,Introduction!$B$6:$C$14,2)</f>
        <v>North East and Yorkshire</v>
      </c>
      <c r="L230" s="7">
        <v>857</v>
      </c>
      <c r="M230" s="8" t="s">
        <v>530</v>
      </c>
    </row>
    <row r="231" spans="1:13" ht="19.95" customHeight="1" x14ac:dyDescent="0.25">
      <c r="A231" s="40">
        <v>45474</v>
      </c>
      <c r="B231" s="46">
        <f>MONTH(Table13[[#This Row],[YearMonth]])</f>
        <v>7</v>
      </c>
      <c r="C231" s="5" t="s">
        <v>312</v>
      </c>
      <c r="D231" s="6" t="s">
        <v>350</v>
      </c>
      <c r="E231" s="6">
        <f>IF(Table13[[#This Row],[Quartile]]="TopQuartile", 1,
 IF(Table13[[#This Row],[Quartile]]="SecondQuartile", 2,
 IF(Table13[[#This Row],[Quartile]]="ThirdQuartile", 3,
 IF(Table13[[#This Row],[Quartile]]="FourthQuartile", 4, ""))))</f>
        <v>4</v>
      </c>
      <c r="F231" s="5" t="s">
        <v>571</v>
      </c>
      <c r="G231" s="5" t="str" cm="1">
        <f t="array" ref="G231">IFERROR(
  INDEX(Table13[Quartile],
    MATCH(1,
      (Table13[[#This Row],[OrgName]]=Table13[OrgName]) *
      (Table13[[#This Row],[Month Number]]-1=Table13[Month Number]),
    0)
  ),
"")</f>
        <v>FourthQuartile</v>
      </c>
      <c r="H231" s="5">
        <f>IF(Table13[[#This Row],[Previous Quartile]]="TopQuartile", 1,
 IF(Table13[[#This Row],[Previous Quartile]]="SecondQuartile", 2,
 IF(Table13[[#This Row],[Previous Quartile]]="ThirdQuartile", 3,
 IF(Table13[[#This Row],[Previous Quartile]]="FourthQuartile", 4, ""))))</f>
        <v>4</v>
      </c>
      <c r="I231" s="5" t="str">
        <f>IF(Table13[[#This Row],[Previous Quartile Value]]="", "",
   IF(Table13[[#This Row],[Quartile Value]] &lt; Table13[[#This Row],[Previous Quartile Value]], "Improved",
   IF(Table13[[#This Row],[Quartile Value]] &gt; Table13[[#This Row],[Previous Quartile Value]], "Dropped", "Same")))</f>
        <v>Same</v>
      </c>
      <c r="J231" s="7" t="s">
        <v>20</v>
      </c>
      <c r="K231" s="7" t="str">
        <f>VLOOKUP(J231,Introduction!$B$6:$C$14,2)</f>
        <v>East of England</v>
      </c>
      <c r="L231" s="7">
        <v>644</v>
      </c>
      <c r="M231" s="8" t="s">
        <v>530</v>
      </c>
    </row>
    <row r="232" spans="1:13" ht="19.95" customHeight="1" x14ac:dyDescent="0.25">
      <c r="A232" s="40">
        <v>45474</v>
      </c>
      <c r="B232" s="46">
        <f>MONTH(Table13[[#This Row],[YearMonth]])</f>
        <v>7</v>
      </c>
      <c r="C232" s="5" t="s">
        <v>34</v>
      </c>
      <c r="D232" s="6" t="s">
        <v>330</v>
      </c>
      <c r="E232" s="6">
        <f>IF(Table13[[#This Row],[Quartile]]="TopQuartile", 1,
 IF(Table13[[#This Row],[Quartile]]="SecondQuartile", 2,
 IF(Table13[[#This Row],[Quartile]]="ThirdQuartile", 3,
 IF(Table13[[#This Row],[Quartile]]="FourthQuartile", 4, ""))))</f>
        <v>1</v>
      </c>
      <c r="F232" s="5" t="s">
        <v>572</v>
      </c>
      <c r="G232" s="5" t="str" cm="1">
        <f t="array" ref="G232">IFERROR(
  INDEX(Table13[Quartile],
    MATCH(1,
      (Table13[[#This Row],[OrgName]]=Table13[OrgName]) *
      (Table13[[#This Row],[Month Number]]-1=Table13[Month Number]),
    0)
  ),
"")</f>
        <v>TopQuartile</v>
      </c>
      <c r="H232" s="5">
        <f>IF(Table13[[#This Row],[Previous Quartile]]="TopQuartile", 1,
 IF(Table13[[#This Row],[Previous Quartile]]="SecondQuartile", 2,
 IF(Table13[[#This Row],[Previous Quartile]]="ThirdQuartile", 3,
 IF(Table13[[#This Row],[Previous Quartile]]="FourthQuartile", 4, ""))))</f>
        <v>1</v>
      </c>
      <c r="I232" s="5" t="str">
        <f>IF(Table13[[#This Row],[Previous Quartile Value]]="", "",
   IF(Table13[[#This Row],[Quartile Value]] &lt; Table13[[#This Row],[Previous Quartile Value]], "Improved",
   IF(Table13[[#This Row],[Quartile Value]] &gt; Table13[[#This Row],[Previous Quartile Value]], "Dropped", "Same")))</f>
        <v>Same</v>
      </c>
      <c r="J232" s="7" t="s">
        <v>14</v>
      </c>
      <c r="K232" s="7" t="str">
        <f>VLOOKUP(J232,Introduction!$B$6:$C$14,2)</f>
        <v>South West</v>
      </c>
      <c r="L232" s="7">
        <v>201</v>
      </c>
      <c r="M232" s="8" t="s">
        <v>573</v>
      </c>
    </row>
    <row r="233" spans="1:13" ht="19.95" customHeight="1" x14ac:dyDescent="0.25">
      <c r="A233" s="40">
        <v>45474</v>
      </c>
      <c r="B233" s="46">
        <f>MONTH(Table13[[#This Row],[YearMonth]])</f>
        <v>7</v>
      </c>
      <c r="C233" s="5" t="s">
        <v>36</v>
      </c>
      <c r="D233" s="6" t="s">
        <v>330</v>
      </c>
      <c r="E233" s="6">
        <f>IF(Table13[[#This Row],[Quartile]]="TopQuartile", 1,
 IF(Table13[[#This Row],[Quartile]]="SecondQuartile", 2,
 IF(Table13[[#This Row],[Quartile]]="ThirdQuartile", 3,
 IF(Table13[[#This Row],[Quartile]]="FourthQuartile", 4, ""))))</f>
        <v>1</v>
      </c>
      <c r="F233" s="5" t="s">
        <v>574</v>
      </c>
      <c r="G233" s="5" t="str" cm="1">
        <f t="array" ref="G233">IFERROR(
  INDEX(Table13[Quartile],
    MATCH(1,
      (Table13[[#This Row],[OrgName]]=Table13[OrgName]) *
      (Table13[[#This Row],[Month Number]]-1=Table13[Month Number]),
    0)
  ),
"")</f>
        <v>TopQuartile</v>
      </c>
      <c r="H233" s="5">
        <f>IF(Table13[[#This Row],[Previous Quartile]]="TopQuartile", 1,
 IF(Table13[[#This Row],[Previous Quartile]]="SecondQuartile", 2,
 IF(Table13[[#This Row],[Previous Quartile]]="ThirdQuartile", 3,
 IF(Table13[[#This Row],[Previous Quartile]]="FourthQuartile", 4, ""))))</f>
        <v>1</v>
      </c>
      <c r="I233" s="5" t="str">
        <f>IF(Table13[[#This Row],[Previous Quartile Value]]="", "",
   IF(Table13[[#This Row],[Quartile Value]] &lt; Table13[[#This Row],[Previous Quartile Value]], "Improved",
   IF(Table13[[#This Row],[Quartile Value]] &gt; Table13[[#This Row],[Previous Quartile Value]], "Dropped", "Same")))</f>
        <v>Same</v>
      </c>
      <c r="J233" s="7" t="s">
        <v>18</v>
      </c>
      <c r="K233" s="7" t="str">
        <f>VLOOKUP(J233,Introduction!$B$6:$C$14,2)</f>
        <v>Midlands</v>
      </c>
      <c r="L233" s="7">
        <v>274</v>
      </c>
      <c r="M233" s="8" t="s">
        <v>573</v>
      </c>
    </row>
    <row r="234" spans="1:13" ht="19.95" customHeight="1" x14ac:dyDescent="0.25">
      <c r="A234" s="40">
        <v>45474</v>
      </c>
      <c r="B234" s="46">
        <f>MONTH(Table13[[#This Row],[YearMonth]])</f>
        <v>7</v>
      </c>
      <c r="C234" s="5" t="s">
        <v>38</v>
      </c>
      <c r="D234" s="6" t="s">
        <v>330</v>
      </c>
      <c r="E234" s="6">
        <f>IF(Table13[[#This Row],[Quartile]]="TopQuartile", 1,
 IF(Table13[[#This Row],[Quartile]]="SecondQuartile", 2,
 IF(Table13[[#This Row],[Quartile]]="ThirdQuartile", 3,
 IF(Table13[[#This Row],[Quartile]]="FourthQuartile", 4, ""))))</f>
        <v>1</v>
      </c>
      <c r="F234" s="5" t="s">
        <v>575</v>
      </c>
      <c r="G234" s="5" t="str" cm="1">
        <f t="array" ref="G234">IFERROR(
  INDEX(Table13[Quartile],
    MATCH(1,
      (Table13[[#This Row],[OrgName]]=Table13[OrgName]) *
      (Table13[[#This Row],[Month Number]]-1=Table13[Month Number]),
    0)
  ),
"")</f>
        <v>TopQuartile</v>
      </c>
      <c r="H234" s="5">
        <f>IF(Table13[[#This Row],[Previous Quartile]]="TopQuartile", 1,
 IF(Table13[[#This Row],[Previous Quartile]]="SecondQuartile", 2,
 IF(Table13[[#This Row],[Previous Quartile]]="ThirdQuartile", 3,
 IF(Table13[[#This Row],[Previous Quartile]]="FourthQuartile", 4, ""))))</f>
        <v>1</v>
      </c>
      <c r="I234" s="5" t="str">
        <f>IF(Table13[[#This Row],[Previous Quartile Value]]="", "",
   IF(Table13[[#This Row],[Quartile Value]] &lt; Table13[[#This Row],[Previous Quartile Value]], "Improved",
   IF(Table13[[#This Row],[Quartile Value]] &gt; Table13[[#This Row],[Previous Quartile Value]], "Dropped", "Same")))</f>
        <v>Same</v>
      </c>
      <c r="J234" s="7" t="s">
        <v>16</v>
      </c>
      <c r="K234" s="7" t="str">
        <f>VLOOKUP(J234,Introduction!$B$6:$C$14,2)</f>
        <v>South East</v>
      </c>
      <c r="L234" s="7">
        <v>354</v>
      </c>
      <c r="M234" s="8" t="s">
        <v>573</v>
      </c>
    </row>
    <row r="235" spans="1:13" ht="19.95" customHeight="1" x14ac:dyDescent="0.25">
      <c r="A235" s="40">
        <v>45474</v>
      </c>
      <c r="B235" s="46">
        <f>MONTH(Table13[[#This Row],[YearMonth]])</f>
        <v>7</v>
      </c>
      <c r="C235" s="5" t="s">
        <v>44</v>
      </c>
      <c r="D235" s="6" t="s">
        <v>330</v>
      </c>
      <c r="E235" s="6">
        <f>IF(Table13[[#This Row],[Quartile]]="TopQuartile", 1,
 IF(Table13[[#This Row],[Quartile]]="SecondQuartile", 2,
 IF(Table13[[#This Row],[Quartile]]="ThirdQuartile", 3,
 IF(Table13[[#This Row],[Quartile]]="FourthQuartile", 4, ""))))</f>
        <v>1</v>
      </c>
      <c r="F235" s="5" t="s">
        <v>576</v>
      </c>
      <c r="G235" s="5" t="str" cm="1">
        <f t="array" ref="G235">IFERROR(
  INDEX(Table13[Quartile],
    MATCH(1,
      (Table13[[#This Row],[OrgName]]=Table13[OrgName]) *
      (Table13[[#This Row],[Month Number]]-1=Table13[Month Number]),
    0)
  ),
"")</f>
        <v>TopQuartile</v>
      </c>
      <c r="H235" s="5">
        <f>IF(Table13[[#This Row],[Previous Quartile]]="TopQuartile", 1,
 IF(Table13[[#This Row],[Previous Quartile]]="SecondQuartile", 2,
 IF(Table13[[#This Row],[Previous Quartile]]="ThirdQuartile", 3,
 IF(Table13[[#This Row],[Previous Quartile]]="FourthQuartile", 4, ""))))</f>
        <v>1</v>
      </c>
      <c r="I235" s="5" t="str">
        <f>IF(Table13[[#This Row],[Previous Quartile Value]]="", "",
   IF(Table13[[#This Row],[Quartile Value]] &lt; Table13[[#This Row],[Previous Quartile Value]], "Improved",
   IF(Table13[[#This Row],[Quartile Value]] &gt; Table13[[#This Row],[Previous Quartile Value]], "Dropped", "Same")))</f>
        <v>Same</v>
      </c>
      <c r="J235" s="7" t="s">
        <v>24</v>
      </c>
      <c r="K235" s="7" t="str">
        <f>VLOOKUP(J235,Introduction!$B$6:$C$14,2)</f>
        <v>North East and Yorkshire</v>
      </c>
      <c r="L235" s="7">
        <v>173</v>
      </c>
      <c r="M235" s="8" t="s">
        <v>573</v>
      </c>
    </row>
    <row r="236" spans="1:13" ht="19.95" customHeight="1" x14ac:dyDescent="0.25">
      <c r="A236" s="40">
        <v>45474</v>
      </c>
      <c r="B236" s="46">
        <f>MONTH(Table13[[#This Row],[YearMonth]])</f>
        <v>7</v>
      </c>
      <c r="C236" s="5" t="s">
        <v>49</v>
      </c>
      <c r="D236" s="6" t="s">
        <v>330</v>
      </c>
      <c r="E236" s="6">
        <f>IF(Table13[[#This Row],[Quartile]]="TopQuartile", 1,
 IF(Table13[[#This Row],[Quartile]]="SecondQuartile", 2,
 IF(Table13[[#This Row],[Quartile]]="ThirdQuartile", 3,
 IF(Table13[[#This Row],[Quartile]]="FourthQuartile", 4, ""))))</f>
        <v>1</v>
      </c>
      <c r="F236" s="5" t="s">
        <v>577</v>
      </c>
      <c r="G236" s="5" t="str" cm="1">
        <f t="array" ref="G236">IFERROR(
  INDEX(Table13[Quartile],
    MATCH(1,
      (Table13[[#This Row],[OrgName]]=Table13[OrgName]) *
      (Table13[[#This Row],[Month Number]]-1=Table13[Month Number]),
    0)
  ),
"")</f>
        <v>TopQuartile</v>
      </c>
      <c r="H236" s="5">
        <f>IF(Table13[[#This Row],[Previous Quartile]]="TopQuartile", 1,
 IF(Table13[[#This Row],[Previous Quartile]]="SecondQuartile", 2,
 IF(Table13[[#This Row],[Previous Quartile]]="ThirdQuartile", 3,
 IF(Table13[[#This Row],[Previous Quartile]]="FourthQuartile", 4, ""))))</f>
        <v>1</v>
      </c>
      <c r="I236" s="5" t="str">
        <f>IF(Table13[[#This Row],[Previous Quartile Value]]="", "",
   IF(Table13[[#This Row],[Quartile Value]] &lt; Table13[[#This Row],[Previous Quartile Value]], "Improved",
   IF(Table13[[#This Row],[Quartile Value]] &gt; Table13[[#This Row],[Previous Quartile Value]], "Dropped", "Same")))</f>
        <v>Same</v>
      </c>
      <c r="J236" s="7" t="s">
        <v>24</v>
      </c>
      <c r="K236" s="7" t="str">
        <f>VLOOKUP(J236,Introduction!$B$6:$C$14,2)</f>
        <v>North East and Yorkshire</v>
      </c>
      <c r="L236" s="7">
        <v>263</v>
      </c>
      <c r="M236" s="8" t="s">
        <v>573</v>
      </c>
    </row>
    <row r="237" spans="1:13" ht="19.95" customHeight="1" x14ac:dyDescent="0.25">
      <c r="A237" s="40">
        <v>45474</v>
      </c>
      <c r="B237" s="46">
        <f>MONTH(Table13[[#This Row],[YearMonth]])</f>
        <v>7</v>
      </c>
      <c r="C237" s="5" t="s">
        <v>58</v>
      </c>
      <c r="D237" s="6" t="s">
        <v>330</v>
      </c>
      <c r="E237" s="6">
        <f>IF(Table13[[#This Row],[Quartile]]="TopQuartile", 1,
 IF(Table13[[#This Row],[Quartile]]="SecondQuartile", 2,
 IF(Table13[[#This Row],[Quartile]]="ThirdQuartile", 3,
 IF(Table13[[#This Row],[Quartile]]="FourthQuartile", 4, ""))))</f>
        <v>1</v>
      </c>
      <c r="F237" s="5" t="s">
        <v>578</v>
      </c>
      <c r="G237" s="5" t="str" cm="1">
        <f t="array" ref="G237">IFERROR(
  INDEX(Table13[Quartile],
    MATCH(1,
      (Table13[[#This Row],[OrgName]]=Table13[OrgName]) *
      (Table13[[#This Row],[Month Number]]-1=Table13[Month Number]),
    0)
  ),
"")</f>
        <v>TopQuartile</v>
      </c>
      <c r="H237" s="5">
        <f>IF(Table13[[#This Row],[Previous Quartile]]="TopQuartile", 1,
 IF(Table13[[#This Row],[Previous Quartile]]="SecondQuartile", 2,
 IF(Table13[[#This Row],[Previous Quartile]]="ThirdQuartile", 3,
 IF(Table13[[#This Row],[Previous Quartile]]="FourthQuartile", 4, ""))))</f>
        <v>1</v>
      </c>
      <c r="I237" s="5" t="str">
        <f>IF(Table13[[#This Row],[Previous Quartile Value]]="", "",
   IF(Table13[[#This Row],[Quartile Value]] &lt; Table13[[#This Row],[Previous Quartile Value]], "Improved",
   IF(Table13[[#This Row],[Quartile Value]] &gt; Table13[[#This Row],[Previous Quartile Value]], "Dropped", "Same")))</f>
        <v>Same</v>
      </c>
      <c r="J237" s="7" t="s">
        <v>24</v>
      </c>
      <c r="K237" s="7" t="str">
        <f>VLOOKUP(J237,Introduction!$B$6:$C$14,2)</f>
        <v>North East and Yorkshire</v>
      </c>
      <c r="L237" s="7">
        <v>376</v>
      </c>
      <c r="M237" s="8" t="s">
        <v>573</v>
      </c>
    </row>
    <row r="238" spans="1:13" ht="19.95" customHeight="1" x14ac:dyDescent="0.25">
      <c r="A238" s="40">
        <v>45474</v>
      </c>
      <c r="B238" s="46">
        <f>MONTH(Table13[[#This Row],[YearMonth]])</f>
        <v>7</v>
      </c>
      <c r="C238" s="5" t="s">
        <v>62</v>
      </c>
      <c r="D238" s="6" t="s">
        <v>330</v>
      </c>
      <c r="E238" s="6">
        <f>IF(Table13[[#This Row],[Quartile]]="TopQuartile", 1,
 IF(Table13[[#This Row],[Quartile]]="SecondQuartile", 2,
 IF(Table13[[#This Row],[Quartile]]="ThirdQuartile", 3,
 IF(Table13[[#This Row],[Quartile]]="FourthQuartile", 4, ""))))</f>
        <v>1</v>
      </c>
      <c r="F238" s="5" t="s">
        <v>579</v>
      </c>
      <c r="G238" s="5" t="str" cm="1">
        <f t="array" ref="G238">IFERROR(
  INDEX(Table13[Quartile],
    MATCH(1,
      (Table13[[#This Row],[OrgName]]=Table13[OrgName]) *
      (Table13[[#This Row],[Month Number]]-1=Table13[Month Number]),
    0)
  ),
"")</f>
        <v>TopQuartile</v>
      </c>
      <c r="H238" s="5">
        <f>IF(Table13[[#This Row],[Previous Quartile]]="TopQuartile", 1,
 IF(Table13[[#This Row],[Previous Quartile]]="SecondQuartile", 2,
 IF(Table13[[#This Row],[Previous Quartile]]="ThirdQuartile", 3,
 IF(Table13[[#This Row],[Previous Quartile]]="FourthQuartile", 4, ""))))</f>
        <v>1</v>
      </c>
      <c r="I238" s="5" t="str">
        <f>IF(Table13[[#This Row],[Previous Quartile Value]]="", "",
   IF(Table13[[#This Row],[Quartile Value]] &lt; Table13[[#This Row],[Previous Quartile Value]], "Improved",
   IF(Table13[[#This Row],[Quartile Value]] &gt; Table13[[#This Row],[Previous Quartile Value]], "Dropped", "Same")))</f>
        <v>Same</v>
      </c>
      <c r="J238" s="7" t="s">
        <v>22</v>
      </c>
      <c r="K238" s="7" t="str">
        <f>VLOOKUP(J238,Introduction!$B$6:$C$14,2)</f>
        <v>North West</v>
      </c>
      <c r="L238" s="7">
        <v>373</v>
      </c>
      <c r="M238" s="8" t="s">
        <v>573</v>
      </c>
    </row>
    <row r="239" spans="1:13" ht="19.95" customHeight="1" x14ac:dyDescent="0.25">
      <c r="A239" s="40">
        <v>45474</v>
      </c>
      <c r="B239" s="46">
        <f>MONTH(Table13[[#This Row],[YearMonth]])</f>
        <v>7</v>
      </c>
      <c r="C239" s="5" t="s">
        <v>67</v>
      </c>
      <c r="D239" s="6" t="s">
        <v>330</v>
      </c>
      <c r="E239" s="6">
        <f>IF(Table13[[#This Row],[Quartile]]="TopQuartile", 1,
 IF(Table13[[#This Row],[Quartile]]="SecondQuartile", 2,
 IF(Table13[[#This Row],[Quartile]]="ThirdQuartile", 3,
 IF(Table13[[#This Row],[Quartile]]="FourthQuartile", 4, ""))))</f>
        <v>1</v>
      </c>
      <c r="F239" s="5" t="s">
        <v>580</v>
      </c>
      <c r="G239" s="5" t="str" cm="1">
        <f t="array" ref="G239">IFERROR(
  INDEX(Table13[Quartile],
    MATCH(1,
      (Table13[[#This Row],[OrgName]]=Table13[OrgName]) *
      (Table13[[#This Row],[Month Number]]-1=Table13[Month Number]),
    0)
  ),
"")</f>
        <v>TopQuartile</v>
      </c>
      <c r="H239" s="5">
        <f>IF(Table13[[#This Row],[Previous Quartile]]="TopQuartile", 1,
 IF(Table13[[#This Row],[Previous Quartile]]="SecondQuartile", 2,
 IF(Table13[[#This Row],[Previous Quartile]]="ThirdQuartile", 3,
 IF(Table13[[#This Row],[Previous Quartile]]="FourthQuartile", 4, ""))))</f>
        <v>1</v>
      </c>
      <c r="I239" s="5" t="str">
        <f>IF(Table13[[#This Row],[Previous Quartile Value]]="", "",
   IF(Table13[[#This Row],[Quartile Value]] &lt; Table13[[#This Row],[Previous Quartile Value]], "Improved",
   IF(Table13[[#This Row],[Quartile Value]] &gt; Table13[[#This Row],[Previous Quartile Value]], "Dropped", "Same")))</f>
        <v>Same</v>
      </c>
      <c r="J239" s="7" t="s">
        <v>22</v>
      </c>
      <c r="K239" s="7" t="str">
        <f>VLOOKUP(J239,Introduction!$B$6:$C$14,2)</f>
        <v>North West</v>
      </c>
      <c r="L239" s="7">
        <v>311</v>
      </c>
      <c r="M239" s="8" t="s">
        <v>573</v>
      </c>
    </row>
    <row r="240" spans="1:13" ht="19.95" customHeight="1" x14ac:dyDescent="0.25">
      <c r="A240" s="40">
        <v>45474</v>
      </c>
      <c r="B240" s="46">
        <f>MONTH(Table13[[#This Row],[YearMonth]])</f>
        <v>7</v>
      </c>
      <c r="C240" s="5" t="s">
        <v>70</v>
      </c>
      <c r="D240" s="6" t="s">
        <v>330</v>
      </c>
      <c r="E240" s="6">
        <f>IF(Table13[[#This Row],[Quartile]]="TopQuartile", 1,
 IF(Table13[[#This Row],[Quartile]]="SecondQuartile", 2,
 IF(Table13[[#This Row],[Quartile]]="ThirdQuartile", 3,
 IF(Table13[[#This Row],[Quartile]]="FourthQuartile", 4, ""))))</f>
        <v>1</v>
      </c>
      <c r="F240" s="5" t="s">
        <v>581</v>
      </c>
      <c r="G240" s="5" t="str" cm="1">
        <f t="array" ref="G240">IFERROR(
  INDEX(Table13[Quartile],
    MATCH(1,
      (Table13[[#This Row],[OrgName]]=Table13[OrgName]) *
      (Table13[[#This Row],[Month Number]]-1=Table13[Month Number]),
    0)
  ),
"")</f>
        <v>TopQuartile</v>
      </c>
      <c r="H240" s="5">
        <f>IF(Table13[[#This Row],[Previous Quartile]]="TopQuartile", 1,
 IF(Table13[[#This Row],[Previous Quartile]]="SecondQuartile", 2,
 IF(Table13[[#This Row],[Previous Quartile]]="ThirdQuartile", 3,
 IF(Table13[[#This Row],[Previous Quartile]]="FourthQuartile", 4, ""))))</f>
        <v>1</v>
      </c>
      <c r="I240" s="5" t="str">
        <f>IF(Table13[[#This Row],[Previous Quartile Value]]="", "",
   IF(Table13[[#This Row],[Quartile Value]] &lt; Table13[[#This Row],[Previous Quartile Value]], "Improved",
   IF(Table13[[#This Row],[Quartile Value]] &gt; Table13[[#This Row],[Previous Quartile Value]], "Dropped", "Same")))</f>
        <v>Same</v>
      </c>
      <c r="J240" s="7" t="s">
        <v>14</v>
      </c>
      <c r="K240" s="7" t="str">
        <f>VLOOKUP(J240,Introduction!$B$6:$C$14,2)</f>
        <v>South West</v>
      </c>
      <c r="L240" s="7">
        <v>369</v>
      </c>
      <c r="M240" s="8" t="s">
        <v>573</v>
      </c>
    </row>
    <row r="241" spans="1:13" ht="19.95" customHeight="1" x14ac:dyDescent="0.25">
      <c r="A241" s="40">
        <v>45474</v>
      </c>
      <c r="B241" s="46">
        <f>MONTH(Table13[[#This Row],[YearMonth]])</f>
        <v>7</v>
      </c>
      <c r="C241" s="5" t="s">
        <v>71</v>
      </c>
      <c r="D241" s="6" t="s">
        <v>330</v>
      </c>
      <c r="E241" s="6">
        <f>IF(Table13[[#This Row],[Quartile]]="TopQuartile", 1,
 IF(Table13[[#This Row],[Quartile]]="SecondQuartile", 2,
 IF(Table13[[#This Row],[Quartile]]="ThirdQuartile", 3,
 IF(Table13[[#This Row],[Quartile]]="FourthQuartile", 4, ""))))</f>
        <v>1</v>
      </c>
      <c r="F241" s="5" t="s">
        <v>582</v>
      </c>
      <c r="G241" s="5" t="str" cm="1">
        <f t="array" ref="G241">IFERROR(
  INDEX(Table13[Quartile],
    MATCH(1,
      (Table13[[#This Row],[OrgName]]=Table13[OrgName]) *
      (Table13[[#This Row],[Month Number]]-1=Table13[Month Number]),
    0)
  ),
"")</f>
        <v>TopQuartile</v>
      </c>
      <c r="H241" s="5">
        <f>IF(Table13[[#This Row],[Previous Quartile]]="TopQuartile", 1,
 IF(Table13[[#This Row],[Previous Quartile]]="SecondQuartile", 2,
 IF(Table13[[#This Row],[Previous Quartile]]="ThirdQuartile", 3,
 IF(Table13[[#This Row],[Previous Quartile]]="FourthQuartile", 4, ""))))</f>
        <v>1</v>
      </c>
      <c r="I241" s="5" t="str">
        <f>IF(Table13[[#This Row],[Previous Quartile Value]]="", "",
   IF(Table13[[#This Row],[Quartile Value]] &lt; Table13[[#This Row],[Previous Quartile Value]], "Improved",
   IF(Table13[[#This Row],[Quartile Value]] &gt; Table13[[#This Row],[Previous Quartile Value]], "Dropped", "Same")))</f>
        <v>Same</v>
      </c>
      <c r="J241" s="7" t="s">
        <v>14</v>
      </c>
      <c r="K241" s="7" t="str">
        <f>VLOOKUP(J241,Introduction!$B$6:$C$14,2)</f>
        <v>South West</v>
      </c>
      <c r="L241" s="7">
        <v>342</v>
      </c>
      <c r="M241" s="8" t="s">
        <v>573</v>
      </c>
    </row>
    <row r="242" spans="1:13" ht="19.95" customHeight="1" x14ac:dyDescent="0.25">
      <c r="A242" s="40">
        <v>45474</v>
      </c>
      <c r="B242" s="46">
        <f>MONTH(Table13[[#This Row],[YearMonth]])</f>
        <v>7</v>
      </c>
      <c r="C242" s="5" t="s">
        <v>74</v>
      </c>
      <c r="D242" s="6" t="s">
        <v>330</v>
      </c>
      <c r="E242" s="6">
        <f>IF(Table13[[#This Row],[Quartile]]="TopQuartile", 1,
 IF(Table13[[#This Row],[Quartile]]="SecondQuartile", 2,
 IF(Table13[[#This Row],[Quartile]]="ThirdQuartile", 3,
 IF(Table13[[#This Row],[Quartile]]="FourthQuartile", 4, ""))))</f>
        <v>1</v>
      </c>
      <c r="F242" s="5" t="s">
        <v>583</v>
      </c>
      <c r="G242" s="5" t="str" cm="1">
        <f t="array" ref="G242">IFERROR(
  INDEX(Table13[Quartile],
    MATCH(1,
      (Table13[[#This Row],[OrgName]]=Table13[OrgName]) *
      (Table13[[#This Row],[Month Number]]-1=Table13[Month Number]),
    0)
  ),
"")</f>
        <v>TopQuartile</v>
      </c>
      <c r="H242" s="5">
        <f>IF(Table13[[#This Row],[Previous Quartile]]="TopQuartile", 1,
 IF(Table13[[#This Row],[Previous Quartile]]="SecondQuartile", 2,
 IF(Table13[[#This Row],[Previous Quartile]]="ThirdQuartile", 3,
 IF(Table13[[#This Row],[Previous Quartile]]="FourthQuartile", 4, ""))))</f>
        <v>1</v>
      </c>
      <c r="I242" s="5" t="str">
        <f>IF(Table13[[#This Row],[Previous Quartile Value]]="", "",
   IF(Table13[[#This Row],[Quartile Value]] &lt; Table13[[#This Row],[Previous Quartile Value]], "Improved",
   IF(Table13[[#This Row],[Quartile Value]] &gt; Table13[[#This Row],[Previous Quartile Value]], "Dropped", "Same")))</f>
        <v>Same</v>
      </c>
      <c r="J242" s="7" t="s">
        <v>24</v>
      </c>
      <c r="K242" s="7" t="str">
        <f>VLOOKUP(J242,Introduction!$B$6:$C$14,2)</f>
        <v>North East and Yorkshire</v>
      </c>
      <c r="L242" s="7">
        <v>378</v>
      </c>
      <c r="M242" s="8" t="s">
        <v>573</v>
      </c>
    </row>
    <row r="243" spans="1:13" ht="19.95" customHeight="1" x14ac:dyDescent="0.25">
      <c r="A243" s="40">
        <v>45474</v>
      </c>
      <c r="B243" s="46">
        <f>MONTH(Table13[[#This Row],[YearMonth]])</f>
        <v>7</v>
      </c>
      <c r="C243" s="5" t="s">
        <v>77</v>
      </c>
      <c r="D243" s="6" t="s">
        <v>330</v>
      </c>
      <c r="E243" s="6">
        <f>IF(Table13[[#This Row],[Quartile]]="TopQuartile", 1,
 IF(Table13[[#This Row],[Quartile]]="SecondQuartile", 2,
 IF(Table13[[#This Row],[Quartile]]="ThirdQuartile", 3,
 IF(Table13[[#This Row],[Quartile]]="FourthQuartile", 4, ""))))</f>
        <v>1</v>
      </c>
      <c r="F243" s="5" t="s">
        <v>584</v>
      </c>
      <c r="G243" s="5" t="str" cm="1">
        <f t="array" ref="G243">IFERROR(
  INDEX(Table13[Quartile],
    MATCH(1,
      (Table13[[#This Row],[OrgName]]=Table13[OrgName]) *
      (Table13[[#This Row],[Month Number]]-1=Table13[Month Number]),
    0)
  ),
"")</f>
        <v>TopQuartile</v>
      </c>
      <c r="H243" s="5">
        <f>IF(Table13[[#This Row],[Previous Quartile]]="TopQuartile", 1,
 IF(Table13[[#This Row],[Previous Quartile]]="SecondQuartile", 2,
 IF(Table13[[#This Row],[Previous Quartile]]="ThirdQuartile", 3,
 IF(Table13[[#This Row],[Previous Quartile]]="FourthQuartile", 4, ""))))</f>
        <v>1</v>
      </c>
      <c r="I243" s="5" t="str">
        <f>IF(Table13[[#This Row],[Previous Quartile Value]]="", "",
   IF(Table13[[#This Row],[Quartile Value]] &lt; Table13[[#This Row],[Previous Quartile Value]], "Improved",
   IF(Table13[[#This Row],[Quartile Value]] &gt; Table13[[#This Row],[Previous Quartile Value]], "Dropped", "Same")))</f>
        <v>Same</v>
      </c>
      <c r="J243" s="7" t="s">
        <v>14</v>
      </c>
      <c r="K243" s="7" t="str">
        <f>VLOOKUP(J243,Introduction!$B$6:$C$14,2)</f>
        <v>South West</v>
      </c>
      <c r="L243" s="7">
        <v>327</v>
      </c>
      <c r="M243" s="8" t="s">
        <v>573</v>
      </c>
    </row>
    <row r="244" spans="1:13" ht="19.95" customHeight="1" x14ac:dyDescent="0.25">
      <c r="A244" s="40">
        <v>45474</v>
      </c>
      <c r="B244" s="46">
        <f>MONTH(Table13[[#This Row],[YearMonth]])</f>
        <v>7</v>
      </c>
      <c r="C244" s="5" t="s">
        <v>78</v>
      </c>
      <c r="D244" s="6" t="s">
        <v>330</v>
      </c>
      <c r="E244" s="6">
        <f>IF(Table13[[#This Row],[Quartile]]="TopQuartile", 1,
 IF(Table13[[#This Row],[Quartile]]="SecondQuartile", 2,
 IF(Table13[[#This Row],[Quartile]]="ThirdQuartile", 3,
 IF(Table13[[#This Row],[Quartile]]="FourthQuartile", 4, ""))))</f>
        <v>1</v>
      </c>
      <c r="F244" s="5" t="s">
        <v>585</v>
      </c>
      <c r="G244" s="5" t="str" cm="1">
        <f t="array" ref="G244">IFERROR(
  INDEX(Table13[Quartile],
    MATCH(1,
      (Table13[[#This Row],[OrgName]]=Table13[OrgName]) *
      (Table13[[#This Row],[Month Number]]-1=Table13[Month Number]),
    0)
  ),
"")</f>
        <v>SecondQuartile</v>
      </c>
      <c r="H244" s="5">
        <f>IF(Table13[[#This Row],[Previous Quartile]]="TopQuartile", 1,
 IF(Table13[[#This Row],[Previous Quartile]]="SecondQuartile", 2,
 IF(Table13[[#This Row],[Previous Quartile]]="ThirdQuartile", 3,
 IF(Table13[[#This Row],[Previous Quartile]]="FourthQuartile", 4, ""))))</f>
        <v>2</v>
      </c>
      <c r="I244" s="5" t="str">
        <f>IF(Table13[[#This Row],[Previous Quartile Value]]="", "",
   IF(Table13[[#This Row],[Quartile Value]] &lt; Table13[[#This Row],[Previous Quartile Value]], "Improved",
   IF(Table13[[#This Row],[Quartile Value]] &gt; Table13[[#This Row],[Previous Quartile Value]], "Dropped", "Same")))</f>
        <v>Improved</v>
      </c>
      <c r="J244" s="7" t="s">
        <v>24</v>
      </c>
      <c r="K244" s="7" t="str">
        <f>VLOOKUP(J244,Introduction!$B$6:$C$14,2)</f>
        <v>North East and Yorkshire</v>
      </c>
      <c r="L244" s="7">
        <v>346</v>
      </c>
      <c r="M244" s="8" t="s">
        <v>573</v>
      </c>
    </row>
    <row r="245" spans="1:13" ht="19.95" customHeight="1" x14ac:dyDescent="0.25">
      <c r="A245" s="40">
        <v>45474</v>
      </c>
      <c r="B245" s="46">
        <f>MONTH(Table13[[#This Row],[YearMonth]])</f>
        <v>7</v>
      </c>
      <c r="C245" s="5" t="s">
        <v>92</v>
      </c>
      <c r="D245" s="6" t="s">
        <v>330</v>
      </c>
      <c r="E245" s="6">
        <f>IF(Table13[[#This Row],[Quartile]]="TopQuartile", 1,
 IF(Table13[[#This Row],[Quartile]]="SecondQuartile", 2,
 IF(Table13[[#This Row],[Quartile]]="ThirdQuartile", 3,
 IF(Table13[[#This Row],[Quartile]]="FourthQuartile", 4, ""))))</f>
        <v>1</v>
      </c>
      <c r="F245" s="5" t="s">
        <v>586</v>
      </c>
      <c r="G245" s="5" t="str" cm="1">
        <f t="array" ref="G245">IFERROR(
  INDEX(Table13[Quartile],
    MATCH(1,
      (Table13[[#This Row],[OrgName]]=Table13[OrgName]) *
      (Table13[[#This Row],[Month Number]]-1=Table13[Month Number]),
    0)
  ),
"")</f>
        <v>TopQuartile</v>
      </c>
      <c r="H245" s="5">
        <f>IF(Table13[[#This Row],[Previous Quartile]]="TopQuartile", 1,
 IF(Table13[[#This Row],[Previous Quartile]]="SecondQuartile", 2,
 IF(Table13[[#This Row],[Previous Quartile]]="ThirdQuartile", 3,
 IF(Table13[[#This Row],[Previous Quartile]]="FourthQuartile", 4, ""))))</f>
        <v>1</v>
      </c>
      <c r="I245" s="5" t="str">
        <f>IF(Table13[[#This Row],[Previous Quartile Value]]="", "",
   IF(Table13[[#This Row],[Quartile Value]] &lt; Table13[[#This Row],[Previous Quartile Value]], "Improved",
   IF(Table13[[#This Row],[Quartile Value]] &gt; Table13[[#This Row],[Previous Quartile Value]], "Dropped", "Same")))</f>
        <v>Same</v>
      </c>
      <c r="J245" s="7" t="s">
        <v>24</v>
      </c>
      <c r="K245" s="7" t="str">
        <f>VLOOKUP(J245,Introduction!$B$6:$C$14,2)</f>
        <v>North East and Yorkshire</v>
      </c>
      <c r="L245" s="7">
        <v>338</v>
      </c>
      <c r="M245" s="8" t="s">
        <v>573</v>
      </c>
    </row>
    <row r="246" spans="1:13" ht="19.95" customHeight="1" x14ac:dyDescent="0.25">
      <c r="A246" s="40">
        <v>45474</v>
      </c>
      <c r="B246" s="46">
        <f>MONTH(Table13[[#This Row],[YearMonth]])</f>
        <v>7</v>
      </c>
      <c r="C246" s="5" t="s">
        <v>101</v>
      </c>
      <c r="D246" s="6" t="s">
        <v>338</v>
      </c>
      <c r="E246" s="6">
        <f>IF(Table13[[#This Row],[Quartile]]="TopQuartile", 1,
 IF(Table13[[#This Row],[Quartile]]="SecondQuartile", 2,
 IF(Table13[[#This Row],[Quartile]]="ThirdQuartile", 3,
 IF(Table13[[#This Row],[Quartile]]="FourthQuartile", 4, ""))))</f>
        <v>2</v>
      </c>
      <c r="F246" s="5" t="s">
        <v>587</v>
      </c>
      <c r="G246" s="5" t="str" cm="1">
        <f t="array" ref="G246">IFERROR(
  INDEX(Table13[Quartile],
    MATCH(1,
      (Table13[[#This Row],[OrgName]]=Table13[OrgName]) *
      (Table13[[#This Row],[Month Number]]-1=Table13[Month Number]),
    0)
  ),
"")</f>
        <v>TopQuartile</v>
      </c>
      <c r="H246" s="5">
        <f>IF(Table13[[#This Row],[Previous Quartile]]="TopQuartile", 1,
 IF(Table13[[#This Row],[Previous Quartile]]="SecondQuartile", 2,
 IF(Table13[[#This Row],[Previous Quartile]]="ThirdQuartile", 3,
 IF(Table13[[#This Row],[Previous Quartile]]="FourthQuartile", 4, ""))))</f>
        <v>1</v>
      </c>
      <c r="I246" s="5" t="str">
        <f>IF(Table13[[#This Row],[Previous Quartile Value]]="", "",
   IF(Table13[[#This Row],[Quartile Value]] &lt; Table13[[#This Row],[Previous Quartile Value]], "Improved",
   IF(Table13[[#This Row],[Quartile Value]] &gt; Table13[[#This Row],[Previous Quartile Value]], "Dropped", "Same")))</f>
        <v>Dropped</v>
      </c>
      <c r="J246" s="7" t="s">
        <v>22</v>
      </c>
      <c r="K246" s="7" t="str">
        <f>VLOOKUP(J246,Introduction!$B$6:$C$14,2)</f>
        <v>North West</v>
      </c>
      <c r="L246" s="7">
        <v>350</v>
      </c>
      <c r="M246" s="8" t="s">
        <v>573</v>
      </c>
    </row>
    <row r="247" spans="1:13" ht="19.95" customHeight="1" x14ac:dyDescent="0.25">
      <c r="A247" s="40">
        <v>45474</v>
      </c>
      <c r="B247" s="46">
        <f>MONTH(Table13[[#This Row],[YearMonth]])</f>
        <v>7</v>
      </c>
      <c r="C247" s="5" t="s">
        <v>107</v>
      </c>
      <c r="D247" s="6" t="s">
        <v>338</v>
      </c>
      <c r="E247" s="6">
        <f>IF(Table13[[#This Row],[Quartile]]="TopQuartile", 1,
 IF(Table13[[#This Row],[Quartile]]="SecondQuartile", 2,
 IF(Table13[[#This Row],[Quartile]]="ThirdQuartile", 3,
 IF(Table13[[#This Row],[Quartile]]="FourthQuartile", 4, ""))))</f>
        <v>2</v>
      </c>
      <c r="F247" s="5" t="s">
        <v>588</v>
      </c>
      <c r="G247" s="5" t="str" cm="1">
        <f t="array" ref="G247">IFERROR(
  INDEX(Table13[Quartile],
    MATCH(1,
      (Table13[[#This Row],[OrgName]]=Table13[OrgName]) *
      (Table13[[#This Row],[Month Number]]-1=Table13[Month Number]),
    0)
  ),
"")</f>
        <v>SecondQuartile</v>
      </c>
      <c r="H247" s="5">
        <f>IF(Table13[[#This Row],[Previous Quartile]]="TopQuartile", 1,
 IF(Table13[[#This Row],[Previous Quartile]]="SecondQuartile", 2,
 IF(Table13[[#This Row],[Previous Quartile]]="ThirdQuartile", 3,
 IF(Table13[[#This Row],[Previous Quartile]]="FourthQuartile", 4, ""))))</f>
        <v>2</v>
      </c>
      <c r="I247" s="5" t="str">
        <f>IF(Table13[[#This Row],[Previous Quartile Value]]="", "",
   IF(Table13[[#This Row],[Quartile Value]] &lt; Table13[[#This Row],[Previous Quartile Value]], "Improved",
   IF(Table13[[#This Row],[Quartile Value]] &gt; Table13[[#This Row],[Previous Quartile Value]], "Dropped", "Same")))</f>
        <v>Same</v>
      </c>
      <c r="J247" s="7" t="s">
        <v>12</v>
      </c>
      <c r="K247" s="7" t="str">
        <f>VLOOKUP(J247,Introduction!$B$6:$C$14,2)</f>
        <v>London</v>
      </c>
      <c r="L247" s="7">
        <v>294</v>
      </c>
      <c r="M247" s="8" t="s">
        <v>573</v>
      </c>
    </row>
    <row r="248" spans="1:13" ht="19.95" customHeight="1" x14ac:dyDescent="0.25">
      <c r="A248" s="40">
        <v>45474</v>
      </c>
      <c r="B248" s="46">
        <f>MONTH(Table13[[#This Row],[YearMonth]])</f>
        <v>7</v>
      </c>
      <c r="C248" s="5" t="s">
        <v>109</v>
      </c>
      <c r="D248" s="6" t="s">
        <v>338</v>
      </c>
      <c r="E248" s="6">
        <f>IF(Table13[[#This Row],[Quartile]]="TopQuartile", 1,
 IF(Table13[[#This Row],[Quartile]]="SecondQuartile", 2,
 IF(Table13[[#This Row],[Quartile]]="ThirdQuartile", 3,
 IF(Table13[[#This Row],[Quartile]]="FourthQuartile", 4, ""))))</f>
        <v>2</v>
      </c>
      <c r="F248" s="5" t="s">
        <v>589</v>
      </c>
      <c r="G248" s="5" t="str" cm="1">
        <f t="array" ref="G248">IFERROR(
  INDEX(Table13[Quartile],
    MATCH(1,
      (Table13[[#This Row],[OrgName]]=Table13[OrgName]) *
      (Table13[[#This Row],[Month Number]]-1=Table13[Month Number]),
    0)
  ),
"")</f>
        <v>TopQuartile</v>
      </c>
      <c r="H248" s="5">
        <f>IF(Table13[[#This Row],[Previous Quartile]]="TopQuartile", 1,
 IF(Table13[[#This Row],[Previous Quartile]]="SecondQuartile", 2,
 IF(Table13[[#This Row],[Previous Quartile]]="ThirdQuartile", 3,
 IF(Table13[[#This Row],[Previous Quartile]]="FourthQuartile", 4, ""))))</f>
        <v>1</v>
      </c>
      <c r="I248" s="5" t="str">
        <f>IF(Table13[[#This Row],[Previous Quartile Value]]="", "",
   IF(Table13[[#This Row],[Quartile Value]] &lt; Table13[[#This Row],[Previous Quartile Value]], "Improved",
   IF(Table13[[#This Row],[Quartile Value]] &gt; Table13[[#This Row],[Previous Quartile Value]], "Dropped", "Same")))</f>
        <v>Dropped</v>
      </c>
      <c r="J248" s="7" t="s">
        <v>12</v>
      </c>
      <c r="K248" s="7" t="str">
        <f>VLOOKUP(J248,Introduction!$B$6:$C$14,2)</f>
        <v>London</v>
      </c>
      <c r="L248" s="7">
        <v>333</v>
      </c>
      <c r="M248" s="8" t="s">
        <v>573</v>
      </c>
    </row>
    <row r="249" spans="1:13" ht="19.95" customHeight="1" x14ac:dyDescent="0.25">
      <c r="A249" s="40">
        <v>45474</v>
      </c>
      <c r="B249" s="46">
        <f>MONTH(Table13[[#This Row],[YearMonth]])</f>
        <v>7</v>
      </c>
      <c r="C249" s="5" t="s">
        <v>114</v>
      </c>
      <c r="D249" s="6" t="s">
        <v>338</v>
      </c>
      <c r="E249" s="6">
        <f>IF(Table13[[#This Row],[Quartile]]="TopQuartile", 1,
 IF(Table13[[#This Row],[Quartile]]="SecondQuartile", 2,
 IF(Table13[[#This Row],[Quartile]]="ThirdQuartile", 3,
 IF(Table13[[#This Row],[Quartile]]="FourthQuartile", 4, ""))))</f>
        <v>2</v>
      </c>
      <c r="F249" s="5" t="s">
        <v>590</v>
      </c>
      <c r="G249" s="5" t="str" cm="1">
        <f t="array" ref="G249">IFERROR(
  INDEX(Table13[Quartile],
    MATCH(1,
      (Table13[[#This Row],[OrgName]]=Table13[OrgName]) *
      (Table13[[#This Row],[Month Number]]-1=Table13[Month Number]),
    0)
  ),
"")</f>
        <v>SecondQuartile</v>
      </c>
      <c r="H249" s="5">
        <f>IF(Table13[[#This Row],[Previous Quartile]]="TopQuartile", 1,
 IF(Table13[[#This Row],[Previous Quartile]]="SecondQuartile", 2,
 IF(Table13[[#This Row],[Previous Quartile]]="ThirdQuartile", 3,
 IF(Table13[[#This Row],[Previous Quartile]]="FourthQuartile", 4, ""))))</f>
        <v>2</v>
      </c>
      <c r="I249" s="5" t="str">
        <f>IF(Table13[[#This Row],[Previous Quartile Value]]="", "",
   IF(Table13[[#This Row],[Quartile Value]] &lt; Table13[[#This Row],[Previous Quartile Value]], "Improved",
   IF(Table13[[#This Row],[Quartile Value]] &gt; Table13[[#This Row],[Previous Quartile Value]], "Dropped", "Same")))</f>
        <v>Same</v>
      </c>
      <c r="J249" s="7" t="s">
        <v>20</v>
      </c>
      <c r="K249" s="7" t="str">
        <f>VLOOKUP(J249,Introduction!$B$6:$C$14,2)</f>
        <v>East of England</v>
      </c>
      <c r="L249" s="7">
        <v>367</v>
      </c>
      <c r="M249" s="8" t="s">
        <v>573</v>
      </c>
    </row>
    <row r="250" spans="1:13" ht="19.95" customHeight="1" x14ac:dyDescent="0.25">
      <c r="A250" s="40">
        <v>45474</v>
      </c>
      <c r="B250" s="46">
        <f>MONTH(Table13[[#This Row],[YearMonth]])</f>
        <v>7</v>
      </c>
      <c r="C250" s="5" t="s">
        <v>116</v>
      </c>
      <c r="D250" s="6" t="s">
        <v>338</v>
      </c>
      <c r="E250" s="6">
        <f>IF(Table13[[#This Row],[Quartile]]="TopQuartile", 1,
 IF(Table13[[#This Row],[Quartile]]="SecondQuartile", 2,
 IF(Table13[[#This Row],[Quartile]]="ThirdQuartile", 3,
 IF(Table13[[#This Row],[Quartile]]="FourthQuartile", 4, ""))))</f>
        <v>2</v>
      </c>
      <c r="F250" s="5" t="s">
        <v>591</v>
      </c>
      <c r="G250" s="5" t="str" cm="1">
        <f t="array" ref="G250">IFERROR(
  INDEX(Table13[Quartile],
    MATCH(1,
      (Table13[[#This Row],[OrgName]]=Table13[OrgName]) *
      (Table13[[#This Row],[Month Number]]-1=Table13[Month Number]),
    0)
  ),
"")</f>
        <v>SecondQuartile</v>
      </c>
      <c r="H250" s="5">
        <f>IF(Table13[[#This Row],[Previous Quartile]]="TopQuartile", 1,
 IF(Table13[[#This Row],[Previous Quartile]]="SecondQuartile", 2,
 IF(Table13[[#This Row],[Previous Quartile]]="ThirdQuartile", 3,
 IF(Table13[[#This Row],[Previous Quartile]]="FourthQuartile", 4, ""))))</f>
        <v>2</v>
      </c>
      <c r="I250" s="5" t="str">
        <f>IF(Table13[[#This Row],[Previous Quartile Value]]="", "",
   IF(Table13[[#This Row],[Quartile Value]] &lt; Table13[[#This Row],[Previous Quartile Value]], "Improved",
   IF(Table13[[#This Row],[Quartile Value]] &gt; Table13[[#This Row],[Previous Quartile Value]], "Dropped", "Same")))</f>
        <v>Same</v>
      </c>
      <c r="J250" s="7" t="s">
        <v>14</v>
      </c>
      <c r="K250" s="7" t="str">
        <f>VLOOKUP(J250,Introduction!$B$6:$C$14,2)</f>
        <v>South West</v>
      </c>
      <c r="L250" s="7">
        <v>152</v>
      </c>
      <c r="M250" s="8" t="s">
        <v>573</v>
      </c>
    </row>
    <row r="251" spans="1:13" ht="19.95" customHeight="1" x14ac:dyDescent="0.25">
      <c r="A251" s="40">
        <v>45474</v>
      </c>
      <c r="B251" s="46">
        <f>MONTH(Table13[[#This Row],[YearMonth]])</f>
        <v>7</v>
      </c>
      <c r="C251" s="5" t="s">
        <v>118</v>
      </c>
      <c r="D251" s="6" t="s">
        <v>338</v>
      </c>
      <c r="E251" s="6">
        <f>IF(Table13[[#This Row],[Quartile]]="TopQuartile", 1,
 IF(Table13[[#This Row],[Quartile]]="SecondQuartile", 2,
 IF(Table13[[#This Row],[Quartile]]="ThirdQuartile", 3,
 IF(Table13[[#This Row],[Quartile]]="FourthQuartile", 4, ""))))</f>
        <v>2</v>
      </c>
      <c r="F251" s="5" t="s">
        <v>592</v>
      </c>
      <c r="G251" s="5" t="str" cm="1">
        <f t="array" ref="G251">IFERROR(
  INDEX(Table13[Quartile],
    MATCH(1,
      (Table13[[#This Row],[OrgName]]=Table13[OrgName]) *
      (Table13[[#This Row],[Month Number]]-1=Table13[Month Number]),
    0)
  ),
"")</f>
        <v>ThirdQuartile</v>
      </c>
      <c r="H251" s="5">
        <f>IF(Table13[[#This Row],[Previous Quartile]]="TopQuartile", 1,
 IF(Table13[[#This Row],[Previous Quartile]]="SecondQuartile", 2,
 IF(Table13[[#This Row],[Previous Quartile]]="ThirdQuartile", 3,
 IF(Table13[[#This Row],[Previous Quartile]]="FourthQuartile", 4, ""))))</f>
        <v>3</v>
      </c>
      <c r="I251" s="5" t="str">
        <f>IF(Table13[[#This Row],[Previous Quartile Value]]="", "",
   IF(Table13[[#This Row],[Quartile Value]] &lt; Table13[[#This Row],[Previous Quartile Value]], "Improved",
   IF(Table13[[#This Row],[Quartile Value]] &gt; Table13[[#This Row],[Previous Quartile Value]], "Dropped", "Same")))</f>
        <v>Improved</v>
      </c>
      <c r="J251" s="7" t="s">
        <v>18</v>
      </c>
      <c r="K251" s="7" t="str">
        <f>VLOOKUP(J251,Introduction!$B$6:$C$14,2)</f>
        <v>Midlands</v>
      </c>
      <c r="L251" s="7">
        <v>186</v>
      </c>
      <c r="M251" s="8" t="s">
        <v>573</v>
      </c>
    </row>
    <row r="252" spans="1:13" ht="19.95" customHeight="1" x14ac:dyDescent="0.25">
      <c r="A252" s="40">
        <v>45474</v>
      </c>
      <c r="B252" s="46">
        <f>MONTH(Table13[[#This Row],[YearMonth]])</f>
        <v>7</v>
      </c>
      <c r="C252" s="5" t="s">
        <v>123</v>
      </c>
      <c r="D252" s="6" t="s">
        <v>338</v>
      </c>
      <c r="E252" s="6">
        <f>IF(Table13[[#This Row],[Quartile]]="TopQuartile", 1,
 IF(Table13[[#This Row],[Quartile]]="SecondQuartile", 2,
 IF(Table13[[#This Row],[Quartile]]="ThirdQuartile", 3,
 IF(Table13[[#This Row],[Quartile]]="FourthQuartile", 4, ""))))</f>
        <v>2</v>
      </c>
      <c r="F252" s="5" t="s">
        <v>593</v>
      </c>
      <c r="G252" s="5" t="str" cm="1">
        <f t="array" ref="G252">IFERROR(
  INDEX(Table13[Quartile],
    MATCH(1,
      (Table13[[#This Row],[OrgName]]=Table13[OrgName]) *
      (Table13[[#This Row],[Month Number]]-1=Table13[Month Number]),
    0)
  ),
"")</f>
        <v>SecondQuartile</v>
      </c>
      <c r="H252" s="5">
        <f>IF(Table13[[#This Row],[Previous Quartile]]="TopQuartile", 1,
 IF(Table13[[#This Row],[Previous Quartile]]="SecondQuartile", 2,
 IF(Table13[[#This Row],[Previous Quartile]]="ThirdQuartile", 3,
 IF(Table13[[#This Row],[Previous Quartile]]="FourthQuartile", 4, ""))))</f>
        <v>2</v>
      </c>
      <c r="I252" s="5" t="str">
        <f>IF(Table13[[#This Row],[Previous Quartile Value]]="", "",
   IF(Table13[[#This Row],[Quartile Value]] &lt; Table13[[#This Row],[Previous Quartile Value]], "Improved",
   IF(Table13[[#This Row],[Quartile Value]] &gt; Table13[[#This Row],[Previous Quartile Value]], "Dropped", "Same")))</f>
        <v>Same</v>
      </c>
      <c r="J252" s="7" t="s">
        <v>20</v>
      </c>
      <c r="K252" s="7" t="str">
        <f>VLOOKUP(J252,Introduction!$B$6:$C$14,2)</f>
        <v>East of England</v>
      </c>
      <c r="L252" s="7">
        <v>364</v>
      </c>
      <c r="M252" s="8" t="s">
        <v>573</v>
      </c>
    </row>
    <row r="253" spans="1:13" ht="19.95" customHeight="1" x14ac:dyDescent="0.25">
      <c r="A253" s="40">
        <v>45474</v>
      </c>
      <c r="B253" s="46">
        <f>MONTH(Table13[[#This Row],[YearMonth]])</f>
        <v>7</v>
      </c>
      <c r="C253" s="5" t="s">
        <v>141</v>
      </c>
      <c r="D253" s="6" t="s">
        <v>338</v>
      </c>
      <c r="E253" s="6">
        <f>IF(Table13[[#This Row],[Quartile]]="TopQuartile", 1,
 IF(Table13[[#This Row],[Quartile]]="SecondQuartile", 2,
 IF(Table13[[#This Row],[Quartile]]="ThirdQuartile", 3,
 IF(Table13[[#This Row],[Quartile]]="FourthQuartile", 4, ""))))</f>
        <v>2</v>
      </c>
      <c r="F253" s="5" t="s">
        <v>594</v>
      </c>
      <c r="G253" s="5" t="str" cm="1">
        <f t="array" ref="G253">IFERROR(
  INDEX(Table13[Quartile],
    MATCH(1,
      (Table13[[#This Row],[OrgName]]=Table13[OrgName]) *
      (Table13[[#This Row],[Month Number]]-1=Table13[Month Number]),
    0)
  ),
"")</f>
        <v>SecondQuartile</v>
      </c>
      <c r="H253" s="5">
        <f>IF(Table13[[#This Row],[Previous Quartile]]="TopQuartile", 1,
 IF(Table13[[#This Row],[Previous Quartile]]="SecondQuartile", 2,
 IF(Table13[[#This Row],[Previous Quartile]]="ThirdQuartile", 3,
 IF(Table13[[#This Row],[Previous Quartile]]="FourthQuartile", 4, ""))))</f>
        <v>2</v>
      </c>
      <c r="I253" s="5" t="str">
        <f>IF(Table13[[#This Row],[Previous Quartile Value]]="", "",
   IF(Table13[[#This Row],[Quartile Value]] &lt; Table13[[#This Row],[Previous Quartile Value]], "Improved",
   IF(Table13[[#This Row],[Quartile Value]] &gt; Table13[[#This Row],[Previous Quartile Value]], "Dropped", "Same")))</f>
        <v>Same</v>
      </c>
      <c r="J253" s="7" t="s">
        <v>12</v>
      </c>
      <c r="K253" s="7" t="str">
        <f>VLOOKUP(J253,Introduction!$B$6:$C$14,2)</f>
        <v>London</v>
      </c>
      <c r="L253" s="7">
        <v>306</v>
      </c>
      <c r="M253" s="8" t="s">
        <v>573</v>
      </c>
    </row>
    <row r="254" spans="1:13" ht="19.95" customHeight="1" x14ac:dyDescent="0.25">
      <c r="A254" s="40">
        <v>45474</v>
      </c>
      <c r="B254" s="46">
        <f>MONTH(Table13[[#This Row],[YearMonth]])</f>
        <v>7</v>
      </c>
      <c r="C254" s="5" t="s">
        <v>146</v>
      </c>
      <c r="D254" s="6" t="s">
        <v>338</v>
      </c>
      <c r="E254" s="6">
        <f>IF(Table13[[#This Row],[Quartile]]="TopQuartile", 1,
 IF(Table13[[#This Row],[Quartile]]="SecondQuartile", 2,
 IF(Table13[[#This Row],[Quartile]]="ThirdQuartile", 3,
 IF(Table13[[#This Row],[Quartile]]="FourthQuartile", 4, ""))))</f>
        <v>2</v>
      </c>
      <c r="F254" s="5" t="s">
        <v>595</v>
      </c>
      <c r="G254" s="5" t="str" cm="1">
        <f t="array" ref="G254">IFERROR(
  INDEX(Table13[Quartile],
    MATCH(1,
      (Table13[[#This Row],[OrgName]]=Table13[OrgName]) *
      (Table13[[#This Row],[Month Number]]-1=Table13[Month Number]),
    0)
  ),
"")</f>
        <v>SecondQuartile</v>
      </c>
      <c r="H254" s="5">
        <f>IF(Table13[[#This Row],[Previous Quartile]]="TopQuartile", 1,
 IF(Table13[[#This Row],[Previous Quartile]]="SecondQuartile", 2,
 IF(Table13[[#This Row],[Previous Quartile]]="ThirdQuartile", 3,
 IF(Table13[[#This Row],[Previous Quartile]]="FourthQuartile", 4, ""))))</f>
        <v>2</v>
      </c>
      <c r="I254" s="5" t="str">
        <f>IF(Table13[[#This Row],[Previous Quartile Value]]="", "",
   IF(Table13[[#This Row],[Quartile Value]] &lt; Table13[[#This Row],[Previous Quartile Value]], "Improved",
   IF(Table13[[#This Row],[Quartile Value]] &gt; Table13[[#This Row],[Previous Quartile Value]], "Dropped", "Same")))</f>
        <v>Same</v>
      </c>
      <c r="J254" s="7" t="s">
        <v>22</v>
      </c>
      <c r="K254" s="7" t="str">
        <f>VLOOKUP(J254,Introduction!$B$6:$C$14,2)</f>
        <v>North West</v>
      </c>
      <c r="L254" s="7">
        <v>437</v>
      </c>
      <c r="M254" s="8" t="s">
        <v>573</v>
      </c>
    </row>
    <row r="255" spans="1:13" ht="19.95" customHeight="1" x14ac:dyDescent="0.25">
      <c r="A255" s="40">
        <v>45474</v>
      </c>
      <c r="B255" s="46">
        <f>MONTH(Table13[[#This Row],[YearMonth]])</f>
        <v>7</v>
      </c>
      <c r="C255" s="5" t="s">
        <v>152</v>
      </c>
      <c r="D255" s="6" t="s">
        <v>338</v>
      </c>
      <c r="E255" s="6">
        <f>IF(Table13[[#This Row],[Quartile]]="TopQuartile", 1,
 IF(Table13[[#This Row],[Quartile]]="SecondQuartile", 2,
 IF(Table13[[#This Row],[Quartile]]="ThirdQuartile", 3,
 IF(Table13[[#This Row],[Quartile]]="FourthQuartile", 4, ""))))</f>
        <v>2</v>
      </c>
      <c r="F255" s="5" t="s">
        <v>596</v>
      </c>
      <c r="G255" s="5" t="str" cm="1">
        <f t="array" ref="G255">IFERROR(
  INDEX(Table13[Quartile],
    MATCH(1,
      (Table13[[#This Row],[OrgName]]=Table13[OrgName]) *
      (Table13[[#This Row],[Month Number]]-1=Table13[Month Number]),
    0)
  ),
"")</f>
        <v>SecondQuartile</v>
      </c>
      <c r="H255" s="5">
        <f>IF(Table13[[#This Row],[Previous Quartile]]="TopQuartile", 1,
 IF(Table13[[#This Row],[Previous Quartile]]="SecondQuartile", 2,
 IF(Table13[[#This Row],[Previous Quartile]]="ThirdQuartile", 3,
 IF(Table13[[#This Row],[Previous Quartile]]="FourthQuartile", 4, ""))))</f>
        <v>2</v>
      </c>
      <c r="I255" s="5" t="str">
        <f>IF(Table13[[#This Row],[Previous Quartile Value]]="", "",
   IF(Table13[[#This Row],[Quartile Value]] &lt; Table13[[#This Row],[Previous Quartile Value]], "Improved",
   IF(Table13[[#This Row],[Quartile Value]] &gt; Table13[[#This Row],[Previous Quartile Value]], "Dropped", "Same")))</f>
        <v>Same</v>
      </c>
      <c r="J255" s="7" t="s">
        <v>12</v>
      </c>
      <c r="K255" s="7" t="str">
        <f>VLOOKUP(J255,Introduction!$B$6:$C$14,2)</f>
        <v>London</v>
      </c>
      <c r="L255" s="7">
        <v>222</v>
      </c>
      <c r="M255" s="8" t="s">
        <v>573</v>
      </c>
    </row>
    <row r="256" spans="1:13" ht="19.95" customHeight="1" x14ac:dyDescent="0.25">
      <c r="A256" s="40">
        <v>45474</v>
      </c>
      <c r="B256" s="46">
        <f>MONTH(Table13[[#This Row],[YearMonth]])</f>
        <v>7</v>
      </c>
      <c r="C256" s="5" t="s">
        <v>167</v>
      </c>
      <c r="D256" s="6" t="s">
        <v>338</v>
      </c>
      <c r="E256" s="6">
        <f>IF(Table13[[#This Row],[Quartile]]="TopQuartile", 1,
 IF(Table13[[#This Row],[Quartile]]="SecondQuartile", 2,
 IF(Table13[[#This Row],[Quartile]]="ThirdQuartile", 3,
 IF(Table13[[#This Row],[Quartile]]="FourthQuartile", 4, ""))))</f>
        <v>2</v>
      </c>
      <c r="F256" s="5" t="s">
        <v>597</v>
      </c>
      <c r="G256" s="5" t="str" cm="1">
        <f t="array" ref="G256">IFERROR(
  INDEX(Table13[Quartile],
    MATCH(1,
      (Table13[[#This Row],[OrgName]]=Table13[OrgName]) *
      (Table13[[#This Row],[Month Number]]-1=Table13[Month Number]),
    0)
  ),
"")</f>
        <v>SecondQuartile</v>
      </c>
      <c r="H256" s="5">
        <f>IF(Table13[[#This Row],[Previous Quartile]]="TopQuartile", 1,
 IF(Table13[[#This Row],[Previous Quartile]]="SecondQuartile", 2,
 IF(Table13[[#This Row],[Previous Quartile]]="ThirdQuartile", 3,
 IF(Table13[[#This Row],[Previous Quartile]]="FourthQuartile", 4, ""))))</f>
        <v>2</v>
      </c>
      <c r="I256" s="5" t="str">
        <f>IF(Table13[[#This Row],[Previous Quartile Value]]="", "",
   IF(Table13[[#This Row],[Quartile Value]] &lt; Table13[[#This Row],[Previous Quartile Value]], "Improved",
   IF(Table13[[#This Row],[Quartile Value]] &gt; Table13[[#This Row],[Previous Quartile Value]], "Dropped", "Same")))</f>
        <v>Same</v>
      </c>
      <c r="J256" s="7" t="s">
        <v>18</v>
      </c>
      <c r="K256" s="7" t="str">
        <f>VLOOKUP(J256,Introduction!$B$6:$C$14,2)</f>
        <v>Midlands</v>
      </c>
      <c r="L256" s="7">
        <v>301</v>
      </c>
      <c r="M256" s="8" t="s">
        <v>573</v>
      </c>
    </row>
    <row r="257" spans="1:13" ht="19.95" customHeight="1" x14ac:dyDescent="0.25">
      <c r="A257" s="40">
        <v>45474</v>
      </c>
      <c r="B257" s="46">
        <f>MONTH(Table13[[#This Row],[YearMonth]])</f>
        <v>7</v>
      </c>
      <c r="C257" s="5" t="s">
        <v>172</v>
      </c>
      <c r="D257" s="6" t="s">
        <v>341</v>
      </c>
      <c r="E257" s="6">
        <f>IF(Table13[[#This Row],[Quartile]]="TopQuartile", 1,
 IF(Table13[[#This Row],[Quartile]]="SecondQuartile", 2,
 IF(Table13[[#This Row],[Quartile]]="ThirdQuartile", 3,
 IF(Table13[[#This Row],[Quartile]]="FourthQuartile", 4, ""))))</f>
        <v>3</v>
      </c>
      <c r="F257" s="5" t="s">
        <v>598</v>
      </c>
      <c r="G257" s="5" t="str" cm="1">
        <f t="array" ref="G257">IFERROR(
  INDEX(Table13[Quartile],
    MATCH(1,
      (Table13[[#This Row],[OrgName]]=Table13[OrgName]) *
      (Table13[[#This Row],[Month Number]]-1=Table13[Month Number]),
    0)
  ),
"")</f>
        <v>ThirdQuartile</v>
      </c>
      <c r="H257" s="5">
        <f>IF(Table13[[#This Row],[Previous Quartile]]="TopQuartile", 1,
 IF(Table13[[#This Row],[Previous Quartile]]="SecondQuartile", 2,
 IF(Table13[[#This Row],[Previous Quartile]]="ThirdQuartile", 3,
 IF(Table13[[#This Row],[Previous Quartile]]="FourthQuartile", 4, ""))))</f>
        <v>3</v>
      </c>
      <c r="I257" s="5" t="str">
        <f>IF(Table13[[#This Row],[Previous Quartile Value]]="", "",
   IF(Table13[[#This Row],[Quartile Value]] &lt; Table13[[#This Row],[Previous Quartile Value]], "Improved",
   IF(Table13[[#This Row],[Quartile Value]] &gt; Table13[[#This Row],[Previous Quartile Value]], "Dropped", "Same")))</f>
        <v>Same</v>
      </c>
      <c r="J257" s="7" t="s">
        <v>18</v>
      </c>
      <c r="K257" s="7" t="str">
        <f>VLOOKUP(J257,Introduction!$B$6:$C$14,2)</f>
        <v>Midlands</v>
      </c>
      <c r="L257" s="7">
        <v>232</v>
      </c>
      <c r="M257" s="8" t="s">
        <v>573</v>
      </c>
    </row>
    <row r="258" spans="1:13" ht="19.95" customHeight="1" x14ac:dyDescent="0.25">
      <c r="A258" s="40">
        <v>45474</v>
      </c>
      <c r="B258" s="46">
        <f>MONTH(Table13[[#This Row],[YearMonth]])</f>
        <v>7</v>
      </c>
      <c r="C258" s="5" t="s">
        <v>178</v>
      </c>
      <c r="D258" s="6" t="s">
        <v>341</v>
      </c>
      <c r="E258" s="6">
        <f>IF(Table13[[#This Row],[Quartile]]="TopQuartile", 1,
 IF(Table13[[#This Row],[Quartile]]="SecondQuartile", 2,
 IF(Table13[[#This Row],[Quartile]]="ThirdQuartile", 3,
 IF(Table13[[#This Row],[Quartile]]="FourthQuartile", 4, ""))))</f>
        <v>3</v>
      </c>
      <c r="F258" s="5" t="s">
        <v>599</v>
      </c>
      <c r="G258" s="5" t="str" cm="1">
        <f t="array" ref="G258">IFERROR(
  INDEX(Table13[Quartile],
    MATCH(1,
      (Table13[[#This Row],[OrgName]]=Table13[OrgName]) *
      (Table13[[#This Row],[Month Number]]-1=Table13[Month Number]),
    0)
  ),
"")</f>
        <v>ThirdQuartile</v>
      </c>
      <c r="H258" s="5">
        <f>IF(Table13[[#This Row],[Previous Quartile]]="TopQuartile", 1,
 IF(Table13[[#This Row],[Previous Quartile]]="SecondQuartile", 2,
 IF(Table13[[#This Row],[Previous Quartile]]="ThirdQuartile", 3,
 IF(Table13[[#This Row],[Previous Quartile]]="FourthQuartile", 4, ""))))</f>
        <v>3</v>
      </c>
      <c r="I258" s="5" t="str">
        <f>IF(Table13[[#This Row],[Previous Quartile Value]]="", "",
   IF(Table13[[#This Row],[Quartile Value]] &lt; Table13[[#This Row],[Previous Quartile Value]], "Improved",
   IF(Table13[[#This Row],[Quartile Value]] &gt; Table13[[#This Row],[Previous Quartile Value]], "Dropped", "Same")))</f>
        <v>Same</v>
      </c>
      <c r="J258" s="7" t="s">
        <v>16</v>
      </c>
      <c r="K258" s="7" t="str">
        <f>VLOOKUP(J258,Introduction!$B$6:$C$14,2)</f>
        <v>South East</v>
      </c>
      <c r="L258" s="7">
        <v>348</v>
      </c>
      <c r="M258" s="8" t="s">
        <v>573</v>
      </c>
    </row>
    <row r="259" spans="1:13" ht="19.95" customHeight="1" x14ac:dyDescent="0.25">
      <c r="A259" s="40">
        <v>45474</v>
      </c>
      <c r="B259" s="46">
        <f>MONTH(Table13[[#This Row],[YearMonth]])</f>
        <v>7</v>
      </c>
      <c r="C259" s="5" t="s">
        <v>182</v>
      </c>
      <c r="D259" s="6" t="s">
        <v>341</v>
      </c>
      <c r="E259" s="6">
        <f>IF(Table13[[#This Row],[Quartile]]="TopQuartile", 1,
 IF(Table13[[#This Row],[Quartile]]="SecondQuartile", 2,
 IF(Table13[[#This Row],[Quartile]]="ThirdQuartile", 3,
 IF(Table13[[#This Row],[Quartile]]="FourthQuartile", 4, ""))))</f>
        <v>3</v>
      </c>
      <c r="F259" s="5" t="s">
        <v>600</v>
      </c>
      <c r="G259" s="5" t="str" cm="1">
        <f t="array" ref="G259">IFERROR(
  INDEX(Table13[Quartile],
    MATCH(1,
      (Table13[[#This Row],[OrgName]]=Table13[OrgName]) *
      (Table13[[#This Row],[Month Number]]-1=Table13[Month Number]),
    0)
  ),
"")</f>
        <v>ThirdQuartile</v>
      </c>
      <c r="H259" s="5">
        <f>IF(Table13[[#This Row],[Previous Quartile]]="TopQuartile", 1,
 IF(Table13[[#This Row],[Previous Quartile]]="SecondQuartile", 2,
 IF(Table13[[#This Row],[Previous Quartile]]="ThirdQuartile", 3,
 IF(Table13[[#This Row],[Previous Quartile]]="FourthQuartile", 4, ""))))</f>
        <v>3</v>
      </c>
      <c r="I259" s="5" t="str">
        <f>IF(Table13[[#This Row],[Previous Quartile Value]]="", "",
   IF(Table13[[#This Row],[Quartile Value]] &lt; Table13[[#This Row],[Previous Quartile Value]], "Improved",
   IF(Table13[[#This Row],[Quartile Value]] &gt; Table13[[#This Row],[Previous Quartile Value]], "Dropped", "Same")))</f>
        <v>Same</v>
      </c>
      <c r="J259" s="7" t="s">
        <v>18</v>
      </c>
      <c r="K259" s="7" t="str">
        <f>VLOOKUP(J259,Introduction!$B$6:$C$14,2)</f>
        <v>Midlands</v>
      </c>
      <c r="L259" s="7">
        <v>270</v>
      </c>
      <c r="M259" s="8" t="s">
        <v>573</v>
      </c>
    </row>
    <row r="260" spans="1:13" ht="19.95" customHeight="1" x14ac:dyDescent="0.25">
      <c r="A260" s="40">
        <v>45474</v>
      </c>
      <c r="B260" s="46">
        <f>MONTH(Table13[[#This Row],[YearMonth]])</f>
        <v>7</v>
      </c>
      <c r="C260" s="5" t="s">
        <v>186</v>
      </c>
      <c r="D260" s="6" t="s">
        <v>341</v>
      </c>
      <c r="E260" s="6">
        <f>IF(Table13[[#This Row],[Quartile]]="TopQuartile", 1,
 IF(Table13[[#This Row],[Quartile]]="SecondQuartile", 2,
 IF(Table13[[#This Row],[Quartile]]="ThirdQuartile", 3,
 IF(Table13[[#This Row],[Quartile]]="FourthQuartile", 4, ""))))</f>
        <v>3</v>
      </c>
      <c r="F260" s="5" t="s">
        <v>601</v>
      </c>
      <c r="G260" s="5" t="str" cm="1">
        <f t="array" ref="G260">IFERROR(
  INDEX(Table13[Quartile],
    MATCH(1,
      (Table13[[#This Row],[OrgName]]=Table13[OrgName]) *
      (Table13[[#This Row],[Month Number]]-1=Table13[Month Number]),
    0)
  ),
"")</f>
        <v>ThirdQuartile</v>
      </c>
      <c r="H260" s="5">
        <f>IF(Table13[[#This Row],[Previous Quartile]]="TopQuartile", 1,
 IF(Table13[[#This Row],[Previous Quartile]]="SecondQuartile", 2,
 IF(Table13[[#This Row],[Previous Quartile]]="ThirdQuartile", 3,
 IF(Table13[[#This Row],[Previous Quartile]]="FourthQuartile", 4, ""))))</f>
        <v>3</v>
      </c>
      <c r="I260" s="5" t="str">
        <f>IF(Table13[[#This Row],[Previous Quartile Value]]="", "",
   IF(Table13[[#This Row],[Quartile Value]] &lt; Table13[[#This Row],[Previous Quartile Value]], "Improved",
   IF(Table13[[#This Row],[Quartile Value]] &gt; Table13[[#This Row],[Previous Quartile Value]], "Dropped", "Same")))</f>
        <v>Same</v>
      </c>
      <c r="J260" s="7" t="s">
        <v>16</v>
      </c>
      <c r="K260" s="7" t="str">
        <f>VLOOKUP(J260,Introduction!$B$6:$C$14,2)</f>
        <v>South East</v>
      </c>
      <c r="L260" s="7">
        <v>371</v>
      </c>
      <c r="M260" s="8" t="s">
        <v>573</v>
      </c>
    </row>
    <row r="261" spans="1:13" ht="19.95" customHeight="1" x14ac:dyDescent="0.25">
      <c r="A261" s="40">
        <v>45474</v>
      </c>
      <c r="B261" s="46">
        <f>MONTH(Table13[[#This Row],[YearMonth]])</f>
        <v>7</v>
      </c>
      <c r="C261" s="5" t="s">
        <v>187</v>
      </c>
      <c r="D261" s="6" t="s">
        <v>341</v>
      </c>
      <c r="E261" s="6">
        <f>IF(Table13[[#This Row],[Quartile]]="TopQuartile", 1,
 IF(Table13[[#This Row],[Quartile]]="SecondQuartile", 2,
 IF(Table13[[#This Row],[Quartile]]="ThirdQuartile", 3,
 IF(Table13[[#This Row],[Quartile]]="FourthQuartile", 4, ""))))</f>
        <v>3</v>
      </c>
      <c r="F261" s="5" t="s">
        <v>602</v>
      </c>
      <c r="G261" s="5" t="str" cm="1">
        <f t="array" ref="G261">IFERROR(
  INDEX(Table13[Quartile],
    MATCH(1,
      (Table13[[#This Row],[OrgName]]=Table13[OrgName]) *
      (Table13[[#This Row],[Month Number]]-1=Table13[Month Number]),
    0)
  ),
"")</f>
        <v>ThirdQuartile</v>
      </c>
      <c r="H261" s="5">
        <f>IF(Table13[[#This Row],[Previous Quartile]]="TopQuartile", 1,
 IF(Table13[[#This Row],[Previous Quartile]]="SecondQuartile", 2,
 IF(Table13[[#This Row],[Previous Quartile]]="ThirdQuartile", 3,
 IF(Table13[[#This Row],[Previous Quartile]]="FourthQuartile", 4, ""))))</f>
        <v>3</v>
      </c>
      <c r="I261" s="5" t="str">
        <f>IF(Table13[[#This Row],[Previous Quartile Value]]="", "",
   IF(Table13[[#This Row],[Quartile Value]] &lt; Table13[[#This Row],[Previous Quartile Value]], "Improved",
   IF(Table13[[#This Row],[Quartile Value]] &gt; Table13[[#This Row],[Previous Quartile Value]], "Dropped", "Same")))</f>
        <v>Same</v>
      </c>
      <c r="J261" s="7" t="s">
        <v>18</v>
      </c>
      <c r="K261" s="7" t="str">
        <f>VLOOKUP(J261,Introduction!$B$6:$C$14,2)</f>
        <v>Midlands</v>
      </c>
      <c r="L261" s="7">
        <v>383</v>
      </c>
      <c r="M261" s="8" t="s">
        <v>573</v>
      </c>
    </row>
    <row r="262" spans="1:13" ht="19.95" customHeight="1" x14ac:dyDescent="0.25">
      <c r="A262" s="40">
        <v>45474</v>
      </c>
      <c r="B262" s="46">
        <f>MONTH(Table13[[#This Row],[YearMonth]])</f>
        <v>7</v>
      </c>
      <c r="C262" s="5" t="s">
        <v>208</v>
      </c>
      <c r="D262" s="6" t="s">
        <v>341</v>
      </c>
      <c r="E262" s="6">
        <f>IF(Table13[[#This Row],[Quartile]]="TopQuartile", 1,
 IF(Table13[[#This Row],[Quartile]]="SecondQuartile", 2,
 IF(Table13[[#This Row],[Quartile]]="ThirdQuartile", 3,
 IF(Table13[[#This Row],[Quartile]]="FourthQuartile", 4, ""))))</f>
        <v>3</v>
      </c>
      <c r="F262" s="5" t="s">
        <v>603</v>
      </c>
      <c r="G262" s="5" t="str" cm="1">
        <f t="array" ref="G262">IFERROR(
  INDEX(Table13[Quartile],
    MATCH(1,
      (Table13[[#This Row],[OrgName]]=Table13[OrgName]) *
      (Table13[[#This Row],[Month Number]]-1=Table13[Month Number]),
    0)
  ),
"")</f>
        <v>SecondQuartile</v>
      </c>
      <c r="H262" s="5">
        <f>IF(Table13[[#This Row],[Previous Quartile]]="TopQuartile", 1,
 IF(Table13[[#This Row],[Previous Quartile]]="SecondQuartile", 2,
 IF(Table13[[#This Row],[Previous Quartile]]="ThirdQuartile", 3,
 IF(Table13[[#This Row],[Previous Quartile]]="FourthQuartile", 4, ""))))</f>
        <v>2</v>
      </c>
      <c r="I262" s="5" t="str">
        <f>IF(Table13[[#This Row],[Previous Quartile Value]]="", "",
   IF(Table13[[#This Row],[Quartile Value]] &lt; Table13[[#This Row],[Previous Quartile Value]], "Improved",
   IF(Table13[[#This Row],[Quartile Value]] &gt; Table13[[#This Row],[Previous Quartile Value]], "Dropped", "Same")))</f>
        <v>Dropped</v>
      </c>
      <c r="J262" s="7" t="s">
        <v>20</v>
      </c>
      <c r="K262" s="7" t="str">
        <f>VLOOKUP(J262,Introduction!$B$6:$C$14,2)</f>
        <v>East of England</v>
      </c>
      <c r="L262" s="7">
        <v>246</v>
      </c>
      <c r="M262" s="8" t="s">
        <v>573</v>
      </c>
    </row>
    <row r="263" spans="1:13" ht="19.95" customHeight="1" x14ac:dyDescent="0.25">
      <c r="A263" s="40">
        <v>45474</v>
      </c>
      <c r="B263" s="46">
        <f>MONTH(Table13[[#This Row],[YearMonth]])</f>
        <v>7</v>
      </c>
      <c r="C263" s="5" t="s">
        <v>213</v>
      </c>
      <c r="D263" s="6" t="s">
        <v>341</v>
      </c>
      <c r="E263" s="6">
        <f>IF(Table13[[#This Row],[Quartile]]="TopQuartile", 1,
 IF(Table13[[#This Row],[Quartile]]="SecondQuartile", 2,
 IF(Table13[[#This Row],[Quartile]]="ThirdQuartile", 3,
 IF(Table13[[#This Row],[Quartile]]="FourthQuartile", 4, ""))))</f>
        <v>3</v>
      </c>
      <c r="F263" s="5" t="s">
        <v>604</v>
      </c>
      <c r="G263" s="5" t="str" cm="1">
        <f t="array" ref="G263">IFERROR(
  INDEX(Table13[Quartile],
    MATCH(1,
      (Table13[[#This Row],[OrgName]]=Table13[OrgName]) *
      (Table13[[#This Row],[Month Number]]-1=Table13[Month Number]),
    0)
  ),
"")</f>
        <v>ThirdQuartile</v>
      </c>
      <c r="H263" s="5">
        <f>IF(Table13[[#This Row],[Previous Quartile]]="TopQuartile", 1,
 IF(Table13[[#This Row],[Previous Quartile]]="SecondQuartile", 2,
 IF(Table13[[#This Row],[Previous Quartile]]="ThirdQuartile", 3,
 IF(Table13[[#This Row],[Previous Quartile]]="FourthQuartile", 4, ""))))</f>
        <v>3</v>
      </c>
      <c r="I263" s="5" t="str">
        <f>IF(Table13[[#This Row],[Previous Quartile Value]]="", "",
   IF(Table13[[#This Row],[Quartile Value]] &lt; Table13[[#This Row],[Previous Quartile Value]], "Improved",
   IF(Table13[[#This Row],[Quartile Value]] &gt; Table13[[#This Row],[Previous Quartile Value]], "Dropped", "Same")))</f>
        <v>Same</v>
      </c>
      <c r="J263" s="7" t="s">
        <v>12</v>
      </c>
      <c r="K263" s="7" t="str">
        <f>VLOOKUP(J263,Introduction!$B$6:$C$14,2)</f>
        <v>London</v>
      </c>
      <c r="L263" s="7">
        <v>363</v>
      </c>
      <c r="M263" s="8" t="s">
        <v>573</v>
      </c>
    </row>
    <row r="264" spans="1:13" ht="19.95" customHeight="1" x14ac:dyDescent="0.25">
      <c r="A264" s="40">
        <v>45474</v>
      </c>
      <c r="B264" s="46">
        <f>MONTH(Table13[[#This Row],[YearMonth]])</f>
        <v>7</v>
      </c>
      <c r="C264" s="5" t="s">
        <v>240</v>
      </c>
      <c r="D264" s="6" t="s">
        <v>341</v>
      </c>
      <c r="E264" s="6">
        <f>IF(Table13[[#This Row],[Quartile]]="TopQuartile", 1,
 IF(Table13[[#This Row],[Quartile]]="SecondQuartile", 2,
 IF(Table13[[#This Row],[Quartile]]="ThirdQuartile", 3,
 IF(Table13[[#This Row],[Quartile]]="FourthQuartile", 4, ""))))</f>
        <v>3</v>
      </c>
      <c r="F264" s="5" t="s">
        <v>605</v>
      </c>
      <c r="G264" s="5" t="str" cm="1">
        <f t="array" ref="G264">IFERROR(
  INDEX(Table13[Quartile],
    MATCH(1,
      (Table13[[#This Row],[OrgName]]=Table13[OrgName]) *
      (Table13[[#This Row],[Month Number]]-1=Table13[Month Number]),
    0)
  ),
"")</f>
        <v>ThirdQuartile</v>
      </c>
      <c r="H264" s="5">
        <f>IF(Table13[[#This Row],[Previous Quartile]]="TopQuartile", 1,
 IF(Table13[[#This Row],[Previous Quartile]]="SecondQuartile", 2,
 IF(Table13[[#This Row],[Previous Quartile]]="ThirdQuartile", 3,
 IF(Table13[[#This Row],[Previous Quartile]]="FourthQuartile", 4, ""))))</f>
        <v>3</v>
      </c>
      <c r="I264" s="5" t="str">
        <f>IF(Table13[[#This Row],[Previous Quartile Value]]="", "",
   IF(Table13[[#This Row],[Quartile Value]] &lt; Table13[[#This Row],[Previous Quartile Value]], "Improved",
   IF(Table13[[#This Row],[Quartile Value]] &gt; Table13[[#This Row],[Previous Quartile Value]], "Dropped", "Same")))</f>
        <v>Same</v>
      </c>
      <c r="J264" s="7" t="s">
        <v>12</v>
      </c>
      <c r="K264" s="7" t="str">
        <f>VLOOKUP(J264,Introduction!$B$6:$C$14,2)</f>
        <v>London</v>
      </c>
      <c r="L264" s="7">
        <v>277</v>
      </c>
      <c r="M264" s="8" t="s">
        <v>573</v>
      </c>
    </row>
    <row r="265" spans="1:13" ht="19.95" customHeight="1" x14ac:dyDescent="0.25">
      <c r="A265" s="40">
        <v>45474</v>
      </c>
      <c r="B265" s="46">
        <f>MONTH(Table13[[#This Row],[YearMonth]])</f>
        <v>7</v>
      </c>
      <c r="C265" s="5" t="s">
        <v>244</v>
      </c>
      <c r="D265" s="6" t="s">
        <v>350</v>
      </c>
      <c r="E265" s="6">
        <f>IF(Table13[[#This Row],[Quartile]]="TopQuartile", 1,
 IF(Table13[[#This Row],[Quartile]]="SecondQuartile", 2,
 IF(Table13[[#This Row],[Quartile]]="ThirdQuartile", 3,
 IF(Table13[[#This Row],[Quartile]]="FourthQuartile", 4, ""))))</f>
        <v>4</v>
      </c>
      <c r="F265" s="5" t="s">
        <v>606</v>
      </c>
      <c r="G265" s="5" t="str" cm="1">
        <f t="array" ref="G265">IFERROR(
  INDEX(Table13[Quartile],
    MATCH(1,
      (Table13[[#This Row],[OrgName]]=Table13[OrgName]) *
      (Table13[[#This Row],[Month Number]]-1=Table13[Month Number]),
    0)
  ),
"")</f>
        <v>ThirdQuartile</v>
      </c>
      <c r="H265" s="5">
        <f>IF(Table13[[#This Row],[Previous Quartile]]="TopQuartile", 1,
 IF(Table13[[#This Row],[Previous Quartile]]="SecondQuartile", 2,
 IF(Table13[[#This Row],[Previous Quartile]]="ThirdQuartile", 3,
 IF(Table13[[#This Row],[Previous Quartile]]="FourthQuartile", 4, ""))))</f>
        <v>3</v>
      </c>
      <c r="I265" s="5" t="str">
        <f>IF(Table13[[#This Row],[Previous Quartile Value]]="", "",
   IF(Table13[[#This Row],[Quartile Value]] &lt; Table13[[#This Row],[Previous Quartile Value]], "Improved",
   IF(Table13[[#This Row],[Quartile Value]] &gt; Table13[[#This Row],[Previous Quartile Value]], "Dropped", "Same")))</f>
        <v>Dropped</v>
      </c>
      <c r="J265" s="7" t="s">
        <v>18</v>
      </c>
      <c r="K265" s="7" t="str">
        <f>VLOOKUP(J265,Introduction!$B$6:$C$14,2)</f>
        <v>Midlands</v>
      </c>
      <c r="L265" s="7">
        <v>313</v>
      </c>
      <c r="M265" s="8" t="s">
        <v>573</v>
      </c>
    </row>
    <row r="266" spans="1:13" ht="19.95" customHeight="1" x14ac:dyDescent="0.25">
      <c r="A266" s="40">
        <v>45474</v>
      </c>
      <c r="B266" s="46">
        <f>MONTH(Table13[[#This Row],[YearMonth]])</f>
        <v>7</v>
      </c>
      <c r="C266" s="5" t="s">
        <v>250</v>
      </c>
      <c r="D266" s="6" t="s">
        <v>350</v>
      </c>
      <c r="E266" s="6">
        <f>IF(Table13[[#This Row],[Quartile]]="TopQuartile", 1,
 IF(Table13[[#This Row],[Quartile]]="SecondQuartile", 2,
 IF(Table13[[#This Row],[Quartile]]="ThirdQuartile", 3,
 IF(Table13[[#This Row],[Quartile]]="FourthQuartile", 4, ""))))</f>
        <v>4</v>
      </c>
      <c r="F266" s="5" t="s">
        <v>607</v>
      </c>
      <c r="G266" s="5" t="str" cm="1">
        <f t="array" ref="G266">IFERROR(
  INDEX(Table13[Quartile],
    MATCH(1,
      (Table13[[#This Row],[OrgName]]=Table13[OrgName]) *
      (Table13[[#This Row],[Month Number]]-1=Table13[Month Number]),
    0)
  ),
"")</f>
        <v>FourthQuartile</v>
      </c>
      <c r="H266" s="5">
        <f>IF(Table13[[#This Row],[Previous Quartile]]="TopQuartile", 1,
 IF(Table13[[#This Row],[Previous Quartile]]="SecondQuartile", 2,
 IF(Table13[[#This Row],[Previous Quartile]]="ThirdQuartile", 3,
 IF(Table13[[#This Row],[Previous Quartile]]="FourthQuartile", 4, ""))))</f>
        <v>4</v>
      </c>
      <c r="I266" s="5" t="str">
        <f>IF(Table13[[#This Row],[Previous Quartile Value]]="", "",
   IF(Table13[[#This Row],[Quartile Value]] &lt; Table13[[#This Row],[Previous Quartile Value]], "Improved",
   IF(Table13[[#This Row],[Quartile Value]] &gt; Table13[[#This Row],[Previous Quartile Value]], "Dropped", "Same")))</f>
        <v>Same</v>
      </c>
      <c r="J266" s="7" t="s">
        <v>16</v>
      </c>
      <c r="K266" s="7" t="str">
        <f>VLOOKUP(J266,Introduction!$B$6:$C$14,2)</f>
        <v>South East</v>
      </c>
      <c r="L266" s="7">
        <v>380</v>
      </c>
      <c r="M266" s="8" t="s">
        <v>573</v>
      </c>
    </row>
    <row r="267" spans="1:13" ht="19.95" customHeight="1" x14ac:dyDescent="0.25">
      <c r="A267" s="40">
        <v>45474</v>
      </c>
      <c r="B267" s="46">
        <f>MONTH(Table13[[#This Row],[YearMonth]])</f>
        <v>7</v>
      </c>
      <c r="C267" s="5" t="s">
        <v>255</v>
      </c>
      <c r="D267" s="6" t="s">
        <v>350</v>
      </c>
      <c r="E267" s="6">
        <f>IF(Table13[[#This Row],[Quartile]]="TopQuartile", 1,
 IF(Table13[[#This Row],[Quartile]]="SecondQuartile", 2,
 IF(Table13[[#This Row],[Quartile]]="ThirdQuartile", 3,
 IF(Table13[[#This Row],[Quartile]]="FourthQuartile", 4, ""))))</f>
        <v>4</v>
      </c>
      <c r="F267" s="5" t="s">
        <v>608</v>
      </c>
      <c r="G267" s="5" t="str" cm="1">
        <f t="array" ref="G267">IFERROR(
  INDEX(Table13[Quartile],
    MATCH(1,
      (Table13[[#This Row],[OrgName]]=Table13[OrgName]) *
      (Table13[[#This Row],[Month Number]]-1=Table13[Month Number]),
    0)
  ),
"")</f>
        <v>FourthQuartile</v>
      </c>
      <c r="H267" s="5">
        <f>IF(Table13[[#This Row],[Previous Quartile]]="TopQuartile", 1,
 IF(Table13[[#This Row],[Previous Quartile]]="SecondQuartile", 2,
 IF(Table13[[#This Row],[Previous Quartile]]="ThirdQuartile", 3,
 IF(Table13[[#This Row],[Previous Quartile]]="FourthQuartile", 4, ""))))</f>
        <v>4</v>
      </c>
      <c r="I267" s="5" t="str">
        <f>IF(Table13[[#This Row],[Previous Quartile Value]]="", "",
   IF(Table13[[#This Row],[Quartile Value]] &lt; Table13[[#This Row],[Previous Quartile Value]], "Improved",
   IF(Table13[[#This Row],[Quartile Value]] &gt; Table13[[#This Row],[Previous Quartile Value]], "Dropped", "Same")))</f>
        <v>Same</v>
      </c>
      <c r="J267" s="7" t="s">
        <v>20</v>
      </c>
      <c r="K267" s="7" t="str">
        <f>VLOOKUP(J267,Introduction!$B$6:$C$14,2)</f>
        <v>East of England</v>
      </c>
      <c r="L267" s="7">
        <v>310</v>
      </c>
      <c r="M267" s="8" t="s">
        <v>573</v>
      </c>
    </row>
    <row r="268" spans="1:13" ht="19.95" customHeight="1" x14ac:dyDescent="0.25">
      <c r="A268" s="40">
        <v>45474</v>
      </c>
      <c r="B268" s="46">
        <f>MONTH(Table13[[#This Row],[YearMonth]])</f>
        <v>7</v>
      </c>
      <c r="C268" s="5" t="s">
        <v>264</v>
      </c>
      <c r="D268" s="6" t="s">
        <v>350</v>
      </c>
      <c r="E268" s="6">
        <f>IF(Table13[[#This Row],[Quartile]]="TopQuartile", 1,
 IF(Table13[[#This Row],[Quartile]]="SecondQuartile", 2,
 IF(Table13[[#This Row],[Quartile]]="ThirdQuartile", 3,
 IF(Table13[[#This Row],[Quartile]]="FourthQuartile", 4, ""))))</f>
        <v>4</v>
      </c>
      <c r="F268" s="5" t="s">
        <v>609</v>
      </c>
      <c r="G268" s="5" t="str" cm="1">
        <f t="array" ref="G268">IFERROR(
  INDEX(Table13[Quartile],
    MATCH(1,
      (Table13[[#This Row],[OrgName]]=Table13[OrgName]) *
      (Table13[[#This Row],[Month Number]]-1=Table13[Month Number]),
    0)
  ),
"")</f>
        <v>FourthQuartile</v>
      </c>
      <c r="H268" s="5">
        <f>IF(Table13[[#This Row],[Previous Quartile]]="TopQuartile", 1,
 IF(Table13[[#This Row],[Previous Quartile]]="SecondQuartile", 2,
 IF(Table13[[#This Row],[Previous Quartile]]="ThirdQuartile", 3,
 IF(Table13[[#This Row],[Previous Quartile]]="FourthQuartile", 4, ""))))</f>
        <v>4</v>
      </c>
      <c r="I268" s="5" t="str">
        <f>IF(Table13[[#This Row],[Previous Quartile Value]]="", "",
   IF(Table13[[#This Row],[Quartile Value]] &lt; Table13[[#This Row],[Previous Quartile Value]], "Improved",
   IF(Table13[[#This Row],[Quartile Value]] &gt; Table13[[#This Row],[Previous Quartile Value]], "Dropped", "Same")))</f>
        <v>Same</v>
      </c>
      <c r="J268" s="7" t="s">
        <v>16</v>
      </c>
      <c r="K268" s="7" t="str">
        <f>VLOOKUP(J268,Introduction!$B$6:$C$14,2)</f>
        <v>South East</v>
      </c>
      <c r="L268" s="7">
        <v>267</v>
      </c>
      <c r="M268" s="8" t="s">
        <v>573</v>
      </c>
    </row>
    <row r="269" spans="1:13" ht="19.95" customHeight="1" x14ac:dyDescent="0.25">
      <c r="A269" s="40">
        <v>45474</v>
      </c>
      <c r="B269" s="46">
        <f>MONTH(Table13[[#This Row],[YearMonth]])</f>
        <v>7</v>
      </c>
      <c r="C269" s="5" t="s">
        <v>268</v>
      </c>
      <c r="D269" s="6" t="s">
        <v>350</v>
      </c>
      <c r="E269" s="6">
        <f>IF(Table13[[#This Row],[Quartile]]="TopQuartile", 1,
 IF(Table13[[#This Row],[Quartile]]="SecondQuartile", 2,
 IF(Table13[[#This Row],[Quartile]]="ThirdQuartile", 3,
 IF(Table13[[#This Row],[Quartile]]="FourthQuartile", 4, ""))))</f>
        <v>4</v>
      </c>
      <c r="F269" s="5" t="s">
        <v>610</v>
      </c>
      <c r="G269" s="5" t="str" cm="1">
        <f t="array" ref="G269">IFERROR(
  INDEX(Table13[Quartile],
    MATCH(1,
      (Table13[[#This Row],[OrgName]]=Table13[OrgName]) *
      (Table13[[#This Row],[Month Number]]-1=Table13[Month Number]),
    0)
  ),
"")</f>
        <v>FourthQuartile</v>
      </c>
      <c r="H269" s="5">
        <f>IF(Table13[[#This Row],[Previous Quartile]]="TopQuartile", 1,
 IF(Table13[[#This Row],[Previous Quartile]]="SecondQuartile", 2,
 IF(Table13[[#This Row],[Previous Quartile]]="ThirdQuartile", 3,
 IF(Table13[[#This Row],[Previous Quartile]]="FourthQuartile", 4, ""))))</f>
        <v>4</v>
      </c>
      <c r="I269" s="5" t="str">
        <f>IF(Table13[[#This Row],[Previous Quartile Value]]="", "",
   IF(Table13[[#This Row],[Quartile Value]] &lt; Table13[[#This Row],[Previous Quartile Value]], "Improved",
   IF(Table13[[#This Row],[Quartile Value]] &gt; Table13[[#This Row],[Previous Quartile Value]], "Dropped", "Same")))</f>
        <v>Same</v>
      </c>
      <c r="J269" s="7" t="s">
        <v>16</v>
      </c>
      <c r="K269" s="7" t="str">
        <f>VLOOKUP(J269,Introduction!$B$6:$C$14,2)</f>
        <v>South East</v>
      </c>
      <c r="L269" s="7">
        <v>325</v>
      </c>
      <c r="M269" s="8" t="s">
        <v>573</v>
      </c>
    </row>
    <row r="270" spans="1:13" ht="19.95" customHeight="1" x14ac:dyDescent="0.25">
      <c r="A270" s="40">
        <v>45474</v>
      </c>
      <c r="B270" s="46">
        <f>MONTH(Table13[[#This Row],[YearMonth]])</f>
        <v>7</v>
      </c>
      <c r="C270" s="5" t="s">
        <v>271</v>
      </c>
      <c r="D270" s="6" t="s">
        <v>350</v>
      </c>
      <c r="E270" s="6">
        <f>IF(Table13[[#This Row],[Quartile]]="TopQuartile", 1,
 IF(Table13[[#This Row],[Quartile]]="SecondQuartile", 2,
 IF(Table13[[#This Row],[Quartile]]="ThirdQuartile", 3,
 IF(Table13[[#This Row],[Quartile]]="FourthQuartile", 4, ""))))</f>
        <v>4</v>
      </c>
      <c r="F270" s="5" t="s">
        <v>611</v>
      </c>
      <c r="G270" s="5" t="str" cm="1">
        <f t="array" ref="G270">IFERROR(
  INDEX(Table13[Quartile],
    MATCH(1,
      (Table13[[#This Row],[OrgName]]=Table13[OrgName]) *
      (Table13[[#This Row],[Month Number]]-1=Table13[Month Number]),
    0)
  ),
"")</f>
        <v>FourthQuartile</v>
      </c>
      <c r="H270" s="5">
        <f>IF(Table13[[#This Row],[Previous Quartile]]="TopQuartile", 1,
 IF(Table13[[#This Row],[Previous Quartile]]="SecondQuartile", 2,
 IF(Table13[[#This Row],[Previous Quartile]]="ThirdQuartile", 3,
 IF(Table13[[#This Row],[Previous Quartile]]="FourthQuartile", 4, ""))))</f>
        <v>4</v>
      </c>
      <c r="I270" s="5" t="str">
        <f>IF(Table13[[#This Row],[Previous Quartile Value]]="", "",
   IF(Table13[[#This Row],[Quartile Value]] &lt; Table13[[#This Row],[Previous Quartile Value]], "Improved",
   IF(Table13[[#This Row],[Quartile Value]] &gt; Table13[[#This Row],[Previous Quartile Value]], "Dropped", "Same")))</f>
        <v>Same</v>
      </c>
      <c r="J270" s="7" t="s">
        <v>12</v>
      </c>
      <c r="K270" s="7" t="str">
        <f>VLOOKUP(J270,Introduction!$B$6:$C$14,2)</f>
        <v>London</v>
      </c>
      <c r="L270" s="7">
        <v>334</v>
      </c>
      <c r="M270" s="8" t="s">
        <v>573</v>
      </c>
    </row>
    <row r="271" spans="1:13" ht="19.95" customHeight="1" x14ac:dyDescent="0.25">
      <c r="A271" s="40">
        <v>45474</v>
      </c>
      <c r="B271" s="46">
        <f>MONTH(Table13[[#This Row],[YearMonth]])</f>
        <v>7</v>
      </c>
      <c r="C271" s="5" t="s">
        <v>280</v>
      </c>
      <c r="D271" s="6" t="s">
        <v>350</v>
      </c>
      <c r="E271" s="6">
        <f>IF(Table13[[#This Row],[Quartile]]="TopQuartile", 1,
 IF(Table13[[#This Row],[Quartile]]="SecondQuartile", 2,
 IF(Table13[[#This Row],[Quartile]]="ThirdQuartile", 3,
 IF(Table13[[#This Row],[Quartile]]="FourthQuartile", 4, ""))))</f>
        <v>4</v>
      </c>
      <c r="F271" s="5" t="s">
        <v>612</v>
      </c>
      <c r="G271" s="5" t="str" cm="1">
        <f t="array" ref="G271">IFERROR(
  INDEX(Table13[Quartile],
    MATCH(1,
      (Table13[[#This Row],[OrgName]]=Table13[OrgName]) *
      (Table13[[#This Row],[Month Number]]-1=Table13[Month Number]),
    0)
  ),
"")</f>
        <v>FourthQuartile</v>
      </c>
      <c r="H271" s="5">
        <f>IF(Table13[[#This Row],[Previous Quartile]]="TopQuartile", 1,
 IF(Table13[[#This Row],[Previous Quartile]]="SecondQuartile", 2,
 IF(Table13[[#This Row],[Previous Quartile]]="ThirdQuartile", 3,
 IF(Table13[[#This Row],[Previous Quartile]]="FourthQuartile", 4, ""))))</f>
        <v>4</v>
      </c>
      <c r="I271" s="5" t="str">
        <f>IF(Table13[[#This Row],[Previous Quartile Value]]="", "",
   IF(Table13[[#This Row],[Quartile Value]] &lt; Table13[[#This Row],[Previous Quartile Value]], "Improved",
   IF(Table13[[#This Row],[Quartile Value]] &gt; Table13[[#This Row],[Previous Quartile Value]], "Dropped", "Same")))</f>
        <v>Same</v>
      </c>
      <c r="J271" s="7" t="s">
        <v>12</v>
      </c>
      <c r="K271" s="7" t="str">
        <f>VLOOKUP(J271,Introduction!$B$6:$C$14,2)</f>
        <v>London</v>
      </c>
      <c r="L271" s="7">
        <v>260</v>
      </c>
      <c r="M271" s="8" t="s">
        <v>573</v>
      </c>
    </row>
    <row r="272" spans="1:13" ht="19.95" customHeight="1" x14ac:dyDescent="0.25">
      <c r="A272" s="40">
        <v>45474</v>
      </c>
      <c r="B272" s="46">
        <f>MONTH(Table13[[#This Row],[YearMonth]])</f>
        <v>7</v>
      </c>
      <c r="C272" s="5" t="s">
        <v>286</v>
      </c>
      <c r="D272" s="6" t="s">
        <v>350</v>
      </c>
      <c r="E272" s="6">
        <f>IF(Table13[[#This Row],[Quartile]]="TopQuartile", 1,
 IF(Table13[[#This Row],[Quartile]]="SecondQuartile", 2,
 IF(Table13[[#This Row],[Quartile]]="ThirdQuartile", 3,
 IF(Table13[[#This Row],[Quartile]]="FourthQuartile", 4, ""))))</f>
        <v>4</v>
      </c>
      <c r="F272" s="5" t="s">
        <v>613</v>
      </c>
      <c r="G272" s="5" t="str" cm="1">
        <f t="array" ref="G272">IFERROR(
  INDEX(Table13[Quartile],
    MATCH(1,
      (Table13[[#This Row],[OrgName]]=Table13[OrgName]) *
      (Table13[[#This Row],[Month Number]]-1=Table13[Month Number]),
    0)
  ),
"")</f>
        <v>FourthQuartile</v>
      </c>
      <c r="H272" s="5">
        <f>IF(Table13[[#This Row],[Previous Quartile]]="TopQuartile", 1,
 IF(Table13[[#This Row],[Previous Quartile]]="SecondQuartile", 2,
 IF(Table13[[#This Row],[Previous Quartile]]="ThirdQuartile", 3,
 IF(Table13[[#This Row],[Previous Quartile]]="FourthQuartile", 4, ""))))</f>
        <v>4</v>
      </c>
      <c r="I272" s="5" t="str">
        <f>IF(Table13[[#This Row],[Previous Quartile Value]]="", "",
   IF(Table13[[#This Row],[Quartile Value]] &lt; Table13[[#This Row],[Previous Quartile Value]], "Improved",
   IF(Table13[[#This Row],[Quartile Value]] &gt; Table13[[#This Row],[Previous Quartile Value]], "Dropped", "Same")))</f>
        <v>Same</v>
      </c>
      <c r="J272" s="7" t="s">
        <v>12</v>
      </c>
      <c r="K272" s="7" t="str">
        <f>VLOOKUP(J272,Introduction!$B$6:$C$14,2)</f>
        <v>London</v>
      </c>
      <c r="L272" s="7">
        <v>395</v>
      </c>
      <c r="M272" s="8" t="s">
        <v>573</v>
      </c>
    </row>
    <row r="273" spans="1:13" ht="19.95" customHeight="1" x14ac:dyDescent="0.25">
      <c r="A273" s="40">
        <v>45474</v>
      </c>
      <c r="B273" s="46">
        <f>MONTH(Table13[[#This Row],[YearMonth]])</f>
        <v>7</v>
      </c>
      <c r="C273" s="5" t="s">
        <v>289</v>
      </c>
      <c r="D273" s="6" t="s">
        <v>350</v>
      </c>
      <c r="E273" s="6">
        <f>IF(Table13[[#This Row],[Quartile]]="TopQuartile", 1,
 IF(Table13[[#This Row],[Quartile]]="SecondQuartile", 2,
 IF(Table13[[#This Row],[Quartile]]="ThirdQuartile", 3,
 IF(Table13[[#This Row],[Quartile]]="FourthQuartile", 4, ""))))</f>
        <v>4</v>
      </c>
      <c r="F273" s="5" t="s">
        <v>614</v>
      </c>
      <c r="G273" s="5" t="str" cm="1">
        <f t="array" ref="G273">IFERROR(
  INDEX(Table13[Quartile],
    MATCH(1,
      (Table13[[#This Row],[OrgName]]=Table13[OrgName]) *
      (Table13[[#This Row],[Month Number]]-1=Table13[Month Number]),
    0)
  ),
"")</f>
        <v>FourthQuartile</v>
      </c>
      <c r="H273" s="5">
        <f>IF(Table13[[#This Row],[Previous Quartile]]="TopQuartile", 1,
 IF(Table13[[#This Row],[Previous Quartile]]="SecondQuartile", 2,
 IF(Table13[[#This Row],[Previous Quartile]]="ThirdQuartile", 3,
 IF(Table13[[#This Row],[Previous Quartile]]="FourthQuartile", 4, ""))))</f>
        <v>4</v>
      </c>
      <c r="I273" s="5" t="str">
        <f>IF(Table13[[#This Row],[Previous Quartile Value]]="", "",
   IF(Table13[[#This Row],[Quartile Value]] &lt; Table13[[#This Row],[Previous Quartile Value]], "Improved",
   IF(Table13[[#This Row],[Quartile Value]] &gt; Table13[[#This Row],[Previous Quartile Value]], "Dropped", "Same")))</f>
        <v>Same</v>
      </c>
      <c r="J273" s="7" t="s">
        <v>18</v>
      </c>
      <c r="K273" s="7" t="str">
        <f>VLOOKUP(J273,Introduction!$B$6:$C$14,2)</f>
        <v>Midlands</v>
      </c>
      <c r="L273" s="7">
        <v>285</v>
      </c>
      <c r="M273" s="8" t="s">
        <v>573</v>
      </c>
    </row>
    <row r="274" spans="1:13" ht="19.95" customHeight="1" x14ac:dyDescent="0.25">
      <c r="A274" s="40">
        <v>45474</v>
      </c>
      <c r="B274" s="46">
        <f>MONTH(Table13[[#This Row],[YearMonth]])</f>
        <v>7</v>
      </c>
      <c r="C274" s="5" t="s">
        <v>293</v>
      </c>
      <c r="D274" s="6" t="s">
        <v>350</v>
      </c>
      <c r="E274" s="6">
        <f>IF(Table13[[#This Row],[Quartile]]="TopQuartile", 1,
 IF(Table13[[#This Row],[Quartile]]="SecondQuartile", 2,
 IF(Table13[[#This Row],[Quartile]]="ThirdQuartile", 3,
 IF(Table13[[#This Row],[Quartile]]="FourthQuartile", 4, ""))))</f>
        <v>4</v>
      </c>
      <c r="F274" s="5" t="s">
        <v>615</v>
      </c>
      <c r="G274" s="5" t="str" cm="1">
        <f t="array" ref="G274">IFERROR(
  INDEX(Table13[Quartile],
    MATCH(1,
      (Table13[[#This Row],[OrgName]]=Table13[OrgName]) *
      (Table13[[#This Row],[Month Number]]-1=Table13[Month Number]),
    0)
  ),
"")</f>
        <v>FourthQuartile</v>
      </c>
      <c r="H274" s="5">
        <f>IF(Table13[[#This Row],[Previous Quartile]]="TopQuartile", 1,
 IF(Table13[[#This Row],[Previous Quartile]]="SecondQuartile", 2,
 IF(Table13[[#This Row],[Previous Quartile]]="ThirdQuartile", 3,
 IF(Table13[[#This Row],[Previous Quartile]]="FourthQuartile", 4, ""))))</f>
        <v>4</v>
      </c>
      <c r="I274" s="5" t="str">
        <f>IF(Table13[[#This Row],[Previous Quartile Value]]="", "",
   IF(Table13[[#This Row],[Quartile Value]] &lt; Table13[[#This Row],[Previous Quartile Value]], "Improved",
   IF(Table13[[#This Row],[Quartile Value]] &gt; Table13[[#This Row],[Previous Quartile Value]], "Dropped", "Same")))</f>
        <v>Same</v>
      </c>
      <c r="J274" s="7" t="s">
        <v>22</v>
      </c>
      <c r="K274" s="7" t="str">
        <f>VLOOKUP(J274,Introduction!$B$6:$C$14,2)</f>
        <v>North West</v>
      </c>
      <c r="L274" s="7">
        <v>351</v>
      </c>
      <c r="M274" s="8" t="s">
        <v>573</v>
      </c>
    </row>
    <row r="275" spans="1:13" ht="19.95" customHeight="1" x14ac:dyDescent="0.25">
      <c r="A275" s="40">
        <v>45474</v>
      </c>
      <c r="B275" s="46">
        <f>MONTH(Table13[[#This Row],[YearMonth]])</f>
        <v>7</v>
      </c>
      <c r="C275" s="5" t="s">
        <v>295</v>
      </c>
      <c r="D275" s="6" t="s">
        <v>350</v>
      </c>
      <c r="E275" s="6">
        <f>IF(Table13[[#This Row],[Quartile]]="TopQuartile", 1,
 IF(Table13[[#This Row],[Quartile]]="SecondQuartile", 2,
 IF(Table13[[#This Row],[Quartile]]="ThirdQuartile", 3,
 IF(Table13[[#This Row],[Quartile]]="FourthQuartile", 4, ""))))</f>
        <v>4</v>
      </c>
      <c r="F275" s="5" t="s">
        <v>616</v>
      </c>
      <c r="G275" s="5" t="str" cm="1">
        <f t="array" ref="G275">IFERROR(
  INDEX(Table13[Quartile],
    MATCH(1,
      (Table13[[#This Row],[OrgName]]=Table13[OrgName]) *
      (Table13[[#This Row],[Month Number]]-1=Table13[Month Number]),
    0)
  ),
"")</f>
        <v>FourthQuartile</v>
      </c>
      <c r="H275" s="5">
        <f>IF(Table13[[#This Row],[Previous Quartile]]="TopQuartile", 1,
 IF(Table13[[#This Row],[Previous Quartile]]="SecondQuartile", 2,
 IF(Table13[[#This Row],[Previous Quartile]]="ThirdQuartile", 3,
 IF(Table13[[#This Row],[Previous Quartile]]="FourthQuartile", 4, ""))))</f>
        <v>4</v>
      </c>
      <c r="I275" s="5" t="str">
        <f>IF(Table13[[#This Row],[Previous Quartile Value]]="", "",
   IF(Table13[[#This Row],[Quartile Value]] &lt; Table13[[#This Row],[Previous Quartile Value]], "Improved",
   IF(Table13[[#This Row],[Quartile Value]] &gt; Table13[[#This Row],[Previous Quartile Value]], "Dropped", "Same")))</f>
        <v>Same</v>
      </c>
      <c r="J275" s="7" t="s">
        <v>18</v>
      </c>
      <c r="K275" s="7" t="str">
        <f>VLOOKUP(J275,Introduction!$B$6:$C$14,2)</f>
        <v>Midlands</v>
      </c>
      <c r="L275" s="7">
        <v>444</v>
      </c>
      <c r="M275" s="8" t="s">
        <v>573</v>
      </c>
    </row>
    <row r="276" spans="1:13" ht="19.95" customHeight="1" x14ac:dyDescent="0.25">
      <c r="A276" s="40">
        <v>45474</v>
      </c>
      <c r="B276" s="46">
        <f>MONTH(Table13[[#This Row],[YearMonth]])</f>
        <v>7</v>
      </c>
      <c r="C276" s="5" t="s">
        <v>306</v>
      </c>
      <c r="D276" s="6" t="s">
        <v>350</v>
      </c>
      <c r="E276" s="6">
        <f>IF(Table13[[#This Row],[Quartile]]="TopQuartile", 1,
 IF(Table13[[#This Row],[Quartile]]="SecondQuartile", 2,
 IF(Table13[[#This Row],[Quartile]]="ThirdQuartile", 3,
 IF(Table13[[#This Row],[Quartile]]="FourthQuartile", 4, ""))))</f>
        <v>4</v>
      </c>
      <c r="F276" s="5" t="s">
        <v>617</v>
      </c>
      <c r="G276" s="5" t="str" cm="1">
        <f t="array" ref="G276">IFERROR(
  INDEX(Table13[Quartile],
    MATCH(1,
      (Table13[[#This Row],[OrgName]]=Table13[OrgName]) *
      (Table13[[#This Row],[Month Number]]-1=Table13[Month Number]),
    0)
  ),
"")</f>
        <v>FourthQuartile</v>
      </c>
      <c r="H276" s="5">
        <f>IF(Table13[[#This Row],[Previous Quartile]]="TopQuartile", 1,
 IF(Table13[[#This Row],[Previous Quartile]]="SecondQuartile", 2,
 IF(Table13[[#This Row],[Previous Quartile]]="ThirdQuartile", 3,
 IF(Table13[[#This Row],[Previous Quartile]]="FourthQuartile", 4, ""))))</f>
        <v>4</v>
      </c>
      <c r="I276" s="5" t="str">
        <f>IF(Table13[[#This Row],[Previous Quartile Value]]="", "",
   IF(Table13[[#This Row],[Quartile Value]] &lt; Table13[[#This Row],[Previous Quartile Value]], "Improved",
   IF(Table13[[#This Row],[Quartile Value]] &gt; Table13[[#This Row],[Previous Quartile Value]], "Dropped", "Same")))</f>
        <v>Same</v>
      </c>
      <c r="J276" s="7" t="s">
        <v>18</v>
      </c>
      <c r="K276" s="7" t="str">
        <f>VLOOKUP(J276,Introduction!$B$6:$C$14,2)</f>
        <v>Midlands</v>
      </c>
      <c r="L276" s="7">
        <v>436</v>
      </c>
      <c r="M276" s="8" t="s">
        <v>573</v>
      </c>
    </row>
    <row r="277" spans="1:13" ht="19.95" customHeight="1" x14ac:dyDescent="0.25">
      <c r="A277" s="40">
        <v>45474</v>
      </c>
      <c r="B277" s="46">
        <f>MONTH(Table13[[#This Row],[YearMonth]])</f>
        <v>7</v>
      </c>
      <c r="C277" s="5" t="s">
        <v>32</v>
      </c>
      <c r="D277" s="6" t="s">
        <v>330</v>
      </c>
      <c r="E277" s="6">
        <f>IF(Table13[[#This Row],[Quartile]]="TopQuartile", 1,
 IF(Table13[[#This Row],[Quartile]]="SecondQuartile", 2,
 IF(Table13[[#This Row],[Quartile]]="ThirdQuartile", 3,
 IF(Table13[[#This Row],[Quartile]]="FourthQuartile", 4, ""))))</f>
        <v>1</v>
      </c>
      <c r="F277" s="5" t="s">
        <v>618</v>
      </c>
      <c r="G277" s="5" t="str" cm="1">
        <f t="array" ref="G277">IFERROR(
  INDEX(Table13[Quartile],
    MATCH(1,
      (Table13[[#This Row],[OrgName]]=Table13[OrgName]) *
      (Table13[[#This Row],[Month Number]]-1=Table13[Month Number]),
    0)
  ),
"")</f>
        <v>TopQuartile</v>
      </c>
      <c r="H277" s="5">
        <f>IF(Table13[[#This Row],[Previous Quartile]]="TopQuartile", 1,
 IF(Table13[[#This Row],[Previous Quartile]]="SecondQuartile", 2,
 IF(Table13[[#This Row],[Previous Quartile]]="ThirdQuartile", 3,
 IF(Table13[[#This Row],[Previous Quartile]]="FourthQuartile", 4, ""))))</f>
        <v>1</v>
      </c>
      <c r="I277" s="5" t="str">
        <f>IF(Table13[[#This Row],[Previous Quartile Value]]="", "",
   IF(Table13[[#This Row],[Quartile Value]] &lt; Table13[[#This Row],[Previous Quartile Value]], "Improved",
   IF(Table13[[#This Row],[Quartile Value]] &gt; Table13[[#This Row],[Previous Quartile Value]], "Dropped", "Same")))</f>
        <v>Same</v>
      </c>
      <c r="J277" s="7" t="s">
        <v>10</v>
      </c>
      <c r="K277" s="7" t="str">
        <f>VLOOKUP(J277,Introduction!$B$6:$C$14,2)</f>
        <v>Special Health Authorities and other statutory bodies</v>
      </c>
      <c r="L277" s="7">
        <v>907</v>
      </c>
      <c r="M277" s="8" t="s">
        <v>33</v>
      </c>
    </row>
    <row r="278" spans="1:13" ht="19.95" customHeight="1" x14ac:dyDescent="0.25">
      <c r="A278" s="40">
        <v>45474</v>
      </c>
      <c r="B278" s="46">
        <f>MONTH(Table13[[#This Row],[YearMonth]])</f>
        <v>7</v>
      </c>
      <c r="C278" s="5" t="s">
        <v>120</v>
      </c>
      <c r="D278" s="6" t="s">
        <v>338</v>
      </c>
      <c r="E278" s="6">
        <f>IF(Table13[[#This Row],[Quartile]]="TopQuartile", 1,
 IF(Table13[[#This Row],[Quartile]]="SecondQuartile", 2,
 IF(Table13[[#This Row],[Quartile]]="ThirdQuartile", 3,
 IF(Table13[[#This Row],[Quartile]]="FourthQuartile", 4, ""))))</f>
        <v>2</v>
      </c>
      <c r="F278" s="5" t="s">
        <v>619</v>
      </c>
      <c r="G278" s="5" t="str" cm="1">
        <f t="array" ref="G278">IFERROR(
  INDEX(Table13[Quartile],
    MATCH(1,
      (Table13[[#This Row],[OrgName]]=Table13[OrgName]) *
      (Table13[[#This Row],[Month Number]]-1=Table13[Month Number]),
    0)
  ),
"")</f>
        <v>SecondQuartile</v>
      </c>
      <c r="H278" s="5">
        <f>IF(Table13[[#This Row],[Previous Quartile]]="TopQuartile", 1,
 IF(Table13[[#This Row],[Previous Quartile]]="SecondQuartile", 2,
 IF(Table13[[#This Row],[Previous Quartile]]="ThirdQuartile", 3,
 IF(Table13[[#This Row],[Previous Quartile]]="FourthQuartile", 4, ""))))</f>
        <v>2</v>
      </c>
      <c r="I278" s="5" t="str">
        <f>IF(Table13[[#This Row],[Previous Quartile Value]]="", "",
   IF(Table13[[#This Row],[Quartile Value]] &lt; Table13[[#This Row],[Previous Quartile Value]], "Improved",
   IF(Table13[[#This Row],[Quartile Value]] &gt; Table13[[#This Row],[Previous Quartile Value]], "Dropped", "Same")))</f>
        <v>Same</v>
      </c>
      <c r="J278" s="7" t="s">
        <v>10</v>
      </c>
      <c r="K278" s="7" t="str">
        <f>VLOOKUP(J278,Introduction!$B$6:$C$14,2)</f>
        <v>Special Health Authorities and other statutory bodies</v>
      </c>
      <c r="L278" s="7">
        <v>980</v>
      </c>
      <c r="M278" s="8" t="s">
        <v>33</v>
      </c>
    </row>
    <row r="279" spans="1:13" ht="19.95" customHeight="1" x14ac:dyDescent="0.25">
      <c r="A279" s="40">
        <v>45474</v>
      </c>
      <c r="B279" s="46">
        <f>MONTH(Table13[[#This Row],[YearMonth]])</f>
        <v>7</v>
      </c>
      <c r="C279" s="5" t="s">
        <v>155</v>
      </c>
      <c r="D279" s="6" t="s">
        <v>338</v>
      </c>
      <c r="E279" s="6">
        <f>IF(Table13[[#This Row],[Quartile]]="TopQuartile", 1,
 IF(Table13[[#This Row],[Quartile]]="SecondQuartile", 2,
 IF(Table13[[#This Row],[Quartile]]="ThirdQuartile", 3,
 IF(Table13[[#This Row],[Quartile]]="FourthQuartile", 4, ""))))</f>
        <v>2</v>
      </c>
      <c r="F279" s="5" t="s">
        <v>620</v>
      </c>
      <c r="G279" s="5" t="str" cm="1">
        <f t="array" ref="G279">IFERROR(
  INDEX(Table13[Quartile],
    MATCH(1,
      (Table13[[#This Row],[OrgName]]=Table13[OrgName]) *
      (Table13[[#This Row],[Month Number]]-1=Table13[Month Number]),
    0)
  ),
"")</f>
        <v>SecondQuartile</v>
      </c>
      <c r="H279" s="5">
        <f>IF(Table13[[#This Row],[Previous Quartile]]="TopQuartile", 1,
 IF(Table13[[#This Row],[Previous Quartile]]="SecondQuartile", 2,
 IF(Table13[[#This Row],[Previous Quartile]]="ThirdQuartile", 3,
 IF(Table13[[#This Row],[Previous Quartile]]="FourthQuartile", 4, ""))))</f>
        <v>2</v>
      </c>
      <c r="I279" s="5" t="str">
        <f>IF(Table13[[#This Row],[Previous Quartile Value]]="", "",
   IF(Table13[[#This Row],[Quartile Value]] &lt; Table13[[#This Row],[Previous Quartile Value]], "Improved",
   IF(Table13[[#This Row],[Quartile Value]] &gt; Table13[[#This Row],[Previous Quartile Value]], "Dropped", "Same")))</f>
        <v>Same</v>
      </c>
      <c r="J279" s="7" t="s">
        <v>10</v>
      </c>
      <c r="K279" s="7" t="str">
        <f>VLOOKUP(J279,Introduction!$B$6:$C$14,2)</f>
        <v>Special Health Authorities and other statutory bodies</v>
      </c>
      <c r="L279" s="7">
        <v>918</v>
      </c>
      <c r="M279" s="8" t="s">
        <v>33</v>
      </c>
    </row>
    <row r="280" spans="1:13" ht="19.95" customHeight="1" x14ac:dyDescent="0.25">
      <c r="A280" s="40">
        <v>45474</v>
      </c>
      <c r="B280" s="46">
        <f>MONTH(Table13[[#This Row],[YearMonth]])</f>
        <v>7</v>
      </c>
      <c r="C280" s="5" t="s">
        <v>163</v>
      </c>
      <c r="D280" s="6" t="s">
        <v>338</v>
      </c>
      <c r="E280" s="6">
        <f>IF(Table13[[#This Row],[Quartile]]="TopQuartile", 1,
 IF(Table13[[#This Row],[Quartile]]="SecondQuartile", 2,
 IF(Table13[[#This Row],[Quartile]]="ThirdQuartile", 3,
 IF(Table13[[#This Row],[Quartile]]="FourthQuartile", 4, ""))))</f>
        <v>2</v>
      </c>
      <c r="F280" s="5" t="s">
        <v>621</v>
      </c>
      <c r="G280" s="5" t="str" cm="1">
        <f t="array" ref="G280">IFERROR(
  INDEX(Table13[Quartile],
    MATCH(1,
      (Table13[[#This Row],[OrgName]]=Table13[OrgName]) *
      (Table13[[#This Row],[Month Number]]-1=Table13[Month Number]),
    0)
  ),
"")</f>
        <v>SecondQuartile</v>
      </c>
      <c r="H280" s="5">
        <f>IF(Table13[[#This Row],[Previous Quartile]]="TopQuartile", 1,
 IF(Table13[[#This Row],[Previous Quartile]]="SecondQuartile", 2,
 IF(Table13[[#This Row],[Previous Quartile]]="ThirdQuartile", 3,
 IF(Table13[[#This Row],[Previous Quartile]]="FourthQuartile", 4, ""))))</f>
        <v>2</v>
      </c>
      <c r="I280" s="5" t="str">
        <f>IF(Table13[[#This Row],[Previous Quartile Value]]="", "",
   IF(Table13[[#This Row],[Quartile Value]] &lt; Table13[[#This Row],[Previous Quartile Value]], "Improved",
   IF(Table13[[#This Row],[Quartile Value]] &gt; Table13[[#This Row],[Previous Quartile Value]], "Dropped", "Same")))</f>
        <v>Same</v>
      </c>
      <c r="J280" s="7" t="s">
        <v>10</v>
      </c>
      <c r="K280" s="7" t="str">
        <f>VLOOKUP(J280,Introduction!$B$6:$C$14,2)</f>
        <v>Special Health Authorities and other statutory bodies</v>
      </c>
      <c r="L280" s="7">
        <v>914</v>
      </c>
      <c r="M280" s="8" t="s">
        <v>33</v>
      </c>
    </row>
    <row r="281" spans="1:13" ht="19.95" customHeight="1" x14ac:dyDescent="0.25">
      <c r="A281" s="40">
        <v>45474</v>
      </c>
      <c r="B281" s="46">
        <f>MONTH(Table13[[#This Row],[YearMonth]])</f>
        <v>7</v>
      </c>
      <c r="C281" s="5" t="s">
        <v>176</v>
      </c>
      <c r="D281" s="6" t="s">
        <v>341</v>
      </c>
      <c r="E281" s="6">
        <f>IF(Table13[[#This Row],[Quartile]]="TopQuartile", 1,
 IF(Table13[[#This Row],[Quartile]]="SecondQuartile", 2,
 IF(Table13[[#This Row],[Quartile]]="ThirdQuartile", 3,
 IF(Table13[[#This Row],[Quartile]]="FourthQuartile", 4, ""))))</f>
        <v>3</v>
      </c>
      <c r="F281" s="5" t="s">
        <v>622</v>
      </c>
      <c r="G281" s="5" t="str" cm="1">
        <f t="array" ref="G281">IFERROR(
  INDEX(Table13[Quartile],
    MATCH(1,
      (Table13[[#This Row],[OrgName]]=Table13[OrgName]) *
      (Table13[[#This Row],[Month Number]]-1=Table13[Month Number]),
    0)
  ),
"")</f>
        <v>SecondQuartile</v>
      </c>
      <c r="H281" s="5">
        <f>IF(Table13[[#This Row],[Previous Quartile]]="TopQuartile", 1,
 IF(Table13[[#This Row],[Previous Quartile]]="SecondQuartile", 2,
 IF(Table13[[#This Row],[Previous Quartile]]="ThirdQuartile", 3,
 IF(Table13[[#This Row],[Previous Quartile]]="FourthQuartile", 4, ""))))</f>
        <v>2</v>
      </c>
      <c r="I281" s="5" t="str">
        <f>IF(Table13[[#This Row],[Previous Quartile Value]]="", "",
   IF(Table13[[#This Row],[Quartile Value]] &lt; Table13[[#This Row],[Previous Quartile Value]], "Improved",
   IF(Table13[[#This Row],[Quartile Value]] &gt; Table13[[#This Row],[Previous Quartile Value]], "Dropped", "Same")))</f>
        <v>Dropped</v>
      </c>
      <c r="J281" s="7" t="s">
        <v>12</v>
      </c>
      <c r="K281" s="7" t="str">
        <f>VLOOKUP(J281,Introduction!$B$6:$C$14,2)</f>
        <v>London</v>
      </c>
      <c r="L281" s="7">
        <v>44</v>
      </c>
      <c r="M281" s="8" t="s">
        <v>33</v>
      </c>
    </row>
    <row r="282" spans="1:13" ht="19.95" customHeight="1" x14ac:dyDescent="0.25">
      <c r="A282" s="40">
        <v>45474</v>
      </c>
      <c r="B282" s="46">
        <f>MONTH(Table13[[#This Row],[YearMonth]])</f>
        <v>7</v>
      </c>
      <c r="C282" s="5" t="s">
        <v>212</v>
      </c>
      <c r="D282" s="6" t="s">
        <v>341</v>
      </c>
      <c r="E282" s="6">
        <f>IF(Table13[[#This Row],[Quartile]]="TopQuartile", 1,
 IF(Table13[[#This Row],[Quartile]]="SecondQuartile", 2,
 IF(Table13[[#This Row],[Quartile]]="ThirdQuartile", 3,
 IF(Table13[[#This Row],[Quartile]]="FourthQuartile", 4, ""))))</f>
        <v>3</v>
      </c>
      <c r="F282" s="5" t="s">
        <v>623</v>
      </c>
      <c r="G282" s="5" t="str" cm="1">
        <f t="array" ref="G282">IFERROR(
  INDEX(Table13[Quartile],
    MATCH(1,
      (Table13[[#This Row],[OrgName]]=Table13[OrgName]) *
      (Table13[[#This Row],[Month Number]]-1=Table13[Month Number]),
    0)
  ),
"")</f>
        <v>ThirdQuartile</v>
      </c>
      <c r="H282" s="5">
        <f>IF(Table13[[#This Row],[Previous Quartile]]="TopQuartile", 1,
 IF(Table13[[#This Row],[Previous Quartile]]="SecondQuartile", 2,
 IF(Table13[[#This Row],[Previous Quartile]]="ThirdQuartile", 3,
 IF(Table13[[#This Row],[Previous Quartile]]="FourthQuartile", 4, ""))))</f>
        <v>3</v>
      </c>
      <c r="I282" s="5" t="str">
        <f>IF(Table13[[#This Row],[Previous Quartile Value]]="", "",
   IF(Table13[[#This Row],[Quartile Value]] &lt; Table13[[#This Row],[Previous Quartile Value]], "Improved",
   IF(Table13[[#This Row],[Quartile Value]] &gt; Table13[[#This Row],[Previous Quartile Value]], "Dropped", "Same")))</f>
        <v>Same</v>
      </c>
      <c r="J282" s="7" t="s">
        <v>10</v>
      </c>
      <c r="K282" s="7" t="str">
        <f>VLOOKUP(J282,Introduction!$B$6:$C$14,2)</f>
        <v>Special Health Authorities and other statutory bodies</v>
      </c>
      <c r="L282" s="7">
        <v>65</v>
      </c>
      <c r="M282" s="8" t="s">
        <v>33</v>
      </c>
    </row>
    <row r="283" spans="1:13" ht="19.95" customHeight="1" x14ac:dyDescent="0.25">
      <c r="A283" s="40">
        <v>45474</v>
      </c>
      <c r="B283" s="46">
        <f>MONTH(Table13[[#This Row],[YearMonth]])</f>
        <v>7</v>
      </c>
      <c r="C283" s="5" t="s">
        <v>218</v>
      </c>
      <c r="D283" s="6" t="s">
        <v>341</v>
      </c>
      <c r="E283" s="6">
        <f>IF(Table13[[#This Row],[Quartile]]="TopQuartile", 1,
 IF(Table13[[#This Row],[Quartile]]="SecondQuartile", 2,
 IF(Table13[[#This Row],[Quartile]]="ThirdQuartile", 3,
 IF(Table13[[#This Row],[Quartile]]="FourthQuartile", 4, ""))))</f>
        <v>3</v>
      </c>
      <c r="F283" s="5" t="s">
        <v>624</v>
      </c>
      <c r="G283" s="5" t="str" cm="1">
        <f t="array" ref="G283">IFERROR(
  INDEX(Table13[Quartile],
    MATCH(1,
      (Table13[[#This Row],[OrgName]]=Table13[OrgName]) *
      (Table13[[#This Row],[Month Number]]-1=Table13[Month Number]),
    0)
  ),
"")</f>
        <v>ThirdQuartile</v>
      </c>
      <c r="H283" s="5">
        <f>IF(Table13[[#This Row],[Previous Quartile]]="TopQuartile", 1,
 IF(Table13[[#This Row],[Previous Quartile]]="SecondQuartile", 2,
 IF(Table13[[#This Row],[Previous Quartile]]="ThirdQuartile", 3,
 IF(Table13[[#This Row],[Previous Quartile]]="FourthQuartile", 4, ""))))</f>
        <v>3</v>
      </c>
      <c r="I283" s="5" t="str">
        <f>IF(Table13[[#This Row],[Previous Quartile Value]]="", "",
   IF(Table13[[#This Row],[Quartile Value]] &lt; Table13[[#This Row],[Previous Quartile Value]], "Improved",
   IF(Table13[[#This Row],[Quartile Value]] &gt; Table13[[#This Row],[Previous Quartile Value]], "Dropped", "Same")))</f>
        <v>Same</v>
      </c>
      <c r="J283" s="7" t="s">
        <v>10</v>
      </c>
      <c r="K283" s="7" t="str">
        <f>VLOOKUP(J283,Introduction!$B$6:$C$14,2)</f>
        <v>Special Health Authorities and other statutory bodies</v>
      </c>
      <c r="L283" s="7">
        <v>76</v>
      </c>
      <c r="M283" s="8" t="s">
        <v>33</v>
      </c>
    </row>
    <row r="284" spans="1:13" ht="19.95" customHeight="1" x14ac:dyDescent="0.25">
      <c r="A284" s="40">
        <v>45474</v>
      </c>
      <c r="B284" s="46">
        <f>MONTH(Table13[[#This Row],[YearMonth]])</f>
        <v>7</v>
      </c>
      <c r="C284" s="5" t="s">
        <v>294</v>
      </c>
      <c r="D284" s="6" t="s">
        <v>350</v>
      </c>
      <c r="E284" s="6">
        <f>IF(Table13[[#This Row],[Quartile]]="TopQuartile", 1,
 IF(Table13[[#This Row],[Quartile]]="SecondQuartile", 2,
 IF(Table13[[#This Row],[Quartile]]="ThirdQuartile", 3,
 IF(Table13[[#This Row],[Quartile]]="FourthQuartile", 4, ""))))</f>
        <v>4</v>
      </c>
      <c r="F284" s="5" t="s">
        <v>625</v>
      </c>
      <c r="G284" s="5" t="str" cm="1">
        <f t="array" ref="G284">IFERROR(
  INDEX(Table13[Quartile],
    MATCH(1,
      (Table13[[#This Row],[OrgName]]=Table13[OrgName]) *
      (Table13[[#This Row],[Month Number]]-1=Table13[Month Number]),
    0)
  ),
"")</f>
        <v>FourthQuartile</v>
      </c>
      <c r="H284" s="5">
        <f>IF(Table13[[#This Row],[Previous Quartile]]="TopQuartile", 1,
 IF(Table13[[#This Row],[Previous Quartile]]="SecondQuartile", 2,
 IF(Table13[[#This Row],[Previous Quartile]]="ThirdQuartile", 3,
 IF(Table13[[#This Row],[Previous Quartile]]="FourthQuartile", 4, ""))))</f>
        <v>4</v>
      </c>
      <c r="I284" s="5" t="str">
        <f>IF(Table13[[#This Row],[Previous Quartile Value]]="", "",
   IF(Table13[[#This Row],[Quartile Value]] &lt; Table13[[#This Row],[Previous Quartile Value]], "Improved",
   IF(Table13[[#This Row],[Quartile Value]] &gt; Table13[[#This Row],[Previous Quartile Value]], "Dropped", "Same")))</f>
        <v>Same</v>
      </c>
      <c r="J284" s="7" t="s">
        <v>10</v>
      </c>
      <c r="K284" s="7" t="str">
        <f>VLOOKUP(J284,Introduction!$B$6:$C$14,2)</f>
        <v>Special Health Authorities and other statutory bodies</v>
      </c>
      <c r="L284" s="7">
        <v>990</v>
      </c>
      <c r="M284" s="8" t="s">
        <v>33</v>
      </c>
    </row>
    <row r="285" spans="1:13" ht="19.95" customHeight="1" x14ac:dyDescent="0.25">
      <c r="A285" s="40">
        <v>45474</v>
      </c>
      <c r="B285" s="46">
        <f>MONTH(Table13[[#This Row],[YearMonth]])</f>
        <v>7</v>
      </c>
      <c r="C285" s="5" t="s">
        <v>299</v>
      </c>
      <c r="D285" s="6" t="s">
        <v>350</v>
      </c>
      <c r="E285" s="6">
        <f>IF(Table13[[#This Row],[Quartile]]="TopQuartile", 1,
 IF(Table13[[#This Row],[Quartile]]="SecondQuartile", 2,
 IF(Table13[[#This Row],[Quartile]]="ThirdQuartile", 3,
 IF(Table13[[#This Row],[Quartile]]="FourthQuartile", 4, ""))))</f>
        <v>4</v>
      </c>
      <c r="F285" s="5" t="s">
        <v>626</v>
      </c>
      <c r="G285" s="5" t="str" cm="1">
        <f t="array" ref="G285">IFERROR(
  INDEX(Table13[Quartile],
    MATCH(1,
      (Table13[[#This Row],[OrgName]]=Table13[OrgName]) *
      (Table13[[#This Row],[Month Number]]-1=Table13[Month Number]),
    0)
  ),
"")</f>
        <v>FourthQuartile</v>
      </c>
      <c r="H285" s="5">
        <f>IF(Table13[[#This Row],[Previous Quartile]]="TopQuartile", 1,
 IF(Table13[[#This Row],[Previous Quartile]]="SecondQuartile", 2,
 IF(Table13[[#This Row],[Previous Quartile]]="ThirdQuartile", 3,
 IF(Table13[[#This Row],[Previous Quartile]]="FourthQuartile", 4, ""))))</f>
        <v>4</v>
      </c>
      <c r="I285" s="5" t="str">
        <f>IF(Table13[[#This Row],[Previous Quartile Value]]="", "",
   IF(Table13[[#This Row],[Quartile Value]] &lt; Table13[[#This Row],[Previous Quartile Value]], "Improved",
   IF(Table13[[#This Row],[Quartile Value]] &gt; Table13[[#This Row],[Previous Quartile Value]], "Dropped", "Same")))</f>
        <v>Same</v>
      </c>
      <c r="J285" s="7" t="s">
        <v>10</v>
      </c>
      <c r="K285" s="7" t="str">
        <f>VLOOKUP(J285,Introduction!$B$6:$C$14,2)</f>
        <v>Special Health Authorities and other statutory bodies</v>
      </c>
      <c r="L285" s="7">
        <v>912</v>
      </c>
      <c r="M285" s="8" t="s">
        <v>33</v>
      </c>
    </row>
    <row r="286" spans="1:13" ht="19.95" customHeight="1" x14ac:dyDescent="0.25">
      <c r="A286" s="40">
        <v>45474</v>
      </c>
      <c r="B286" s="46">
        <f>MONTH(Table13[[#This Row],[YearMonth]])</f>
        <v>7</v>
      </c>
      <c r="C286" s="5" t="s">
        <v>300</v>
      </c>
      <c r="D286" s="6" t="s">
        <v>350</v>
      </c>
      <c r="E286" s="6">
        <f>IF(Table13[[#This Row],[Quartile]]="TopQuartile", 1,
 IF(Table13[[#This Row],[Quartile]]="SecondQuartile", 2,
 IF(Table13[[#This Row],[Quartile]]="ThirdQuartile", 3,
 IF(Table13[[#This Row],[Quartile]]="FourthQuartile", 4, ""))))</f>
        <v>4</v>
      </c>
      <c r="F286" s="5" t="s">
        <v>627</v>
      </c>
      <c r="G286" s="5" t="str" cm="1">
        <f t="array" ref="G286">IFERROR(
  INDEX(Table13[Quartile],
    MATCH(1,
      (Table13[[#This Row],[OrgName]]=Table13[OrgName]) *
      (Table13[[#This Row],[Month Number]]-1=Table13[Month Number]),
    0)
  ),
"")</f>
        <v>FourthQuartile</v>
      </c>
      <c r="H286" s="5">
        <f>IF(Table13[[#This Row],[Previous Quartile]]="TopQuartile", 1,
 IF(Table13[[#This Row],[Previous Quartile]]="SecondQuartile", 2,
 IF(Table13[[#This Row],[Previous Quartile]]="ThirdQuartile", 3,
 IF(Table13[[#This Row],[Previous Quartile]]="FourthQuartile", 4, ""))))</f>
        <v>4</v>
      </c>
      <c r="I286" s="5" t="str">
        <f>IF(Table13[[#This Row],[Previous Quartile Value]]="", "",
   IF(Table13[[#This Row],[Quartile Value]] &lt; Table13[[#This Row],[Previous Quartile Value]], "Improved",
   IF(Table13[[#This Row],[Quartile Value]] &gt; Table13[[#This Row],[Previous Quartile Value]], "Dropped", "Same")))</f>
        <v>Same</v>
      </c>
      <c r="J286" s="7" t="s">
        <v>10</v>
      </c>
      <c r="K286" s="7" t="str">
        <f>VLOOKUP(J286,Introduction!$B$6:$C$14,2)</f>
        <v>Special Health Authorities and other statutory bodies</v>
      </c>
      <c r="L286" s="7">
        <v>441</v>
      </c>
      <c r="M286" s="8" t="s">
        <v>33</v>
      </c>
    </row>
    <row r="287" spans="1:13" ht="19.95" customHeight="1" x14ac:dyDescent="0.25">
      <c r="A287" s="40">
        <v>45474</v>
      </c>
      <c r="B287" s="46">
        <f>MONTH(Table13[[#This Row],[YearMonth]])</f>
        <v>7</v>
      </c>
      <c r="C287" s="5" t="s">
        <v>313</v>
      </c>
      <c r="D287" s="6" t="s">
        <v>350</v>
      </c>
      <c r="E287" s="6">
        <f>IF(Table13[[#This Row],[Quartile]]="TopQuartile", 1,
 IF(Table13[[#This Row],[Quartile]]="SecondQuartile", 2,
 IF(Table13[[#This Row],[Quartile]]="ThirdQuartile", 3,
 IF(Table13[[#This Row],[Quartile]]="FourthQuartile", 4, ""))))</f>
        <v>4</v>
      </c>
      <c r="F287" s="5" t="s">
        <v>628</v>
      </c>
      <c r="G287" s="5" t="str" cm="1">
        <f t="array" ref="G287">IFERROR(
  INDEX(Table13[Quartile],
    MATCH(1,
      (Table13[[#This Row],[OrgName]]=Table13[OrgName]) *
      (Table13[[#This Row],[Month Number]]-1=Table13[Month Number]),
    0)
  ),
"")</f>
        <v>FourthQuartile</v>
      </c>
      <c r="H287" s="5">
        <f>IF(Table13[[#This Row],[Previous Quartile]]="TopQuartile", 1,
 IF(Table13[[#This Row],[Previous Quartile]]="SecondQuartile", 2,
 IF(Table13[[#This Row],[Previous Quartile]]="ThirdQuartile", 3,
 IF(Table13[[#This Row],[Previous Quartile]]="FourthQuartile", 4, ""))))</f>
        <v>4</v>
      </c>
      <c r="I287" s="5" t="str">
        <f>IF(Table13[[#This Row],[Previous Quartile Value]]="", "",
   IF(Table13[[#This Row],[Quartile Value]] &lt; Table13[[#This Row],[Previous Quartile Value]], "Improved",
   IF(Table13[[#This Row],[Quartile Value]] &gt; Table13[[#This Row],[Previous Quartile Value]], "Dropped", "Same")))</f>
        <v>Same</v>
      </c>
      <c r="J287" s="7" t="s">
        <v>10</v>
      </c>
      <c r="K287" s="7" t="str">
        <f>VLOOKUP(J287,Introduction!$B$6:$C$14,2)</f>
        <v>Special Health Authorities and other statutory bodies</v>
      </c>
      <c r="L287" s="7">
        <v>71</v>
      </c>
      <c r="M287" s="8" t="s">
        <v>33</v>
      </c>
    </row>
    <row r="288" spans="1:13" ht="19.95" customHeight="1" x14ac:dyDescent="0.25">
      <c r="A288" s="41">
        <v>45444</v>
      </c>
      <c r="B288" s="47">
        <f>MONTH(Table13[[#This Row],[YearMonth]])</f>
        <v>6</v>
      </c>
      <c r="C288" s="9" t="s">
        <v>40</v>
      </c>
      <c r="D288" s="6" t="s">
        <v>330</v>
      </c>
      <c r="E288" s="6">
        <f>IF(Table13[[#This Row],[Quartile]]="TopQuartile", 1,
 IF(Table13[[#This Row],[Quartile]]="SecondQuartile", 2,
 IF(Table13[[#This Row],[Quartile]]="ThirdQuartile", 3,
 IF(Table13[[#This Row],[Quartile]]="FourthQuartile", 4, ""))))</f>
        <v>1</v>
      </c>
      <c r="F288" s="9" t="s">
        <v>331</v>
      </c>
      <c r="G288" s="9" t="str" cm="1">
        <f t="array" ref="G288">IFERROR(
  INDEX(Table13[Quartile],
    MATCH(1,
      (Table13[[#This Row],[OrgName]]=Table13[OrgName]) *
      (Table13[[#This Row],[Month Number]]-1=Table13[Month Number]),
    0)
  ),
"")</f>
        <v>TopQuartile</v>
      </c>
      <c r="H288" s="9">
        <f>IF(Table13[[#This Row],[Previous Quartile]]="TopQuartile", 1,
 IF(Table13[[#This Row],[Previous Quartile]]="SecondQuartile", 2,
 IF(Table13[[#This Row],[Previous Quartile]]="ThirdQuartile", 3,
 IF(Table13[[#This Row],[Previous Quartile]]="FourthQuartile", 4, ""))))</f>
        <v>1</v>
      </c>
      <c r="I288" s="9" t="str">
        <f>IF(Table13[[#This Row],[Previous Quartile Value]]="", "",
   IF(Table13[[#This Row],[Quartile Value]] &lt; Table13[[#This Row],[Previous Quartile Value]], "Improved",
   IF(Table13[[#This Row],[Quartile Value]] &gt; Table13[[#This Row],[Previous Quartile Value]], "Dropped", "Same")))</f>
        <v>Same</v>
      </c>
      <c r="J288" s="10" t="s">
        <v>16</v>
      </c>
      <c r="K288" s="7" t="str">
        <f>VLOOKUP(J288,Introduction!$B$6:$C$14,2)</f>
        <v>South East</v>
      </c>
      <c r="L288" s="10">
        <v>374</v>
      </c>
      <c r="M288" s="8" t="s">
        <v>332</v>
      </c>
    </row>
    <row r="289" spans="1:13" ht="19.95" customHeight="1" x14ac:dyDescent="0.25">
      <c r="A289" s="41">
        <v>45444</v>
      </c>
      <c r="B289" s="47">
        <f>MONTH(Table13[[#This Row],[YearMonth]])</f>
        <v>6</v>
      </c>
      <c r="C289" s="9" t="s">
        <v>52</v>
      </c>
      <c r="D289" s="6" t="s">
        <v>330</v>
      </c>
      <c r="E289" s="6">
        <f>IF(Table13[[#This Row],[Quartile]]="TopQuartile", 1,
 IF(Table13[[#This Row],[Quartile]]="SecondQuartile", 2,
 IF(Table13[[#This Row],[Quartile]]="ThirdQuartile", 3,
 IF(Table13[[#This Row],[Quartile]]="FourthQuartile", 4, ""))))</f>
        <v>1</v>
      </c>
      <c r="F289" s="9" t="s">
        <v>333</v>
      </c>
      <c r="G289" s="9" t="str" cm="1">
        <f t="array" ref="G289">IFERROR(
  INDEX(Table13[Quartile],
    MATCH(1,
      (Table13[[#This Row],[OrgName]]=Table13[OrgName]) *
      (Table13[[#This Row],[Month Number]]-1=Table13[Month Number]),
    0)
  ),
"")</f>
        <v>TopQuartile</v>
      </c>
      <c r="H289" s="9">
        <f>IF(Table13[[#This Row],[Previous Quartile]]="TopQuartile", 1,
 IF(Table13[[#This Row],[Previous Quartile]]="SecondQuartile", 2,
 IF(Table13[[#This Row],[Previous Quartile]]="ThirdQuartile", 3,
 IF(Table13[[#This Row],[Previous Quartile]]="FourthQuartile", 4, ""))))</f>
        <v>1</v>
      </c>
      <c r="I289" s="9" t="str">
        <f>IF(Table13[[#This Row],[Previous Quartile Value]]="", "",
   IF(Table13[[#This Row],[Quartile Value]] &lt; Table13[[#This Row],[Previous Quartile Value]], "Improved",
   IF(Table13[[#This Row],[Quartile Value]] &gt; Table13[[#This Row],[Previous Quartile Value]], "Dropped", "Same")))</f>
        <v>Same</v>
      </c>
      <c r="J289" s="10" t="s">
        <v>12</v>
      </c>
      <c r="K289" s="7" t="str">
        <f>VLOOKUP(J289,Introduction!$B$6:$C$14,2)</f>
        <v>London</v>
      </c>
      <c r="L289" s="10">
        <v>197</v>
      </c>
      <c r="M289" s="8" t="s">
        <v>332</v>
      </c>
    </row>
    <row r="290" spans="1:13" ht="19.95" customHeight="1" x14ac:dyDescent="0.25">
      <c r="A290" s="41">
        <v>45444</v>
      </c>
      <c r="B290" s="47">
        <f>MONTH(Table13[[#This Row],[YearMonth]])</f>
        <v>6</v>
      </c>
      <c r="C290" s="9" t="s">
        <v>91</v>
      </c>
      <c r="D290" s="6" t="s">
        <v>330</v>
      </c>
      <c r="E290" s="6">
        <f>IF(Table13[[#This Row],[Quartile]]="TopQuartile", 1,
 IF(Table13[[#This Row],[Quartile]]="SecondQuartile", 2,
 IF(Table13[[#This Row],[Quartile]]="ThirdQuartile", 3,
 IF(Table13[[#This Row],[Quartile]]="FourthQuartile", 4, ""))))</f>
        <v>1</v>
      </c>
      <c r="F290" s="9" t="s">
        <v>337</v>
      </c>
      <c r="G290" s="9" t="str" cm="1">
        <f t="array" ref="G290">IFERROR(
  INDEX(Table13[Quartile],
    MATCH(1,
      (Table13[[#This Row],[OrgName]]=Table13[OrgName]) *
      (Table13[[#This Row],[Month Number]]-1=Table13[Month Number]),
    0)
  ),
"")</f>
        <v>SecondQuartile</v>
      </c>
      <c r="H290" s="9">
        <f>IF(Table13[[#This Row],[Previous Quartile]]="TopQuartile", 1,
 IF(Table13[[#This Row],[Previous Quartile]]="SecondQuartile", 2,
 IF(Table13[[#This Row],[Previous Quartile]]="ThirdQuartile", 3,
 IF(Table13[[#This Row],[Previous Quartile]]="FourthQuartile", 4, ""))))</f>
        <v>2</v>
      </c>
      <c r="I290" s="9" t="str">
        <f>IF(Table13[[#This Row],[Previous Quartile Value]]="", "",
   IF(Table13[[#This Row],[Quartile Value]] &lt; Table13[[#This Row],[Previous Quartile Value]], "Improved",
   IF(Table13[[#This Row],[Quartile Value]] &gt; Table13[[#This Row],[Previous Quartile Value]], "Dropped", "Same")))</f>
        <v>Improved</v>
      </c>
      <c r="J290" s="10" t="s">
        <v>18</v>
      </c>
      <c r="K290" s="7" t="str">
        <f>VLOOKUP(J290,Introduction!$B$6:$C$14,2)</f>
        <v>Midlands</v>
      </c>
      <c r="L290" s="10">
        <v>357</v>
      </c>
      <c r="M290" s="8" t="s">
        <v>332</v>
      </c>
    </row>
    <row r="291" spans="1:13" ht="19.95" customHeight="1" x14ac:dyDescent="0.25">
      <c r="A291" s="41">
        <v>45444</v>
      </c>
      <c r="B291" s="47">
        <f>MONTH(Table13[[#This Row],[YearMonth]])</f>
        <v>6</v>
      </c>
      <c r="C291" s="9" t="s">
        <v>81</v>
      </c>
      <c r="D291" s="6" t="s">
        <v>330</v>
      </c>
      <c r="E291" s="6">
        <f>IF(Table13[[#This Row],[Quartile]]="TopQuartile", 1,
 IF(Table13[[#This Row],[Quartile]]="SecondQuartile", 2,
 IF(Table13[[#This Row],[Quartile]]="ThirdQuartile", 3,
 IF(Table13[[#This Row],[Quartile]]="FourthQuartile", 4, ""))))</f>
        <v>1</v>
      </c>
      <c r="F291" s="9" t="s">
        <v>334</v>
      </c>
      <c r="G291" s="9" t="str" cm="1">
        <f t="array" ref="G291">IFERROR(
  INDEX(Table13[Quartile],
    MATCH(1,
      (Table13[[#This Row],[OrgName]]=Table13[OrgName]) *
      (Table13[[#This Row],[Month Number]]-1=Table13[Month Number]),
    0)
  ),
"")</f>
        <v>TopQuartile</v>
      </c>
      <c r="H291" s="9">
        <f>IF(Table13[[#This Row],[Previous Quartile]]="TopQuartile", 1,
 IF(Table13[[#This Row],[Previous Quartile]]="SecondQuartile", 2,
 IF(Table13[[#This Row],[Previous Quartile]]="ThirdQuartile", 3,
 IF(Table13[[#This Row],[Previous Quartile]]="FourthQuartile", 4, ""))))</f>
        <v>1</v>
      </c>
      <c r="I291" s="9" t="str">
        <f>IF(Table13[[#This Row],[Previous Quartile Value]]="", "",
   IF(Table13[[#This Row],[Quartile Value]] &lt; Table13[[#This Row],[Previous Quartile Value]], "Improved",
   IF(Table13[[#This Row],[Quartile Value]] &gt; Table13[[#This Row],[Previous Quartile Value]], "Dropped", "Same")))</f>
        <v>Same</v>
      </c>
      <c r="J291" s="10" t="s">
        <v>16</v>
      </c>
      <c r="K291" s="7" t="str">
        <f>VLOOKUP(J291,Introduction!$B$6:$C$14,2)</f>
        <v>South East</v>
      </c>
      <c r="L291" s="10">
        <v>359</v>
      </c>
      <c r="M291" s="8" t="s">
        <v>332</v>
      </c>
    </row>
    <row r="292" spans="1:13" ht="19.95" customHeight="1" x14ac:dyDescent="0.25">
      <c r="A292" s="41">
        <v>45444</v>
      </c>
      <c r="B292" s="47">
        <f>MONTH(Table13[[#This Row],[YearMonth]])</f>
        <v>6</v>
      </c>
      <c r="C292" s="9" t="s">
        <v>85</v>
      </c>
      <c r="D292" s="6" t="s">
        <v>330</v>
      </c>
      <c r="E292" s="6">
        <f>IF(Table13[[#This Row],[Quartile]]="TopQuartile", 1,
 IF(Table13[[#This Row],[Quartile]]="SecondQuartile", 2,
 IF(Table13[[#This Row],[Quartile]]="ThirdQuartile", 3,
 IF(Table13[[#This Row],[Quartile]]="FourthQuartile", 4, ""))))</f>
        <v>1</v>
      </c>
      <c r="F292" s="9" t="s">
        <v>335</v>
      </c>
      <c r="G292" s="9" t="str" cm="1">
        <f t="array" ref="G292">IFERROR(
  INDEX(Table13[Quartile],
    MATCH(1,
      (Table13[[#This Row],[OrgName]]=Table13[OrgName]) *
      (Table13[[#This Row],[Month Number]]-1=Table13[Month Number]),
    0)
  ),
"")</f>
        <v>TopQuartile</v>
      </c>
      <c r="H292" s="9">
        <f>IF(Table13[[#This Row],[Previous Quartile]]="TopQuartile", 1,
 IF(Table13[[#This Row],[Previous Quartile]]="SecondQuartile", 2,
 IF(Table13[[#This Row],[Previous Quartile]]="ThirdQuartile", 3,
 IF(Table13[[#This Row],[Previous Quartile]]="FourthQuartile", 4, ""))))</f>
        <v>1</v>
      </c>
      <c r="I292" s="9" t="str">
        <f>IF(Table13[[#This Row],[Previous Quartile Value]]="", "",
   IF(Table13[[#This Row],[Quartile Value]] &lt; Table13[[#This Row],[Previous Quartile Value]], "Improved",
   IF(Table13[[#This Row],[Quartile Value]] &gt; Table13[[#This Row],[Previous Quartile Value]], "Dropped", "Same")))</f>
        <v>Same</v>
      </c>
      <c r="J292" s="10" t="s">
        <v>24</v>
      </c>
      <c r="K292" s="7" t="str">
        <f>VLOOKUP(J292,Introduction!$B$6:$C$14,2)</f>
        <v>North East and Yorkshire</v>
      </c>
      <c r="L292" s="10">
        <v>319</v>
      </c>
      <c r="M292" s="8" t="s">
        <v>332</v>
      </c>
    </row>
    <row r="293" spans="1:13" ht="19.95" customHeight="1" x14ac:dyDescent="0.25">
      <c r="A293" s="41">
        <v>45444</v>
      </c>
      <c r="B293" s="47">
        <f>MONTH(Table13[[#This Row],[YearMonth]])</f>
        <v>6</v>
      </c>
      <c r="C293" s="9" t="s">
        <v>89</v>
      </c>
      <c r="D293" s="6" t="s">
        <v>330</v>
      </c>
      <c r="E293" s="6">
        <f>IF(Table13[[#This Row],[Quartile]]="TopQuartile", 1,
 IF(Table13[[#This Row],[Quartile]]="SecondQuartile", 2,
 IF(Table13[[#This Row],[Quartile]]="ThirdQuartile", 3,
 IF(Table13[[#This Row],[Quartile]]="FourthQuartile", 4, ""))))</f>
        <v>1</v>
      </c>
      <c r="F293" s="9" t="s">
        <v>336</v>
      </c>
      <c r="G293" s="9" t="str" cm="1">
        <f t="array" ref="G293">IFERROR(
  INDEX(Table13[Quartile],
    MATCH(1,
      (Table13[[#This Row],[OrgName]]=Table13[OrgName]) *
      (Table13[[#This Row],[Month Number]]-1=Table13[Month Number]),
    0)
  ),
"")</f>
        <v>SecondQuartile</v>
      </c>
      <c r="H293" s="9">
        <f>IF(Table13[[#This Row],[Previous Quartile]]="TopQuartile", 1,
 IF(Table13[[#This Row],[Previous Quartile]]="SecondQuartile", 2,
 IF(Table13[[#This Row],[Previous Quartile]]="ThirdQuartile", 3,
 IF(Table13[[#This Row],[Previous Quartile]]="FourthQuartile", 4, ""))))</f>
        <v>2</v>
      </c>
      <c r="I293" s="9" t="str">
        <f>IF(Table13[[#This Row],[Previous Quartile Value]]="", "",
   IF(Table13[[#This Row],[Quartile Value]] &lt; Table13[[#This Row],[Previous Quartile Value]], "Improved",
   IF(Table13[[#This Row],[Quartile Value]] &gt; Table13[[#This Row],[Previous Quartile Value]], "Dropped", "Same")))</f>
        <v>Improved</v>
      </c>
      <c r="J293" s="10" t="s">
        <v>16</v>
      </c>
      <c r="K293" s="7" t="str">
        <f>VLOOKUP(J293,Introduction!$B$6:$C$14,2)</f>
        <v>South East</v>
      </c>
      <c r="L293" s="10">
        <v>192</v>
      </c>
      <c r="M293" s="8" t="s">
        <v>332</v>
      </c>
    </row>
    <row r="294" spans="1:13" ht="19.95" customHeight="1" x14ac:dyDescent="0.25">
      <c r="A294" s="41">
        <v>45444</v>
      </c>
      <c r="B294" s="47">
        <f>MONTH(Table13[[#This Row],[YearMonth]])</f>
        <v>6</v>
      </c>
      <c r="C294" s="9" t="s">
        <v>111</v>
      </c>
      <c r="D294" s="6" t="s">
        <v>338</v>
      </c>
      <c r="E294" s="6">
        <f>IF(Table13[[#This Row],[Quartile]]="TopQuartile", 1,
 IF(Table13[[#This Row],[Quartile]]="SecondQuartile", 2,
 IF(Table13[[#This Row],[Quartile]]="ThirdQuartile", 3,
 IF(Table13[[#This Row],[Quartile]]="FourthQuartile", 4, ""))))</f>
        <v>2</v>
      </c>
      <c r="F294" s="9" t="s">
        <v>339</v>
      </c>
      <c r="G294" s="9" t="str" cm="1">
        <f t="array" ref="G294">IFERROR(
  INDEX(Table13[Quartile],
    MATCH(1,
      (Table13[[#This Row],[OrgName]]=Table13[OrgName]) *
      (Table13[[#This Row],[Month Number]]-1=Table13[Month Number]),
    0)
  ),
"")</f>
        <v>SecondQuartile</v>
      </c>
      <c r="H294" s="9">
        <f>IF(Table13[[#This Row],[Previous Quartile]]="TopQuartile", 1,
 IF(Table13[[#This Row],[Previous Quartile]]="SecondQuartile", 2,
 IF(Table13[[#This Row],[Previous Quartile]]="ThirdQuartile", 3,
 IF(Table13[[#This Row],[Previous Quartile]]="FourthQuartile", 4, ""))))</f>
        <v>2</v>
      </c>
      <c r="I294" s="9" t="str">
        <f>IF(Table13[[#This Row],[Previous Quartile Value]]="", "",
   IF(Table13[[#This Row],[Quartile Value]] &lt; Table13[[#This Row],[Previous Quartile Value]], "Improved",
   IF(Table13[[#This Row],[Quartile Value]] &gt; Table13[[#This Row],[Previous Quartile Value]], "Dropped", "Same")))</f>
        <v>Same</v>
      </c>
      <c r="J294" s="10" t="s">
        <v>20</v>
      </c>
      <c r="K294" s="7" t="str">
        <f>VLOOKUP(J294,Introduction!$B$6:$C$14,2)</f>
        <v>East of England</v>
      </c>
      <c r="L294" s="10">
        <v>432</v>
      </c>
      <c r="M294" s="8" t="s">
        <v>332</v>
      </c>
    </row>
    <row r="295" spans="1:13" ht="19.95" customHeight="1" x14ac:dyDescent="0.25">
      <c r="A295" s="41">
        <v>45444</v>
      </c>
      <c r="B295" s="47">
        <f>MONTH(Table13[[#This Row],[YearMonth]])</f>
        <v>6</v>
      </c>
      <c r="C295" s="9" t="s">
        <v>137</v>
      </c>
      <c r="D295" s="6" t="s">
        <v>338</v>
      </c>
      <c r="E295" s="6">
        <f>IF(Table13[[#This Row],[Quartile]]="TopQuartile", 1,
 IF(Table13[[#This Row],[Quartile]]="SecondQuartile", 2,
 IF(Table13[[#This Row],[Quartile]]="ThirdQuartile", 3,
 IF(Table13[[#This Row],[Quartile]]="FourthQuartile", 4, ""))))</f>
        <v>2</v>
      </c>
      <c r="F295" s="9" t="s">
        <v>340</v>
      </c>
      <c r="G295" s="9" t="str" cm="1">
        <f t="array" ref="G295">IFERROR(
  INDEX(Table13[Quartile],
    MATCH(1,
      (Table13[[#This Row],[OrgName]]=Table13[OrgName]) *
      (Table13[[#This Row],[Month Number]]-1=Table13[Month Number]),
    0)
  ),
"")</f>
        <v>SecondQuartile</v>
      </c>
      <c r="H295" s="9">
        <f>IF(Table13[[#This Row],[Previous Quartile]]="TopQuartile", 1,
 IF(Table13[[#This Row],[Previous Quartile]]="SecondQuartile", 2,
 IF(Table13[[#This Row],[Previous Quartile]]="ThirdQuartile", 3,
 IF(Table13[[#This Row],[Previous Quartile]]="FourthQuartile", 4, ""))))</f>
        <v>2</v>
      </c>
      <c r="I295" s="9" t="str">
        <f>IF(Table13[[#This Row],[Previous Quartile Value]]="", "",
   IF(Table13[[#This Row],[Quartile Value]] &lt; Table13[[#This Row],[Previous Quartile Value]], "Improved",
   IF(Table13[[#This Row],[Quartile Value]] &gt; Table13[[#This Row],[Previous Quartile Value]], "Dropped", "Same")))</f>
        <v>Same</v>
      </c>
      <c r="J295" s="10" t="s">
        <v>18</v>
      </c>
      <c r="K295" s="7" t="str">
        <f>VLOOKUP(J295,Introduction!$B$6:$C$14,2)</f>
        <v>Midlands</v>
      </c>
      <c r="L295" s="10">
        <v>225</v>
      </c>
      <c r="M295" s="8" t="s">
        <v>332</v>
      </c>
    </row>
    <row r="296" spans="1:13" ht="19.95" customHeight="1" x14ac:dyDescent="0.25">
      <c r="A296" s="41">
        <v>45444</v>
      </c>
      <c r="B296" s="47">
        <f>MONTH(Table13[[#This Row],[YearMonth]])</f>
        <v>6</v>
      </c>
      <c r="C296" s="9" t="s">
        <v>220</v>
      </c>
      <c r="D296" s="6" t="s">
        <v>338</v>
      </c>
      <c r="E296" s="6">
        <f>IF(Table13[[#This Row],[Quartile]]="TopQuartile", 1,
 IF(Table13[[#This Row],[Quartile]]="SecondQuartile", 2,
 IF(Table13[[#This Row],[Quartile]]="ThirdQuartile", 3,
 IF(Table13[[#This Row],[Quartile]]="FourthQuartile", 4, ""))))</f>
        <v>2</v>
      </c>
      <c r="F296" s="9" t="s">
        <v>346</v>
      </c>
      <c r="G296" s="9" t="str" cm="1">
        <f t="array" ref="G296">IFERROR(
  INDEX(Table13[Quartile],
    MATCH(1,
      (Table13[[#This Row],[OrgName]]=Table13[OrgName]) *
      (Table13[[#This Row],[Month Number]]-1=Table13[Month Number]),
    0)
  ),
"")</f>
        <v>SecondQuartile</v>
      </c>
      <c r="H296" s="9">
        <f>IF(Table13[[#This Row],[Previous Quartile]]="TopQuartile", 1,
 IF(Table13[[#This Row],[Previous Quartile]]="SecondQuartile", 2,
 IF(Table13[[#This Row],[Previous Quartile]]="ThirdQuartile", 3,
 IF(Table13[[#This Row],[Previous Quartile]]="FourthQuartile", 4, ""))))</f>
        <v>2</v>
      </c>
      <c r="I296" s="9" t="str">
        <f>IF(Table13[[#This Row],[Previous Quartile Value]]="", "",
   IF(Table13[[#This Row],[Quartile Value]] &lt; Table13[[#This Row],[Previous Quartile Value]], "Improved",
   IF(Table13[[#This Row],[Quartile Value]] &gt; Table13[[#This Row],[Previous Quartile Value]], "Dropped", "Same")))</f>
        <v>Same</v>
      </c>
      <c r="J296" s="10" t="s">
        <v>16</v>
      </c>
      <c r="K296" s="7" t="str">
        <f>VLOOKUP(J296,Introduction!$B$6:$C$14,2)</f>
        <v>South East</v>
      </c>
      <c r="L296" s="10">
        <v>151</v>
      </c>
      <c r="M296" s="8" t="s">
        <v>332</v>
      </c>
    </row>
    <row r="297" spans="1:13" ht="19.95" customHeight="1" x14ac:dyDescent="0.25">
      <c r="A297" s="41">
        <v>45444</v>
      </c>
      <c r="B297" s="47">
        <f>MONTH(Table13[[#This Row],[YearMonth]])</f>
        <v>6</v>
      </c>
      <c r="C297" s="9" t="s">
        <v>174</v>
      </c>
      <c r="D297" s="6" t="s">
        <v>341</v>
      </c>
      <c r="E297" s="6">
        <f>IF(Table13[[#This Row],[Quartile]]="TopQuartile", 1,
 IF(Table13[[#This Row],[Quartile]]="SecondQuartile", 2,
 IF(Table13[[#This Row],[Quartile]]="ThirdQuartile", 3,
 IF(Table13[[#This Row],[Quartile]]="FourthQuartile", 4, ""))))</f>
        <v>3</v>
      </c>
      <c r="F297" s="9" t="s">
        <v>342</v>
      </c>
      <c r="G297" s="9" t="str" cm="1">
        <f t="array" ref="G297">IFERROR(
  INDEX(Table13[Quartile],
    MATCH(1,
      (Table13[[#This Row],[OrgName]]=Table13[OrgName]) *
      (Table13[[#This Row],[Month Number]]-1=Table13[Month Number]),
    0)
  ),
"")</f>
        <v>ThirdQuartile</v>
      </c>
      <c r="H297" s="9">
        <f>IF(Table13[[#This Row],[Previous Quartile]]="TopQuartile", 1,
 IF(Table13[[#This Row],[Previous Quartile]]="SecondQuartile", 2,
 IF(Table13[[#This Row],[Previous Quartile]]="ThirdQuartile", 3,
 IF(Table13[[#This Row],[Previous Quartile]]="FourthQuartile", 4, ""))))</f>
        <v>3</v>
      </c>
      <c r="I297" s="9" t="str">
        <f>IF(Table13[[#This Row],[Previous Quartile Value]]="", "",
   IF(Table13[[#This Row],[Quartile Value]] &lt; Table13[[#This Row],[Previous Quartile Value]], "Improved",
   IF(Table13[[#This Row],[Quartile Value]] &gt; Table13[[#This Row],[Previous Quartile Value]], "Dropped", "Same")))</f>
        <v>Same</v>
      </c>
      <c r="J297" s="10" t="s">
        <v>20</v>
      </c>
      <c r="K297" s="7" t="str">
        <f>VLOOKUP(J297,Introduction!$B$6:$C$14,2)</f>
        <v>East of England</v>
      </c>
      <c r="L297" s="10">
        <v>390</v>
      </c>
      <c r="M297" s="8" t="s">
        <v>332</v>
      </c>
    </row>
    <row r="298" spans="1:13" ht="19.95" customHeight="1" x14ac:dyDescent="0.25">
      <c r="A298" s="41">
        <v>45444</v>
      </c>
      <c r="B298" s="47">
        <f>MONTH(Table13[[#This Row],[YearMonth]])</f>
        <v>6</v>
      </c>
      <c r="C298" s="9" t="s">
        <v>228</v>
      </c>
      <c r="D298" s="6" t="s">
        <v>341</v>
      </c>
      <c r="E298" s="6">
        <f>IF(Table13[[#This Row],[Quartile]]="TopQuartile", 1,
 IF(Table13[[#This Row],[Quartile]]="SecondQuartile", 2,
 IF(Table13[[#This Row],[Quartile]]="ThirdQuartile", 3,
 IF(Table13[[#This Row],[Quartile]]="FourthQuartile", 4, ""))))</f>
        <v>3</v>
      </c>
      <c r="F298" s="9" t="s">
        <v>347</v>
      </c>
      <c r="G298" s="9" t="str" cm="1">
        <f t="array" ref="G298">IFERROR(
  INDEX(Table13[Quartile],
    MATCH(1,
      (Table13[[#This Row],[OrgName]]=Table13[OrgName]) *
      (Table13[[#This Row],[Month Number]]-1=Table13[Month Number]),
    0)
  ),
"")</f>
        <v>ThirdQuartile</v>
      </c>
      <c r="H298" s="9">
        <f>IF(Table13[[#This Row],[Previous Quartile]]="TopQuartile", 1,
 IF(Table13[[#This Row],[Previous Quartile]]="SecondQuartile", 2,
 IF(Table13[[#This Row],[Previous Quartile]]="ThirdQuartile", 3,
 IF(Table13[[#This Row],[Previous Quartile]]="FourthQuartile", 4, ""))))</f>
        <v>3</v>
      </c>
      <c r="I298" s="9" t="str">
        <f>IF(Table13[[#This Row],[Previous Quartile Value]]="", "",
   IF(Table13[[#This Row],[Quartile Value]] &lt; Table13[[#This Row],[Previous Quartile Value]], "Improved",
   IF(Table13[[#This Row],[Quartile Value]] &gt; Table13[[#This Row],[Previous Quartile Value]], "Dropped", "Same")))</f>
        <v>Same</v>
      </c>
      <c r="J298" s="10" t="s">
        <v>14</v>
      </c>
      <c r="K298" s="7" t="str">
        <f>VLOOKUP(J298,Introduction!$B$6:$C$14,2)</f>
        <v>South West</v>
      </c>
      <c r="L298" s="10">
        <v>339</v>
      </c>
      <c r="M298" s="8" t="s">
        <v>332</v>
      </c>
    </row>
    <row r="299" spans="1:13" ht="19.95" customHeight="1" x14ac:dyDescent="0.25">
      <c r="A299" s="41">
        <v>45444</v>
      </c>
      <c r="B299" s="47">
        <f>MONTH(Table13[[#This Row],[YearMonth]])</f>
        <v>6</v>
      </c>
      <c r="C299" s="9" t="s">
        <v>200</v>
      </c>
      <c r="D299" s="6" t="s">
        <v>341</v>
      </c>
      <c r="E299" s="6">
        <f>IF(Table13[[#This Row],[Quartile]]="TopQuartile", 1,
 IF(Table13[[#This Row],[Quartile]]="SecondQuartile", 2,
 IF(Table13[[#This Row],[Quartile]]="ThirdQuartile", 3,
 IF(Table13[[#This Row],[Quartile]]="FourthQuartile", 4, ""))))</f>
        <v>3</v>
      </c>
      <c r="F299" s="9" t="s">
        <v>343</v>
      </c>
      <c r="G299" s="9" t="str" cm="1">
        <f t="array" ref="G299">IFERROR(
  INDEX(Table13[Quartile],
    MATCH(1,
      (Table13[[#This Row],[OrgName]]=Table13[OrgName]) *
      (Table13[[#This Row],[Month Number]]-1=Table13[Month Number]),
    0)
  ),
"")</f>
        <v>ThirdQuartile</v>
      </c>
      <c r="H299" s="9">
        <f>IF(Table13[[#This Row],[Previous Quartile]]="TopQuartile", 1,
 IF(Table13[[#This Row],[Previous Quartile]]="SecondQuartile", 2,
 IF(Table13[[#This Row],[Previous Quartile]]="ThirdQuartile", 3,
 IF(Table13[[#This Row],[Previous Quartile]]="FourthQuartile", 4, ""))))</f>
        <v>3</v>
      </c>
      <c r="I299" s="9" t="str">
        <f>IF(Table13[[#This Row],[Previous Quartile Value]]="", "",
   IF(Table13[[#This Row],[Quartile Value]] &lt; Table13[[#This Row],[Previous Quartile Value]], "Improved",
   IF(Table13[[#This Row],[Quartile Value]] &gt; Table13[[#This Row],[Previous Quartile Value]], "Dropped", "Same")))</f>
        <v>Same</v>
      </c>
      <c r="J299" s="10" t="s">
        <v>20</v>
      </c>
      <c r="K299" s="7" t="str">
        <f>VLOOKUP(J299,Introduction!$B$6:$C$14,2)</f>
        <v>East of England</v>
      </c>
      <c r="L299" s="10">
        <v>361</v>
      </c>
      <c r="M299" s="8" t="s">
        <v>332</v>
      </c>
    </row>
    <row r="300" spans="1:13" ht="19.95" customHeight="1" x14ac:dyDescent="0.25">
      <c r="A300" s="41">
        <v>45444</v>
      </c>
      <c r="B300" s="47">
        <f>MONTH(Table13[[#This Row],[YearMonth]])</f>
        <v>6</v>
      </c>
      <c r="C300" s="9" t="s">
        <v>205</v>
      </c>
      <c r="D300" s="6" t="s">
        <v>341</v>
      </c>
      <c r="E300" s="6">
        <f>IF(Table13[[#This Row],[Quartile]]="TopQuartile", 1,
 IF(Table13[[#This Row],[Quartile]]="SecondQuartile", 2,
 IF(Table13[[#This Row],[Quartile]]="ThirdQuartile", 3,
 IF(Table13[[#This Row],[Quartile]]="FourthQuartile", 4, ""))))</f>
        <v>3</v>
      </c>
      <c r="F300" s="9" t="s">
        <v>344</v>
      </c>
      <c r="G300" s="9" t="str" cm="1">
        <f t="array" ref="G300">IFERROR(
  INDEX(Table13[Quartile],
    MATCH(1,
      (Table13[[#This Row],[OrgName]]=Table13[OrgName]) *
      (Table13[[#This Row],[Month Number]]-1=Table13[Month Number]),
    0)
  ),
"")</f>
        <v>ThirdQuartile</v>
      </c>
      <c r="H300" s="9">
        <f>IF(Table13[[#This Row],[Previous Quartile]]="TopQuartile", 1,
 IF(Table13[[#This Row],[Previous Quartile]]="SecondQuartile", 2,
 IF(Table13[[#This Row],[Previous Quartile]]="ThirdQuartile", 3,
 IF(Table13[[#This Row],[Previous Quartile]]="FourthQuartile", 4, ""))))</f>
        <v>3</v>
      </c>
      <c r="I300" s="9" t="str">
        <f>IF(Table13[[#This Row],[Previous Quartile Value]]="", "",
   IF(Table13[[#This Row],[Quartile Value]] &lt; Table13[[#This Row],[Previous Quartile Value]], "Improved",
   IF(Table13[[#This Row],[Quartile Value]] &gt; Table13[[#This Row],[Previous Quartile Value]], "Dropped", "Same")))</f>
        <v>Same</v>
      </c>
      <c r="J300" s="10" t="s">
        <v>24</v>
      </c>
      <c r="K300" s="7" t="str">
        <f>VLOOKUP(J300,Introduction!$B$6:$C$14,2)</f>
        <v>North East and Yorkshire</v>
      </c>
      <c r="L300" s="10">
        <v>372</v>
      </c>
      <c r="M300" s="8" t="s">
        <v>332</v>
      </c>
    </row>
    <row r="301" spans="1:13" ht="19.95" customHeight="1" x14ac:dyDescent="0.25">
      <c r="A301" s="41">
        <v>45444</v>
      </c>
      <c r="B301" s="47">
        <f>MONTH(Table13[[#This Row],[YearMonth]])</f>
        <v>6</v>
      </c>
      <c r="C301" s="9" t="s">
        <v>214</v>
      </c>
      <c r="D301" s="6" t="s">
        <v>341</v>
      </c>
      <c r="E301" s="6">
        <f>IF(Table13[[#This Row],[Quartile]]="TopQuartile", 1,
 IF(Table13[[#This Row],[Quartile]]="SecondQuartile", 2,
 IF(Table13[[#This Row],[Quartile]]="ThirdQuartile", 3,
 IF(Table13[[#This Row],[Quartile]]="FourthQuartile", 4, ""))))</f>
        <v>3</v>
      </c>
      <c r="F301" s="9" t="s">
        <v>345</v>
      </c>
      <c r="G301" s="9" t="str" cm="1">
        <f t="array" ref="G301">IFERROR(
  INDEX(Table13[Quartile],
    MATCH(1,
      (Table13[[#This Row],[OrgName]]=Table13[OrgName]) *
      (Table13[[#This Row],[Month Number]]-1=Table13[Month Number]),
    0)
  ),
"")</f>
        <v>FourthQuartile</v>
      </c>
      <c r="H301" s="9">
        <f>IF(Table13[[#This Row],[Previous Quartile]]="TopQuartile", 1,
 IF(Table13[[#This Row],[Previous Quartile]]="SecondQuartile", 2,
 IF(Table13[[#This Row],[Previous Quartile]]="ThirdQuartile", 3,
 IF(Table13[[#This Row],[Previous Quartile]]="FourthQuartile", 4, ""))))</f>
        <v>4</v>
      </c>
      <c r="I301" s="9" t="str">
        <f>IF(Table13[[#This Row],[Previous Quartile Value]]="", "",
   IF(Table13[[#This Row],[Quartile Value]] &lt; Table13[[#This Row],[Previous Quartile Value]], "Improved",
   IF(Table13[[#This Row],[Quartile Value]] &gt; Table13[[#This Row],[Previous Quartile Value]], "Dropped", "Same")))</f>
        <v>Improved</v>
      </c>
      <c r="J301" s="10" t="s">
        <v>20</v>
      </c>
      <c r="K301" s="7" t="str">
        <f>VLOOKUP(J301,Introduction!$B$6:$C$14,2)</f>
        <v>East of England</v>
      </c>
      <c r="L301" s="10">
        <v>176</v>
      </c>
      <c r="M301" s="8" t="s">
        <v>332</v>
      </c>
    </row>
    <row r="302" spans="1:13" ht="19.95" customHeight="1" x14ac:dyDescent="0.25">
      <c r="A302" s="41">
        <v>45444</v>
      </c>
      <c r="B302" s="47">
        <f>MONTH(Table13[[#This Row],[YearMonth]])</f>
        <v>6</v>
      </c>
      <c r="C302" s="9" t="s">
        <v>237</v>
      </c>
      <c r="D302" s="6" t="s">
        <v>341</v>
      </c>
      <c r="E302" s="6">
        <f>IF(Table13[[#This Row],[Quartile]]="TopQuartile", 1,
 IF(Table13[[#This Row],[Quartile]]="SecondQuartile", 2,
 IF(Table13[[#This Row],[Quartile]]="ThirdQuartile", 3,
 IF(Table13[[#This Row],[Quartile]]="FourthQuartile", 4, ""))))</f>
        <v>3</v>
      </c>
      <c r="F302" s="9" t="s">
        <v>349</v>
      </c>
      <c r="G302" s="9" t="str" cm="1">
        <f t="array" ref="G302">IFERROR(
  INDEX(Table13[Quartile],
    MATCH(1,
      (Table13[[#This Row],[OrgName]]=Table13[OrgName]) *
      (Table13[[#This Row],[Month Number]]-1=Table13[Month Number]),
    0)
  ),
"")</f>
        <v>FourthQuartile</v>
      </c>
      <c r="H302" s="9">
        <f>IF(Table13[[#This Row],[Previous Quartile]]="TopQuartile", 1,
 IF(Table13[[#This Row],[Previous Quartile]]="SecondQuartile", 2,
 IF(Table13[[#This Row],[Previous Quartile]]="ThirdQuartile", 3,
 IF(Table13[[#This Row],[Previous Quartile]]="FourthQuartile", 4, ""))))</f>
        <v>4</v>
      </c>
      <c r="I302" s="9" t="str">
        <f>IF(Table13[[#This Row],[Previous Quartile Value]]="", "",
   IF(Table13[[#This Row],[Quartile Value]] &lt; Table13[[#This Row],[Previous Quartile Value]], "Improved",
   IF(Table13[[#This Row],[Quartile Value]] &gt; Table13[[#This Row],[Previous Quartile Value]], "Dropped", "Same")))</f>
        <v>Improved</v>
      </c>
      <c r="J302" s="10" t="s">
        <v>24</v>
      </c>
      <c r="K302" s="7" t="str">
        <f>VLOOKUP(J302,Introduction!$B$6:$C$14,2)</f>
        <v>North East and Yorkshire</v>
      </c>
      <c r="L302" s="10">
        <v>155</v>
      </c>
      <c r="M302" s="8" t="s">
        <v>332</v>
      </c>
    </row>
    <row r="303" spans="1:13" ht="19.95" customHeight="1" x14ac:dyDescent="0.25">
      <c r="A303" s="41">
        <v>45444</v>
      </c>
      <c r="B303" s="47">
        <f>MONTH(Table13[[#This Row],[YearMonth]])</f>
        <v>6</v>
      </c>
      <c r="C303" s="9" t="s">
        <v>236</v>
      </c>
      <c r="D303" s="6" t="s">
        <v>341</v>
      </c>
      <c r="E303" s="6">
        <f>IF(Table13[[#This Row],[Quartile]]="TopQuartile", 1,
 IF(Table13[[#This Row],[Quartile]]="SecondQuartile", 2,
 IF(Table13[[#This Row],[Quartile]]="ThirdQuartile", 3,
 IF(Table13[[#This Row],[Quartile]]="FourthQuartile", 4, ""))))</f>
        <v>3</v>
      </c>
      <c r="F303" s="9" t="s">
        <v>348</v>
      </c>
      <c r="G303" s="9" t="str" cm="1">
        <f t="array" ref="G303">IFERROR(
  INDEX(Table13[Quartile],
    MATCH(1,
      (Table13[[#This Row],[OrgName]]=Table13[OrgName]) *
      (Table13[[#This Row],[Month Number]]-1=Table13[Month Number]),
    0)
  ),
"")</f>
        <v>FourthQuartile</v>
      </c>
      <c r="H303" s="9">
        <f>IF(Table13[[#This Row],[Previous Quartile]]="TopQuartile", 1,
 IF(Table13[[#This Row],[Previous Quartile]]="SecondQuartile", 2,
 IF(Table13[[#This Row],[Previous Quartile]]="ThirdQuartile", 3,
 IF(Table13[[#This Row],[Previous Quartile]]="FourthQuartile", 4, ""))))</f>
        <v>4</v>
      </c>
      <c r="I303" s="9" t="str">
        <f>IF(Table13[[#This Row],[Previous Quartile Value]]="", "",
   IF(Table13[[#This Row],[Quartile Value]] &lt; Table13[[#This Row],[Previous Quartile Value]], "Improved",
   IF(Table13[[#This Row],[Quartile Value]] &gt; Table13[[#This Row],[Previous Quartile Value]], "Dropped", "Same")))</f>
        <v>Improved</v>
      </c>
      <c r="J303" s="10" t="s">
        <v>18</v>
      </c>
      <c r="K303" s="7" t="str">
        <f>VLOOKUP(J303,Introduction!$B$6:$C$14,2)</f>
        <v>Midlands</v>
      </c>
      <c r="L303" s="10">
        <v>365</v>
      </c>
      <c r="M303" s="8" t="s">
        <v>332</v>
      </c>
    </row>
    <row r="304" spans="1:13" ht="19.95" customHeight="1" x14ac:dyDescent="0.25">
      <c r="A304" s="41">
        <v>45444</v>
      </c>
      <c r="B304" s="47">
        <f>MONTH(Table13[[#This Row],[YearMonth]])</f>
        <v>6</v>
      </c>
      <c r="C304" s="9" t="s">
        <v>254</v>
      </c>
      <c r="D304" s="6" t="s">
        <v>350</v>
      </c>
      <c r="E304" s="6">
        <f>IF(Table13[[#This Row],[Quartile]]="TopQuartile", 1,
 IF(Table13[[#This Row],[Quartile]]="SecondQuartile", 2,
 IF(Table13[[#This Row],[Quartile]]="ThirdQuartile", 3,
 IF(Table13[[#This Row],[Quartile]]="FourthQuartile", 4, ""))))</f>
        <v>4</v>
      </c>
      <c r="F304" s="9" t="s">
        <v>352</v>
      </c>
      <c r="G304" s="9" t="str" cm="1">
        <f t="array" ref="G304">IFERROR(
  INDEX(Table13[Quartile],
    MATCH(1,
      (Table13[[#This Row],[OrgName]]=Table13[OrgName]) *
      (Table13[[#This Row],[Month Number]]-1=Table13[Month Number]),
    0)
  ),
"")</f>
        <v>FourthQuartile</v>
      </c>
      <c r="H304" s="9">
        <f>IF(Table13[[#This Row],[Previous Quartile]]="TopQuartile", 1,
 IF(Table13[[#This Row],[Previous Quartile]]="SecondQuartile", 2,
 IF(Table13[[#This Row],[Previous Quartile]]="ThirdQuartile", 3,
 IF(Table13[[#This Row],[Previous Quartile]]="FourthQuartile", 4, ""))))</f>
        <v>4</v>
      </c>
      <c r="I304" s="9" t="str">
        <f>IF(Table13[[#This Row],[Previous Quartile Value]]="", "",
   IF(Table13[[#This Row],[Quartile Value]] &lt; Table13[[#This Row],[Previous Quartile Value]], "Improved",
   IF(Table13[[#This Row],[Quartile Value]] &gt; Table13[[#This Row],[Previous Quartile Value]], "Dropped", "Same")))</f>
        <v>Same</v>
      </c>
      <c r="J304" s="10" t="s">
        <v>22</v>
      </c>
      <c r="K304" s="7" t="str">
        <f>VLOOKUP(J304,Introduction!$B$6:$C$14,2)</f>
        <v>North West</v>
      </c>
      <c r="L304" s="10">
        <v>435</v>
      </c>
      <c r="M304" s="8" t="s">
        <v>332</v>
      </c>
    </row>
    <row r="305" spans="1:13" ht="19.95" customHeight="1" x14ac:dyDescent="0.25">
      <c r="A305" s="41">
        <v>45444</v>
      </c>
      <c r="B305" s="47">
        <f>MONTH(Table13[[#This Row],[YearMonth]])</f>
        <v>6</v>
      </c>
      <c r="C305" s="9" t="s">
        <v>257</v>
      </c>
      <c r="D305" s="6" t="s">
        <v>350</v>
      </c>
      <c r="E305" s="6">
        <f>IF(Table13[[#This Row],[Quartile]]="TopQuartile", 1,
 IF(Table13[[#This Row],[Quartile]]="SecondQuartile", 2,
 IF(Table13[[#This Row],[Quartile]]="ThirdQuartile", 3,
 IF(Table13[[#This Row],[Quartile]]="FourthQuartile", 4, ""))))</f>
        <v>4</v>
      </c>
      <c r="F305" s="9" t="s">
        <v>353</v>
      </c>
      <c r="G305" s="9" t="str" cm="1">
        <f t="array" ref="G305">IFERROR(
  INDEX(Table13[Quartile],
    MATCH(1,
      (Table13[[#This Row],[OrgName]]=Table13[OrgName]) *
      (Table13[[#This Row],[Month Number]]-1=Table13[Month Number]),
    0)
  ),
"")</f>
        <v>FourthQuartile</v>
      </c>
      <c r="H305" s="9">
        <f>IF(Table13[[#This Row],[Previous Quartile]]="TopQuartile", 1,
 IF(Table13[[#This Row],[Previous Quartile]]="SecondQuartile", 2,
 IF(Table13[[#This Row],[Previous Quartile]]="ThirdQuartile", 3,
 IF(Table13[[#This Row],[Previous Quartile]]="FourthQuartile", 4, ""))))</f>
        <v>4</v>
      </c>
      <c r="I305" s="9" t="str">
        <f>IF(Table13[[#This Row],[Previous Quartile Value]]="", "",
   IF(Table13[[#This Row],[Quartile Value]] &lt; Table13[[#This Row],[Previous Quartile Value]], "Improved",
   IF(Table13[[#This Row],[Quartile Value]] &gt; Table13[[#This Row],[Previous Quartile Value]], "Dropped", "Same")))</f>
        <v>Same</v>
      </c>
      <c r="J305" s="10" t="s">
        <v>14</v>
      </c>
      <c r="K305" s="7" t="str">
        <f>VLOOKUP(J305,Introduction!$B$6:$C$14,2)</f>
        <v>South West</v>
      </c>
      <c r="L305" s="10">
        <v>185</v>
      </c>
      <c r="M305" s="8" t="s">
        <v>332</v>
      </c>
    </row>
    <row r="306" spans="1:13" ht="19.95" customHeight="1" x14ac:dyDescent="0.25">
      <c r="A306" s="41">
        <v>45444</v>
      </c>
      <c r="B306" s="47">
        <f>MONTH(Table13[[#This Row],[YearMonth]])</f>
        <v>6</v>
      </c>
      <c r="C306" s="9" t="s">
        <v>270</v>
      </c>
      <c r="D306" s="6" t="s">
        <v>350</v>
      </c>
      <c r="E306" s="6">
        <f>IF(Table13[[#This Row],[Quartile]]="TopQuartile", 1,
 IF(Table13[[#This Row],[Quartile]]="SecondQuartile", 2,
 IF(Table13[[#This Row],[Quartile]]="ThirdQuartile", 3,
 IF(Table13[[#This Row],[Quartile]]="FourthQuartile", 4, ""))))</f>
        <v>4</v>
      </c>
      <c r="F306" s="9" t="s">
        <v>354</v>
      </c>
      <c r="G306" s="9" t="str" cm="1">
        <f t="array" ref="G306">IFERROR(
  INDEX(Table13[Quartile],
    MATCH(1,
      (Table13[[#This Row],[OrgName]]=Table13[OrgName]) *
      (Table13[[#This Row],[Month Number]]-1=Table13[Month Number]),
    0)
  ),
"")</f>
        <v>FourthQuartile</v>
      </c>
      <c r="H306" s="9">
        <f>IF(Table13[[#This Row],[Previous Quartile]]="TopQuartile", 1,
 IF(Table13[[#This Row],[Previous Quartile]]="SecondQuartile", 2,
 IF(Table13[[#This Row],[Previous Quartile]]="ThirdQuartile", 3,
 IF(Table13[[#This Row],[Previous Quartile]]="FourthQuartile", 4, ""))))</f>
        <v>4</v>
      </c>
      <c r="I306" s="9" t="str">
        <f>IF(Table13[[#This Row],[Previous Quartile Value]]="", "",
   IF(Table13[[#This Row],[Quartile Value]] &lt; Table13[[#This Row],[Previous Quartile Value]], "Improved",
   IF(Table13[[#This Row],[Quartile Value]] &gt; Table13[[#This Row],[Previous Quartile Value]], "Dropped", "Same")))</f>
        <v>Same</v>
      </c>
      <c r="J306" s="10" t="s">
        <v>16</v>
      </c>
      <c r="K306" s="7" t="str">
        <f>VLOOKUP(J306,Introduction!$B$6:$C$14,2)</f>
        <v>South East</v>
      </c>
      <c r="L306" s="10">
        <v>251</v>
      </c>
      <c r="M306" s="8" t="s">
        <v>332</v>
      </c>
    </row>
    <row r="307" spans="1:13" ht="19.95" customHeight="1" x14ac:dyDescent="0.25">
      <c r="A307" s="41">
        <v>45444</v>
      </c>
      <c r="B307" s="47">
        <f>MONTH(Table13[[#This Row],[YearMonth]])</f>
        <v>6</v>
      </c>
      <c r="C307" s="9" t="s">
        <v>246</v>
      </c>
      <c r="D307" s="6" t="s">
        <v>350</v>
      </c>
      <c r="E307" s="6">
        <f>IF(Table13[[#This Row],[Quartile]]="TopQuartile", 1,
 IF(Table13[[#This Row],[Quartile]]="SecondQuartile", 2,
 IF(Table13[[#This Row],[Quartile]]="ThirdQuartile", 3,
 IF(Table13[[#This Row],[Quartile]]="FourthQuartile", 4, ""))))</f>
        <v>4</v>
      </c>
      <c r="F307" s="9" t="s">
        <v>351</v>
      </c>
      <c r="G307" s="9" t="str" cm="1">
        <f t="array" ref="G307">IFERROR(
  INDEX(Table13[Quartile],
    MATCH(1,
      (Table13[[#This Row],[OrgName]]=Table13[OrgName]) *
      (Table13[[#This Row],[Month Number]]-1=Table13[Month Number]),
    0)
  ),
"")</f>
        <v>FourthQuartile</v>
      </c>
      <c r="H307" s="9">
        <f>IF(Table13[[#This Row],[Previous Quartile]]="TopQuartile", 1,
 IF(Table13[[#This Row],[Previous Quartile]]="SecondQuartile", 2,
 IF(Table13[[#This Row],[Previous Quartile]]="ThirdQuartile", 3,
 IF(Table13[[#This Row],[Previous Quartile]]="FourthQuartile", 4, ""))))</f>
        <v>4</v>
      </c>
      <c r="I307" s="9" t="str">
        <f>IF(Table13[[#This Row],[Previous Quartile Value]]="", "",
   IF(Table13[[#This Row],[Quartile Value]] &lt; Table13[[#This Row],[Previous Quartile Value]], "Improved",
   IF(Table13[[#This Row],[Quartile Value]] &gt; Table13[[#This Row],[Previous Quartile Value]], "Dropped", "Same")))</f>
        <v>Same</v>
      </c>
      <c r="J307" s="10" t="s">
        <v>14</v>
      </c>
      <c r="K307" s="7" t="str">
        <f>VLOOKUP(J307,Introduction!$B$6:$C$14,2)</f>
        <v>South West</v>
      </c>
      <c r="L307" s="10">
        <v>318</v>
      </c>
      <c r="M307" s="8" t="s">
        <v>332</v>
      </c>
    </row>
    <row r="308" spans="1:13" ht="19.95" customHeight="1" x14ac:dyDescent="0.25">
      <c r="A308" s="41">
        <v>45444</v>
      </c>
      <c r="B308" s="47">
        <f>MONTH(Table13[[#This Row],[YearMonth]])</f>
        <v>6</v>
      </c>
      <c r="C308" s="9" t="s">
        <v>283</v>
      </c>
      <c r="D308" s="6" t="s">
        <v>350</v>
      </c>
      <c r="E308" s="6">
        <f>IF(Table13[[#This Row],[Quartile]]="TopQuartile", 1,
 IF(Table13[[#This Row],[Quartile]]="SecondQuartile", 2,
 IF(Table13[[#This Row],[Quartile]]="ThirdQuartile", 3,
 IF(Table13[[#This Row],[Quartile]]="FourthQuartile", 4, ""))))</f>
        <v>4</v>
      </c>
      <c r="F308" s="9" t="s">
        <v>355</v>
      </c>
      <c r="G308" s="9" t="str" cm="1">
        <f t="array" ref="G308">IFERROR(
  INDEX(Table13[Quartile],
    MATCH(1,
      (Table13[[#This Row],[OrgName]]=Table13[OrgName]) *
      (Table13[[#This Row],[Month Number]]-1=Table13[Month Number]),
    0)
  ),
"")</f>
        <v>FourthQuartile</v>
      </c>
      <c r="H308" s="9">
        <f>IF(Table13[[#This Row],[Previous Quartile]]="TopQuartile", 1,
 IF(Table13[[#This Row],[Previous Quartile]]="SecondQuartile", 2,
 IF(Table13[[#This Row],[Previous Quartile]]="ThirdQuartile", 3,
 IF(Table13[[#This Row],[Previous Quartile]]="FourthQuartile", 4, ""))))</f>
        <v>4</v>
      </c>
      <c r="I308" s="9" t="str">
        <f>IF(Table13[[#This Row],[Previous Quartile Value]]="", "",
   IF(Table13[[#This Row],[Quartile Value]] &lt; Table13[[#This Row],[Previous Quartile Value]], "Improved",
   IF(Table13[[#This Row],[Quartile Value]] &gt; Table13[[#This Row],[Previous Quartile Value]], "Dropped", "Same")))</f>
        <v>Same</v>
      </c>
      <c r="J308" s="10" t="s">
        <v>16</v>
      </c>
      <c r="K308" s="7" t="str">
        <f>VLOOKUP(J308,Introduction!$B$6:$C$14,2)</f>
        <v>South East</v>
      </c>
      <c r="L308" s="10">
        <v>193</v>
      </c>
      <c r="M308" s="8" t="s">
        <v>332</v>
      </c>
    </row>
    <row r="309" spans="1:13" ht="19.95" customHeight="1" x14ac:dyDescent="0.25">
      <c r="A309" s="41">
        <v>45444</v>
      </c>
      <c r="B309" s="47">
        <f>MONTH(Table13[[#This Row],[YearMonth]])</f>
        <v>6</v>
      </c>
      <c r="C309" s="9" t="s">
        <v>290</v>
      </c>
      <c r="D309" s="6" t="s">
        <v>350</v>
      </c>
      <c r="E309" s="6">
        <f>IF(Table13[[#This Row],[Quartile]]="TopQuartile", 1,
 IF(Table13[[#This Row],[Quartile]]="SecondQuartile", 2,
 IF(Table13[[#This Row],[Quartile]]="ThirdQuartile", 3,
 IF(Table13[[#This Row],[Quartile]]="FourthQuartile", 4, ""))))</f>
        <v>4</v>
      </c>
      <c r="F309" s="9" t="s">
        <v>356</v>
      </c>
      <c r="G309" s="9" t="str" cm="1">
        <f t="array" ref="G309">IFERROR(
  INDEX(Table13[Quartile],
    MATCH(1,
      (Table13[[#This Row],[OrgName]]=Table13[OrgName]) *
      (Table13[[#This Row],[Month Number]]-1=Table13[Month Number]),
    0)
  ),
"")</f>
        <v>FourthQuartile</v>
      </c>
      <c r="H309" s="9">
        <f>IF(Table13[[#This Row],[Previous Quartile]]="TopQuartile", 1,
 IF(Table13[[#This Row],[Previous Quartile]]="SecondQuartile", 2,
 IF(Table13[[#This Row],[Previous Quartile]]="ThirdQuartile", 3,
 IF(Table13[[#This Row],[Previous Quartile]]="FourthQuartile", 4, ""))))</f>
        <v>4</v>
      </c>
      <c r="I309" s="9" t="str">
        <f>IF(Table13[[#This Row],[Previous Quartile Value]]="", "",
   IF(Table13[[#This Row],[Quartile Value]] &lt; Table13[[#This Row],[Previous Quartile Value]], "Improved",
   IF(Table13[[#This Row],[Quartile Value]] &gt; Table13[[#This Row],[Previous Quartile Value]], "Dropped", "Same")))</f>
        <v>Same</v>
      </c>
      <c r="J309" s="10" t="s">
        <v>18</v>
      </c>
      <c r="K309" s="7" t="str">
        <f>VLOOKUP(J309,Introduction!$B$6:$C$14,2)</f>
        <v>Midlands</v>
      </c>
      <c r="L309" s="10">
        <v>381</v>
      </c>
      <c r="M309" s="8" t="s">
        <v>332</v>
      </c>
    </row>
    <row r="310" spans="1:13" ht="19.95" customHeight="1" x14ac:dyDescent="0.25">
      <c r="A310" s="41">
        <v>45444</v>
      </c>
      <c r="B310" s="47">
        <f>MONTH(Table13[[#This Row],[YearMonth]])</f>
        <v>6</v>
      </c>
      <c r="C310" s="9" t="s">
        <v>292</v>
      </c>
      <c r="D310" s="6" t="s">
        <v>350</v>
      </c>
      <c r="E310" s="6">
        <f>IF(Table13[[#This Row],[Quartile]]="TopQuartile", 1,
 IF(Table13[[#This Row],[Quartile]]="SecondQuartile", 2,
 IF(Table13[[#This Row],[Quartile]]="ThirdQuartile", 3,
 IF(Table13[[#This Row],[Quartile]]="FourthQuartile", 4, ""))))</f>
        <v>4</v>
      </c>
      <c r="F310" s="9" t="s">
        <v>357</v>
      </c>
      <c r="G310" s="9" t="str" cm="1">
        <f t="array" ref="G310">IFERROR(
  INDEX(Table13[Quartile],
    MATCH(1,
      (Table13[[#This Row],[OrgName]]=Table13[OrgName]) *
      (Table13[[#This Row],[Month Number]]-1=Table13[Month Number]),
    0)
  ),
"")</f>
        <v>FourthQuartile</v>
      </c>
      <c r="H310" s="9">
        <f>IF(Table13[[#This Row],[Previous Quartile]]="TopQuartile", 1,
 IF(Table13[[#This Row],[Previous Quartile]]="SecondQuartile", 2,
 IF(Table13[[#This Row],[Previous Quartile]]="ThirdQuartile", 3,
 IF(Table13[[#This Row],[Previous Quartile]]="FourthQuartile", 4, ""))))</f>
        <v>4</v>
      </c>
      <c r="I310" s="9" t="str">
        <f>IF(Table13[[#This Row],[Previous Quartile Value]]="", "",
   IF(Table13[[#This Row],[Quartile Value]] &lt; Table13[[#This Row],[Previous Quartile Value]], "Improved",
   IF(Table13[[#This Row],[Quartile Value]] &gt; Table13[[#This Row],[Previous Quartile Value]], "Dropped", "Same")))</f>
        <v>Same</v>
      </c>
      <c r="J310" s="10" t="s">
        <v>14</v>
      </c>
      <c r="K310" s="7" t="str">
        <f>VLOOKUP(J310,Introduction!$B$6:$C$14,2)</f>
        <v>South West</v>
      </c>
      <c r="L310" s="10">
        <v>156</v>
      </c>
      <c r="M310" s="8" t="s">
        <v>332</v>
      </c>
    </row>
    <row r="311" spans="1:13" ht="19.95" customHeight="1" x14ac:dyDescent="0.25">
      <c r="A311" s="41">
        <v>45444</v>
      </c>
      <c r="B311" s="47">
        <f>MONTH(Table13[[#This Row],[YearMonth]])</f>
        <v>6</v>
      </c>
      <c r="C311" s="9" t="s">
        <v>55</v>
      </c>
      <c r="D311" s="6" t="s">
        <v>330</v>
      </c>
      <c r="E311" s="6">
        <f>IF(Table13[[#This Row],[Quartile]]="TopQuartile", 1,
 IF(Table13[[#This Row],[Quartile]]="SecondQuartile", 2,
 IF(Table13[[#This Row],[Quartile]]="ThirdQuartile", 3,
 IF(Table13[[#This Row],[Quartile]]="FourthQuartile", 4, ""))))</f>
        <v>1</v>
      </c>
      <c r="F311" s="9" t="s">
        <v>362</v>
      </c>
      <c r="G311" s="9" t="str" cm="1">
        <f t="array" ref="G311">IFERROR(
  INDEX(Table13[Quartile],
    MATCH(1,
      (Table13[[#This Row],[OrgName]]=Table13[OrgName]) *
      (Table13[[#This Row],[Month Number]]-1=Table13[Month Number]),
    0)
  ),
"")</f>
        <v>SecondQuartile</v>
      </c>
      <c r="H311" s="9">
        <f>IF(Table13[[#This Row],[Previous Quartile]]="TopQuartile", 1,
 IF(Table13[[#This Row],[Previous Quartile]]="SecondQuartile", 2,
 IF(Table13[[#This Row],[Previous Quartile]]="ThirdQuartile", 3,
 IF(Table13[[#This Row],[Previous Quartile]]="FourthQuartile", 4, ""))))</f>
        <v>2</v>
      </c>
      <c r="I311" s="9" t="str">
        <f>IF(Table13[[#This Row],[Previous Quartile Value]]="", "",
   IF(Table13[[#This Row],[Quartile Value]] &lt; Table13[[#This Row],[Previous Quartile Value]], "Improved",
   IF(Table13[[#This Row],[Quartile Value]] &gt; Table13[[#This Row],[Previous Quartile Value]], "Dropped", "Same")))</f>
        <v>Improved</v>
      </c>
      <c r="J311" s="10" t="s">
        <v>18</v>
      </c>
      <c r="K311" s="7" t="str">
        <f>VLOOKUP(J311,Introduction!$B$6:$C$14,2)</f>
        <v>Midlands</v>
      </c>
      <c r="L311" s="10">
        <v>214</v>
      </c>
      <c r="M311" s="8" t="s">
        <v>359</v>
      </c>
    </row>
    <row r="312" spans="1:13" ht="19.95" customHeight="1" x14ac:dyDescent="0.25">
      <c r="A312" s="41">
        <v>45444</v>
      </c>
      <c r="B312" s="47">
        <f>MONTH(Table13[[#This Row],[YearMonth]])</f>
        <v>6</v>
      </c>
      <c r="C312" s="9" t="s">
        <v>54</v>
      </c>
      <c r="D312" s="6" t="s">
        <v>330</v>
      </c>
      <c r="E312" s="6">
        <f>IF(Table13[[#This Row],[Quartile]]="TopQuartile", 1,
 IF(Table13[[#This Row],[Quartile]]="SecondQuartile", 2,
 IF(Table13[[#This Row],[Quartile]]="ThirdQuartile", 3,
 IF(Table13[[#This Row],[Quartile]]="FourthQuartile", 4, ""))))</f>
        <v>1</v>
      </c>
      <c r="F312" s="9" t="s">
        <v>361</v>
      </c>
      <c r="G312" s="9" t="str" cm="1">
        <f t="array" ref="G312">IFERROR(
  INDEX(Table13[Quartile],
    MATCH(1,
      (Table13[[#This Row],[OrgName]]=Table13[OrgName]) *
      (Table13[[#This Row],[Month Number]]-1=Table13[Month Number]),
    0)
  ),
"")</f>
        <v>SecondQuartile</v>
      </c>
      <c r="H312" s="9">
        <f>IF(Table13[[#This Row],[Previous Quartile]]="TopQuartile", 1,
 IF(Table13[[#This Row],[Previous Quartile]]="SecondQuartile", 2,
 IF(Table13[[#This Row],[Previous Quartile]]="ThirdQuartile", 3,
 IF(Table13[[#This Row],[Previous Quartile]]="FourthQuartile", 4, ""))))</f>
        <v>2</v>
      </c>
      <c r="I312" s="9" t="str">
        <f>IF(Table13[[#This Row],[Previous Quartile Value]]="", "",
   IF(Table13[[#This Row],[Quartile Value]] &lt; Table13[[#This Row],[Previous Quartile Value]], "Improved",
   IF(Table13[[#This Row],[Quartile Value]] &gt; Table13[[#This Row],[Previous Quartile Value]], "Dropped", "Same")))</f>
        <v>Improved</v>
      </c>
      <c r="J312" s="10" t="s">
        <v>24</v>
      </c>
      <c r="K312" s="7" t="str">
        <f>VLOOKUP(J312,Introduction!$B$6:$C$14,2)</f>
        <v>North East and Yorkshire</v>
      </c>
      <c r="L312" s="10">
        <v>297</v>
      </c>
      <c r="M312" s="8" t="s">
        <v>359</v>
      </c>
    </row>
    <row r="313" spans="1:13" ht="19.95" customHeight="1" x14ac:dyDescent="0.25">
      <c r="A313" s="41">
        <v>45444</v>
      </c>
      <c r="B313" s="47">
        <f>MONTH(Table13[[#This Row],[YearMonth]])</f>
        <v>6</v>
      </c>
      <c r="C313" s="9" t="s">
        <v>50</v>
      </c>
      <c r="D313" s="6" t="s">
        <v>330</v>
      </c>
      <c r="E313" s="6">
        <f>IF(Table13[[#This Row],[Quartile]]="TopQuartile", 1,
 IF(Table13[[#This Row],[Quartile]]="SecondQuartile", 2,
 IF(Table13[[#This Row],[Quartile]]="ThirdQuartile", 3,
 IF(Table13[[#This Row],[Quartile]]="FourthQuartile", 4, ""))))</f>
        <v>1</v>
      </c>
      <c r="F313" s="9" t="s">
        <v>360</v>
      </c>
      <c r="G313" s="9" t="str" cm="1">
        <f t="array" ref="G313">IFERROR(
  INDEX(Table13[Quartile],
    MATCH(1,
      (Table13[[#This Row],[OrgName]]=Table13[OrgName]) *
      (Table13[[#This Row],[Month Number]]-1=Table13[Month Number]),
    0)
  ),
"")</f>
        <v>TopQuartile</v>
      </c>
      <c r="H313" s="9">
        <f>IF(Table13[[#This Row],[Previous Quartile]]="TopQuartile", 1,
 IF(Table13[[#This Row],[Previous Quartile]]="SecondQuartile", 2,
 IF(Table13[[#This Row],[Previous Quartile]]="ThirdQuartile", 3,
 IF(Table13[[#This Row],[Previous Quartile]]="FourthQuartile", 4, ""))))</f>
        <v>1</v>
      </c>
      <c r="I313" s="9" t="str">
        <f>IF(Table13[[#This Row],[Previous Quartile Value]]="", "",
   IF(Table13[[#This Row],[Quartile Value]] &lt; Table13[[#This Row],[Previous Quartile Value]], "Improved",
   IF(Table13[[#This Row],[Quartile Value]] &gt; Table13[[#This Row],[Previous Quartile Value]], "Dropped", "Same")))</f>
        <v>Same</v>
      </c>
      <c r="J313" s="10" t="s">
        <v>12</v>
      </c>
      <c r="K313" s="7" t="str">
        <f>VLOOKUP(J313,Introduction!$B$6:$C$14,2)</f>
        <v>London</v>
      </c>
      <c r="L313" s="10">
        <v>199</v>
      </c>
      <c r="M313" s="8" t="s">
        <v>359</v>
      </c>
    </row>
    <row r="314" spans="1:13" ht="19.95" customHeight="1" x14ac:dyDescent="0.25">
      <c r="A314" s="41">
        <v>45444</v>
      </c>
      <c r="B314" s="47">
        <f>MONTH(Table13[[#This Row],[YearMonth]])</f>
        <v>6</v>
      </c>
      <c r="C314" s="9" t="s">
        <v>37</v>
      </c>
      <c r="D314" s="6" t="s">
        <v>330</v>
      </c>
      <c r="E314" s="6">
        <f>IF(Table13[[#This Row],[Quartile]]="TopQuartile", 1,
 IF(Table13[[#This Row],[Quartile]]="SecondQuartile", 2,
 IF(Table13[[#This Row],[Quartile]]="ThirdQuartile", 3,
 IF(Table13[[#This Row],[Quartile]]="FourthQuartile", 4, ""))))</f>
        <v>1</v>
      </c>
      <c r="F314" s="9" t="s">
        <v>358</v>
      </c>
      <c r="G314" s="9" t="str" cm="1">
        <f t="array" ref="G314">IFERROR(
  INDEX(Table13[Quartile],
    MATCH(1,
      (Table13[[#This Row],[OrgName]]=Table13[OrgName]) *
      (Table13[[#This Row],[Month Number]]-1=Table13[Month Number]),
    0)
  ),
"")</f>
        <v>TopQuartile</v>
      </c>
      <c r="H314" s="9">
        <f>IF(Table13[[#This Row],[Previous Quartile]]="TopQuartile", 1,
 IF(Table13[[#This Row],[Previous Quartile]]="SecondQuartile", 2,
 IF(Table13[[#This Row],[Previous Quartile]]="ThirdQuartile", 3,
 IF(Table13[[#This Row],[Previous Quartile]]="FourthQuartile", 4, ""))))</f>
        <v>1</v>
      </c>
      <c r="I314" s="9" t="str">
        <f>IF(Table13[[#This Row],[Previous Quartile Value]]="", "",
   IF(Table13[[#This Row],[Quartile Value]] &lt; Table13[[#This Row],[Previous Quartile Value]], "Improved",
   IF(Table13[[#This Row],[Quartile Value]] &gt; Table13[[#This Row],[Previous Quartile Value]], "Dropped", "Same")))</f>
        <v>Same</v>
      </c>
      <c r="J314" s="10" t="s">
        <v>18</v>
      </c>
      <c r="K314" s="7" t="str">
        <f>VLOOKUP(J314,Introduction!$B$6:$C$14,2)</f>
        <v>Midlands</v>
      </c>
      <c r="L314" s="10">
        <v>223</v>
      </c>
      <c r="M314" s="8" t="s">
        <v>359</v>
      </c>
    </row>
    <row r="315" spans="1:13" ht="19.95" customHeight="1" x14ac:dyDescent="0.25">
      <c r="A315" s="41">
        <v>45444</v>
      </c>
      <c r="B315" s="47">
        <f>MONTH(Table13[[#This Row],[YearMonth]])</f>
        <v>6</v>
      </c>
      <c r="C315" s="9" t="s">
        <v>59</v>
      </c>
      <c r="D315" s="6" t="s">
        <v>330</v>
      </c>
      <c r="E315" s="6">
        <f>IF(Table13[[#This Row],[Quartile]]="TopQuartile", 1,
 IF(Table13[[#This Row],[Quartile]]="SecondQuartile", 2,
 IF(Table13[[#This Row],[Quartile]]="ThirdQuartile", 3,
 IF(Table13[[#This Row],[Quartile]]="FourthQuartile", 4, ""))))</f>
        <v>1</v>
      </c>
      <c r="F315" s="9" t="s">
        <v>363</v>
      </c>
      <c r="G315" s="9" t="str" cm="1">
        <f t="array" ref="G315">IFERROR(
  INDEX(Table13[Quartile],
    MATCH(1,
      (Table13[[#This Row],[OrgName]]=Table13[OrgName]) *
      (Table13[[#This Row],[Month Number]]-1=Table13[Month Number]),
    0)
  ),
"")</f>
        <v>TopQuartile</v>
      </c>
      <c r="H315" s="9">
        <f>IF(Table13[[#This Row],[Previous Quartile]]="TopQuartile", 1,
 IF(Table13[[#This Row],[Previous Quartile]]="SecondQuartile", 2,
 IF(Table13[[#This Row],[Previous Quartile]]="ThirdQuartile", 3,
 IF(Table13[[#This Row],[Previous Quartile]]="FourthQuartile", 4, ""))))</f>
        <v>1</v>
      </c>
      <c r="I315" s="9" t="str">
        <f>IF(Table13[[#This Row],[Previous Quartile Value]]="", "",
   IF(Table13[[#This Row],[Quartile Value]] &lt; Table13[[#This Row],[Previous Quartile Value]], "Improved",
   IF(Table13[[#This Row],[Quartile Value]] &gt; Table13[[#This Row],[Previous Quartile Value]], "Dropped", "Same")))</f>
        <v>Same</v>
      </c>
      <c r="J315" s="10" t="s">
        <v>24</v>
      </c>
      <c r="K315" s="7" t="str">
        <f>VLOOKUP(J315,Introduction!$B$6:$C$14,2)</f>
        <v>North East and Yorkshire</v>
      </c>
      <c r="L315" s="10">
        <v>208</v>
      </c>
      <c r="M315" s="8" t="s">
        <v>359</v>
      </c>
    </row>
    <row r="316" spans="1:13" ht="19.95" customHeight="1" x14ac:dyDescent="0.25">
      <c r="A316" s="41">
        <v>45444</v>
      </c>
      <c r="B316" s="47">
        <f>MONTH(Table13[[#This Row],[YearMonth]])</f>
        <v>6</v>
      </c>
      <c r="C316" s="9" t="s">
        <v>97</v>
      </c>
      <c r="D316" s="6" t="s">
        <v>338</v>
      </c>
      <c r="E316" s="6">
        <f>IF(Table13[[#This Row],[Quartile]]="TopQuartile", 1,
 IF(Table13[[#This Row],[Quartile]]="SecondQuartile", 2,
 IF(Table13[[#This Row],[Quartile]]="ThirdQuartile", 3,
 IF(Table13[[#This Row],[Quartile]]="FourthQuartile", 4, ""))))</f>
        <v>2</v>
      </c>
      <c r="F316" s="9" t="s">
        <v>364</v>
      </c>
      <c r="G316" s="9" t="str" cm="1">
        <f t="array" ref="G316">IFERROR(
  INDEX(Table13[Quartile],
    MATCH(1,
      (Table13[[#This Row],[OrgName]]=Table13[OrgName]) *
      (Table13[[#This Row],[Month Number]]-1=Table13[Month Number]),
    0)
  ),
"")</f>
        <v>SecondQuartile</v>
      </c>
      <c r="H316" s="9">
        <f>IF(Table13[[#This Row],[Previous Quartile]]="TopQuartile", 1,
 IF(Table13[[#This Row],[Previous Quartile]]="SecondQuartile", 2,
 IF(Table13[[#This Row],[Previous Quartile]]="ThirdQuartile", 3,
 IF(Table13[[#This Row],[Previous Quartile]]="FourthQuartile", 4, ""))))</f>
        <v>2</v>
      </c>
      <c r="I316" s="9" t="str">
        <f>IF(Table13[[#This Row],[Previous Quartile Value]]="", "",
   IF(Table13[[#This Row],[Quartile Value]] &lt; Table13[[#This Row],[Previous Quartile Value]], "Improved",
   IF(Table13[[#This Row],[Quartile Value]] &gt; Table13[[#This Row],[Previous Quartile Value]], "Dropped", "Same")))</f>
        <v>Same</v>
      </c>
      <c r="J316" s="10" t="s">
        <v>14</v>
      </c>
      <c r="K316" s="7" t="str">
        <f>VLOOKUP(J316,Introduction!$B$6:$C$14,2)</f>
        <v>South West</v>
      </c>
      <c r="L316" s="10">
        <v>427</v>
      </c>
      <c r="M316" s="8" t="s">
        <v>359</v>
      </c>
    </row>
    <row r="317" spans="1:13" ht="19.95" customHeight="1" x14ac:dyDescent="0.25">
      <c r="A317" s="41">
        <v>45444</v>
      </c>
      <c r="B317" s="47">
        <f>MONTH(Table13[[#This Row],[YearMonth]])</f>
        <v>6</v>
      </c>
      <c r="C317" s="9" t="s">
        <v>105</v>
      </c>
      <c r="D317" s="6" t="s">
        <v>338</v>
      </c>
      <c r="E317" s="6">
        <f>IF(Table13[[#This Row],[Quartile]]="TopQuartile", 1,
 IF(Table13[[#This Row],[Quartile]]="SecondQuartile", 2,
 IF(Table13[[#This Row],[Quartile]]="ThirdQuartile", 3,
 IF(Table13[[#This Row],[Quartile]]="FourthQuartile", 4, ""))))</f>
        <v>2</v>
      </c>
      <c r="F317" s="9" t="s">
        <v>365</v>
      </c>
      <c r="G317" s="9" t="str" cm="1">
        <f t="array" ref="G317">IFERROR(
  INDEX(Table13[Quartile],
    MATCH(1,
      (Table13[[#This Row],[OrgName]]=Table13[OrgName]) *
      (Table13[[#This Row],[Month Number]]-1=Table13[Month Number]),
    0)
  ),
"")</f>
        <v>TopQuartile</v>
      </c>
      <c r="H317" s="9">
        <f>IF(Table13[[#This Row],[Previous Quartile]]="TopQuartile", 1,
 IF(Table13[[#This Row],[Previous Quartile]]="SecondQuartile", 2,
 IF(Table13[[#This Row],[Previous Quartile]]="ThirdQuartile", 3,
 IF(Table13[[#This Row],[Previous Quartile]]="FourthQuartile", 4, ""))))</f>
        <v>1</v>
      </c>
      <c r="I317" s="9" t="str">
        <f>IF(Table13[[#This Row],[Previous Quartile Value]]="", "",
   IF(Table13[[#This Row],[Quartile Value]] &lt; Table13[[#This Row],[Previous Quartile Value]], "Improved",
   IF(Table13[[#This Row],[Quartile Value]] &gt; Table13[[#This Row],[Previous Quartile Value]], "Dropped", "Same")))</f>
        <v>Dropped</v>
      </c>
      <c r="J317" s="10" t="s">
        <v>12</v>
      </c>
      <c r="K317" s="7" t="str">
        <f>VLOOKUP(J317,Introduction!$B$6:$C$14,2)</f>
        <v>London</v>
      </c>
      <c r="L317" s="10">
        <v>396</v>
      </c>
      <c r="M317" s="8" t="s">
        <v>359</v>
      </c>
    </row>
    <row r="318" spans="1:13" ht="19.95" customHeight="1" x14ac:dyDescent="0.25">
      <c r="A318" s="41">
        <v>45444</v>
      </c>
      <c r="B318" s="47">
        <f>MONTH(Table13[[#This Row],[YearMonth]])</f>
        <v>6</v>
      </c>
      <c r="C318" s="9" t="s">
        <v>129</v>
      </c>
      <c r="D318" s="6" t="s">
        <v>338</v>
      </c>
      <c r="E318" s="6">
        <f>IF(Table13[[#This Row],[Quartile]]="TopQuartile", 1,
 IF(Table13[[#This Row],[Quartile]]="SecondQuartile", 2,
 IF(Table13[[#This Row],[Quartile]]="ThirdQuartile", 3,
 IF(Table13[[#This Row],[Quartile]]="FourthQuartile", 4, ""))))</f>
        <v>2</v>
      </c>
      <c r="F318" s="9" t="s">
        <v>367</v>
      </c>
      <c r="G318" s="9" t="str" cm="1">
        <f t="array" ref="G318">IFERROR(
  INDEX(Table13[Quartile],
    MATCH(1,
      (Table13[[#This Row],[OrgName]]=Table13[OrgName]) *
      (Table13[[#This Row],[Month Number]]-1=Table13[Month Number]),
    0)
  ),
"")</f>
        <v>SecondQuartile</v>
      </c>
      <c r="H318" s="9">
        <f>IF(Table13[[#This Row],[Previous Quartile]]="TopQuartile", 1,
 IF(Table13[[#This Row],[Previous Quartile]]="SecondQuartile", 2,
 IF(Table13[[#This Row],[Previous Quartile]]="ThirdQuartile", 3,
 IF(Table13[[#This Row],[Previous Quartile]]="FourthQuartile", 4, ""))))</f>
        <v>2</v>
      </c>
      <c r="I318" s="9" t="str">
        <f>IF(Table13[[#This Row],[Previous Quartile Value]]="", "",
   IF(Table13[[#This Row],[Quartile Value]] &lt; Table13[[#This Row],[Previous Quartile Value]], "Improved",
   IF(Table13[[#This Row],[Quartile Value]] &gt; Table13[[#This Row],[Previous Quartile Value]], "Dropped", "Same")))</f>
        <v>Same</v>
      </c>
      <c r="J318" s="10" t="s">
        <v>18</v>
      </c>
      <c r="K318" s="7" t="str">
        <f>VLOOKUP(J318,Introduction!$B$6:$C$14,2)</f>
        <v>Midlands</v>
      </c>
      <c r="L318" s="10">
        <v>265</v>
      </c>
      <c r="M318" s="8" t="s">
        <v>359</v>
      </c>
    </row>
    <row r="319" spans="1:13" ht="19.95" customHeight="1" x14ac:dyDescent="0.25">
      <c r="A319" s="41">
        <v>45444</v>
      </c>
      <c r="B319" s="47">
        <f>MONTH(Table13[[#This Row],[YearMonth]])</f>
        <v>6</v>
      </c>
      <c r="C319" s="9" t="s">
        <v>136</v>
      </c>
      <c r="D319" s="6" t="s">
        <v>338</v>
      </c>
      <c r="E319" s="6">
        <f>IF(Table13[[#This Row],[Quartile]]="TopQuartile", 1,
 IF(Table13[[#This Row],[Quartile]]="SecondQuartile", 2,
 IF(Table13[[#This Row],[Quartile]]="ThirdQuartile", 3,
 IF(Table13[[#This Row],[Quartile]]="FourthQuartile", 4, ""))))</f>
        <v>2</v>
      </c>
      <c r="F319" s="9" t="s">
        <v>368</v>
      </c>
      <c r="G319" s="9" t="str" cm="1">
        <f t="array" ref="G319">IFERROR(
  INDEX(Table13[Quartile],
    MATCH(1,
      (Table13[[#This Row],[OrgName]]=Table13[OrgName]) *
      (Table13[[#This Row],[Month Number]]-1=Table13[Month Number]),
    0)
  ),
"")</f>
        <v>SecondQuartile</v>
      </c>
      <c r="H319" s="9">
        <f>IF(Table13[[#This Row],[Previous Quartile]]="TopQuartile", 1,
 IF(Table13[[#This Row],[Previous Quartile]]="SecondQuartile", 2,
 IF(Table13[[#This Row],[Previous Quartile]]="ThirdQuartile", 3,
 IF(Table13[[#This Row],[Previous Quartile]]="FourthQuartile", 4, ""))))</f>
        <v>2</v>
      </c>
      <c r="I319" s="9" t="str">
        <f>IF(Table13[[#This Row],[Previous Quartile Value]]="", "",
   IF(Table13[[#This Row],[Quartile Value]] &lt; Table13[[#This Row],[Previous Quartile Value]], "Improved",
   IF(Table13[[#This Row],[Quartile Value]] &gt; Table13[[#This Row],[Previous Quartile Value]], "Dropped", "Same")))</f>
        <v>Same</v>
      </c>
      <c r="J319" s="10" t="s">
        <v>16</v>
      </c>
      <c r="K319" s="7" t="str">
        <f>VLOOKUP(J319,Introduction!$B$6:$C$14,2)</f>
        <v>South East</v>
      </c>
      <c r="L319" s="10">
        <v>326</v>
      </c>
      <c r="M319" s="8" t="s">
        <v>359</v>
      </c>
    </row>
    <row r="320" spans="1:13" ht="19.95" customHeight="1" x14ac:dyDescent="0.25">
      <c r="A320" s="41">
        <v>45444</v>
      </c>
      <c r="B320" s="47">
        <f>MONTH(Table13[[#This Row],[YearMonth]])</f>
        <v>6</v>
      </c>
      <c r="C320" s="9" t="s">
        <v>121</v>
      </c>
      <c r="D320" s="6" t="s">
        <v>338</v>
      </c>
      <c r="E320" s="6">
        <f>IF(Table13[[#This Row],[Quartile]]="TopQuartile", 1,
 IF(Table13[[#This Row],[Quartile]]="SecondQuartile", 2,
 IF(Table13[[#This Row],[Quartile]]="ThirdQuartile", 3,
 IF(Table13[[#This Row],[Quartile]]="FourthQuartile", 4, ""))))</f>
        <v>2</v>
      </c>
      <c r="F320" s="9" t="s">
        <v>366</v>
      </c>
      <c r="G320" s="9" t="str" cm="1">
        <f t="array" ref="G320">IFERROR(
  INDEX(Table13[Quartile],
    MATCH(1,
      (Table13[[#This Row],[OrgName]]=Table13[OrgName]) *
      (Table13[[#This Row],[Month Number]]-1=Table13[Month Number]),
    0)
  ),
"")</f>
        <v>SecondQuartile</v>
      </c>
      <c r="H320" s="9">
        <f>IF(Table13[[#This Row],[Previous Quartile]]="TopQuartile", 1,
 IF(Table13[[#This Row],[Previous Quartile]]="SecondQuartile", 2,
 IF(Table13[[#This Row],[Previous Quartile]]="ThirdQuartile", 3,
 IF(Table13[[#This Row],[Previous Quartile]]="FourthQuartile", 4, ""))))</f>
        <v>2</v>
      </c>
      <c r="I320" s="9" t="str">
        <f>IF(Table13[[#This Row],[Previous Quartile Value]]="", "",
   IF(Table13[[#This Row],[Quartile Value]] &lt; Table13[[#This Row],[Previous Quartile Value]], "Improved",
   IF(Table13[[#This Row],[Quartile Value]] &gt; Table13[[#This Row],[Previous Quartile Value]], "Dropped", "Same")))</f>
        <v>Same</v>
      </c>
      <c r="J320" s="10" t="s">
        <v>24</v>
      </c>
      <c r="K320" s="7" t="str">
        <f>VLOOKUP(J320,Introduction!$B$6:$C$14,2)</f>
        <v>North East and Yorkshire</v>
      </c>
      <c r="L320" s="10">
        <v>345</v>
      </c>
      <c r="M320" s="8" t="s">
        <v>359</v>
      </c>
    </row>
    <row r="321" spans="1:13" ht="19.95" customHeight="1" x14ac:dyDescent="0.25">
      <c r="A321" s="41">
        <v>45444</v>
      </c>
      <c r="B321" s="47">
        <f>MONTH(Table13[[#This Row],[YearMonth]])</f>
        <v>6</v>
      </c>
      <c r="C321" s="9" t="s">
        <v>143</v>
      </c>
      <c r="D321" s="6" t="s">
        <v>338</v>
      </c>
      <c r="E321" s="6">
        <f>IF(Table13[[#This Row],[Quartile]]="TopQuartile", 1,
 IF(Table13[[#This Row],[Quartile]]="SecondQuartile", 2,
 IF(Table13[[#This Row],[Quartile]]="ThirdQuartile", 3,
 IF(Table13[[#This Row],[Quartile]]="FourthQuartile", 4, ""))))</f>
        <v>2</v>
      </c>
      <c r="F321" s="9" t="s">
        <v>369</v>
      </c>
      <c r="G321" s="9" t="str" cm="1">
        <f t="array" ref="G321">IFERROR(
  INDEX(Table13[Quartile],
    MATCH(1,
      (Table13[[#This Row],[OrgName]]=Table13[OrgName]) *
      (Table13[[#This Row],[Month Number]]-1=Table13[Month Number]),
    0)
  ),
"")</f>
        <v>ThirdQuartile</v>
      </c>
      <c r="H321" s="9">
        <f>IF(Table13[[#This Row],[Previous Quartile]]="TopQuartile", 1,
 IF(Table13[[#This Row],[Previous Quartile]]="SecondQuartile", 2,
 IF(Table13[[#This Row],[Previous Quartile]]="ThirdQuartile", 3,
 IF(Table13[[#This Row],[Previous Quartile]]="FourthQuartile", 4, ""))))</f>
        <v>3</v>
      </c>
      <c r="I321" s="9" t="str">
        <f>IF(Table13[[#This Row],[Previous Quartile Value]]="", "",
   IF(Table13[[#This Row],[Quartile Value]] &lt; Table13[[#This Row],[Previous Quartile Value]], "Improved",
   IF(Table13[[#This Row],[Quartile Value]] &gt; Table13[[#This Row],[Previous Quartile Value]], "Dropped", "Same")))</f>
        <v>Improved</v>
      </c>
      <c r="J321" s="10" t="s">
        <v>16</v>
      </c>
      <c r="K321" s="7" t="str">
        <f>VLOOKUP(J321,Introduction!$B$6:$C$14,2)</f>
        <v>South East</v>
      </c>
      <c r="L321" s="10">
        <v>384</v>
      </c>
      <c r="M321" s="8" t="s">
        <v>359</v>
      </c>
    </row>
    <row r="322" spans="1:13" ht="19.95" customHeight="1" x14ac:dyDescent="0.25">
      <c r="A322" s="41">
        <v>45444</v>
      </c>
      <c r="B322" s="47">
        <f>MONTH(Table13[[#This Row],[YearMonth]])</f>
        <v>6</v>
      </c>
      <c r="C322" s="9" t="s">
        <v>173</v>
      </c>
      <c r="D322" s="6" t="s">
        <v>338</v>
      </c>
      <c r="E322" s="6">
        <f>IF(Table13[[#This Row],[Quartile]]="TopQuartile", 1,
 IF(Table13[[#This Row],[Quartile]]="SecondQuartile", 2,
 IF(Table13[[#This Row],[Quartile]]="ThirdQuartile", 3,
 IF(Table13[[#This Row],[Quartile]]="FourthQuartile", 4, ""))))</f>
        <v>2</v>
      </c>
      <c r="F322" s="9" t="s">
        <v>371</v>
      </c>
      <c r="G322" s="9" t="str" cm="1">
        <f t="array" ref="G322">IFERROR(
  INDEX(Table13[Quartile],
    MATCH(1,
      (Table13[[#This Row],[OrgName]]=Table13[OrgName]) *
      (Table13[[#This Row],[Month Number]]-1=Table13[Month Number]),
    0)
  ),
"")</f>
        <v>SecondQuartile</v>
      </c>
      <c r="H322" s="9">
        <f>IF(Table13[[#This Row],[Previous Quartile]]="TopQuartile", 1,
 IF(Table13[[#This Row],[Previous Quartile]]="SecondQuartile", 2,
 IF(Table13[[#This Row],[Previous Quartile]]="ThirdQuartile", 3,
 IF(Table13[[#This Row],[Previous Quartile]]="FourthQuartile", 4, ""))))</f>
        <v>2</v>
      </c>
      <c r="I322" s="9" t="str">
        <f>IF(Table13[[#This Row],[Previous Quartile Value]]="", "",
   IF(Table13[[#This Row],[Quartile Value]] &lt; Table13[[#This Row],[Previous Quartile Value]], "Improved",
   IF(Table13[[#This Row],[Quartile Value]] &gt; Table13[[#This Row],[Previous Quartile Value]], "Dropped", "Same")))</f>
        <v>Same</v>
      </c>
      <c r="J322" s="10" t="s">
        <v>22</v>
      </c>
      <c r="K322" s="7" t="str">
        <f>VLOOKUP(J322,Introduction!$B$6:$C$14,2)</f>
        <v>North West</v>
      </c>
      <c r="L322" s="10">
        <v>241</v>
      </c>
      <c r="M322" s="8" t="s">
        <v>359</v>
      </c>
    </row>
    <row r="323" spans="1:13" ht="19.95" customHeight="1" x14ac:dyDescent="0.25">
      <c r="A323" s="41">
        <v>45444</v>
      </c>
      <c r="B323" s="47">
        <f>MONTH(Table13[[#This Row],[YearMonth]])</f>
        <v>6</v>
      </c>
      <c r="C323" s="9" t="s">
        <v>169</v>
      </c>
      <c r="D323" s="6" t="s">
        <v>338</v>
      </c>
      <c r="E323" s="6">
        <f>IF(Table13[[#This Row],[Quartile]]="TopQuartile", 1,
 IF(Table13[[#This Row],[Quartile]]="SecondQuartile", 2,
 IF(Table13[[#This Row],[Quartile]]="ThirdQuartile", 3,
 IF(Table13[[#This Row],[Quartile]]="FourthQuartile", 4, ""))))</f>
        <v>2</v>
      </c>
      <c r="F323" s="9" t="s">
        <v>370</v>
      </c>
      <c r="G323" s="9" t="str" cm="1">
        <f t="array" ref="G323">IFERROR(
  INDEX(Table13[Quartile],
    MATCH(1,
      (Table13[[#This Row],[OrgName]]=Table13[OrgName]) *
      (Table13[[#This Row],[Month Number]]-1=Table13[Month Number]),
    0)
  ),
"")</f>
        <v>SecondQuartile</v>
      </c>
      <c r="H323" s="9">
        <f>IF(Table13[[#This Row],[Previous Quartile]]="TopQuartile", 1,
 IF(Table13[[#This Row],[Previous Quartile]]="SecondQuartile", 2,
 IF(Table13[[#This Row],[Previous Quartile]]="ThirdQuartile", 3,
 IF(Table13[[#This Row],[Previous Quartile]]="FourthQuartile", 4, ""))))</f>
        <v>2</v>
      </c>
      <c r="I323" s="9" t="str">
        <f>IF(Table13[[#This Row],[Previous Quartile Value]]="", "",
   IF(Table13[[#This Row],[Quartile Value]] &lt; Table13[[#This Row],[Previous Quartile Value]], "Improved",
   IF(Table13[[#This Row],[Quartile Value]] &gt; Table13[[#This Row],[Previous Quartile Value]], "Dropped", "Same")))</f>
        <v>Same</v>
      </c>
      <c r="J323" s="10" t="s">
        <v>16</v>
      </c>
      <c r="K323" s="7" t="str">
        <f>VLOOKUP(J323,Introduction!$B$6:$C$14,2)</f>
        <v>South East</v>
      </c>
      <c r="L323" s="10">
        <v>275</v>
      </c>
      <c r="M323" s="8" t="s">
        <v>359</v>
      </c>
    </row>
    <row r="324" spans="1:13" ht="19.95" customHeight="1" x14ac:dyDescent="0.25">
      <c r="A324" s="41">
        <v>45444</v>
      </c>
      <c r="B324" s="47">
        <f>MONTH(Table13[[#This Row],[YearMonth]])</f>
        <v>6</v>
      </c>
      <c r="C324" s="9" t="s">
        <v>188</v>
      </c>
      <c r="D324" s="6" t="s">
        <v>341</v>
      </c>
      <c r="E324" s="6">
        <f>IF(Table13[[#This Row],[Quartile]]="TopQuartile", 1,
 IF(Table13[[#This Row],[Quartile]]="SecondQuartile", 2,
 IF(Table13[[#This Row],[Quartile]]="ThirdQuartile", 3,
 IF(Table13[[#This Row],[Quartile]]="FourthQuartile", 4, ""))))</f>
        <v>3</v>
      </c>
      <c r="F324" s="9" t="s">
        <v>372</v>
      </c>
      <c r="G324" s="9" t="str" cm="1">
        <f t="array" ref="G324">IFERROR(
  INDEX(Table13[Quartile],
    MATCH(1,
      (Table13[[#This Row],[OrgName]]=Table13[OrgName]) *
      (Table13[[#This Row],[Month Number]]-1=Table13[Month Number]),
    0)
  ),
"")</f>
        <v>ThirdQuartile</v>
      </c>
      <c r="H324" s="9">
        <f>IF(Table13[[#This Row],[Previous Quartile]]="TopQuartile", 1,
 IF(Table13[[#This Row],[Previous Quartile]]="SecondQuartile", 2,
 IF(Table13[[#This Row],[Previous Quartile]]="ThirdQuartile", 3,
 IF(Table13[[#This Row],[Previous Quartile]]="FourthQuartile", 4, ""))))</f>
        <v>3</v>
      </c>
      <c r="I324" s="9" t="str">
        <f>IF(Table13[[#This Row],[Previous Quartile Value]]="", "",
   IF(Table13[[#This Row],[Quartile Value]] &lt; Table13[[#This Row],[Previous Quartile Value]], "Improved",
   IF(Table13[[#This Row],[Quartile Value]] &gt; Table13[[#This Row],[Previous Quartile Value]], "Dropped", "Same")))</f>
        <v>Same</v>
      </c>
      <c r="J324" s="10" t="s">
        <v>22</v>
      </c>
      <c r="K324" s="7" t="str">
        <f>VLOOKUP(J324,Introduction!$B$6:$C$14,2)</f>
        <v>North West</v>
      </c>
      <c r="L324" s="10">
        <v>362</v>
      </c>
      <c r="M324" s="8" t="s">
        <v>359</v>
      </c>
    </row>
    <row r="325" spans="1:13" ht="19.95" customHeight="1" x14ac:dyDescent="0.25">
      <c r="A325" s="41">
        <v>45444</v>
      </c>
      <c r="B325" s="47">
        <f>MONTH(Table13[[#This Row],[YearMonth]])</f>
        <v>6</v>
      </c>
      <c r="C325" s="9" t="s">
        <v>204</v>
      </c>
      <c r="D325" s="6" t="s">
        <v>341</v>
      </c>
      <c r="E325" s="6">
        <f>IF(Table13[[#This Row],[Quartile]]="TopQuartile", 1,
 IF(Table13[[#This Row],[Quartile]]="SecondQuartile", 2,
 IF(Table13[[#This Row],[Quartile]]="ThirdQuartile", 3,
 IF(Table13[[#This Row],[Quartile]]="FourthQuartile", 4, ""))))</f>
        <v>3</v>
      </c>
      <c r="F325" s="9" t="s">
        <v>375</v>
      </c>
      <c r="G325" s="9" t="str" cm="1">
        <f t="array" ref="G325">IFERROR(
  INDEX(Table13[Quartile],
    MATCH(1,
      (Table13[[#This Row],[OrgName]]=Table13[OrgName]) *
      (Table13[[#This Row],[Month Number]]-1=Table13[Month Number]),
    0)
  ),
"")</f>
        <v>ThirdQuartile</v>
      </c>
      <c r="H325" s="9">
        <f>IF(Table13[[#This Row],[Previous Quartile]]="TopQuartile", 1,
 IF(Table13[[#This Row],[Previous Quartile]]="SecondQuartile", 2,
 IF(Table13[[#This Row],[Previous Quartile]]="ThirdQuartile", 3,
 IF(Table13[[#This Row],[Previous Quartile]]="FourthQuartile", 4, ""))))</f>
        <v>3</v>
      </c>
      <c r="I325" s="9" t="str">
        <f>IF(Table13[[#This Row],[Previous Quartile Value]]="", "",
   IF(Table13[[#This Row],[Quartile Value]] &lt; Table13[[#This Row],[Previous Quartile Value]], "Improved",
   IF(Table13[[#This Row],[Quartile Value]] &gt; Table13[[#This Row],[Previous Quartile Value]], "Dropped", "Same")))</f>
        <v>Same</v>
      </c>
      <c r="J325" s="10" t="s">
        <v>14</v>
      </c>
      <c r="K325" s="7" t="str">
        <f>VLOOKUP(J325,Introduction!$B$6:$C$14,2)</f>
        <v>South West</v>
      </c>
      <c r="L325" s="10">
        <v>249</v>
      </c>
      <c r="M325" s="8" t="s">
        <v>359</v>
      </c>
    </row>
    <row r="326" spans="1:13" ht="19.95" customHeight="1" x14ac:dyDescent="0.25">
      <c r="A326" s="41">
        <v>45444</v>
      </c>
      <c r="B326" s="47">
        <f>MONTH(Table13[[#This Row],[YearMonth]])</f>
        <v>6</v>
      </c>
      <c r="C326" s="9" t="s">
        <v>203</v>
      </c>
      <c r="D326" s="6" t="s">
        <v>341</v>
      </c>
      <c r="E326" s="6">
        <f>IF(Table13[[#This Row],[Quartile]]="TopQuartile", 1,
 IF(Table13[[#This Row],[Quartile]]="SecondQuartile", 2,
 IF(Table13[[#This Row],[Quartile]]="ThirdQuartile", 3,
 IF(Table13[[#This Row],[Quartile]]="FourthQuartile", 4, ""))))</f>
        <v>3</v>
      </c>
      <c r="F326" s="9" t="s">
        <v>374</v>
      </c>
      <c r="G326" s="9" t="str" cm="1">
        <f t="array" ref="G326">IFERROR(
  INDEX(Table13[Quartile],
    MATCH(1,
      (Table13[[#This Row],[OrgName]]=Table13[OrgName]) *
      (Table13[[#This Row],[Month Number]]-1=Table13[Month Number]),
    0)
  ),
"")</f>
        <v>ThirdQuartile</v>
      </c>
      <c r="H326" s="9">
        <f>IF(Table13[[#This Row],[Previous Quartile]]="TopQuartile", 1,
 IF(Table13[[#This Row],[Previous Quartile]]="SecondQuartile", 2,
 IF(Table13[[#This Row],[Previous Quartile]]="ThirdQuartile", 3,
 IF(Table13[[#This Row],[Previous Quartile]]="FourthQuartile", 4, ""))))</f>
        <v>3</v>
      </c>
      <c r="I326" s="9" t="str">
        <f>IF(Table13[[#This Row],[Previous Quartile Value]]="", "",
   IF(Table13[[#This Row],[Quartile Value]] &lt; Table13[[#This Row],[Previous Quartile Value]], "Improved",
   IF(Table13[[#This Row],[Quartile Value]] &gt; Table13[[#This Row],[Previous Quartile Value]], "Dropped", "Same")))</f>
        <v>Same</v>
      </c>
      <c r="J326" s="10" t="s">
        <v>20</v>
      </c>
      <c r="K326" s="7" t="str">
        <f>VLOOKUP(J326,Introduction!$B$6:$C$14,2)</f>
        <v>East of England</v>
      </c>
      <c r="L326" s="10">
        <v>418</v>
      </c>
      <c r="M326" s="8" t="s">
        <v>359</v>
      </c>
    </row>
    <row r="327" spans="1:13" ht="19.95" customHeight="1" x14ac:dyDescent="0.25">
      <c r="A327" s="41">
        <v>45444</v>
      </c>
      <c r="B327" s="47">
        <f>MONTH(Table13[[#This Row],[YearMonth]])</f>
        <v>6</v>
      </c>
      <c r="C327" s="9" t="s">
        <v>202</v>
      </c>
      <c r="D327" s="6" t="s">
        <v>341</v>
      </c>
      <c r="E327" s="6">
        <f>IF(Table13[[#This Row],[Quartile]]="TopQuartile", 1,
 IF(Table13[[#This Row],[Quartile]]="SecondQuartile", 2,
 IF(Table13[[#This Row],[Quartile]]="ThirdQuartile", 3,
 IF(Table13[[#This Row],[Quartile]]="FourthQuartile", 4, ""))))</f>
        <v>3</v>
      </c>
      <c r="F327" s="9" t="s">
        <v>373</v>
      </c>
      <c r="G327" s="9" t="str" cm="1">
        <f t="array" ref="G327">IFERROR(
  INDEX(Table13[Quartile],
    MATCH(1,
      (Table13[[#This Row],[OrgName]]=Table13[OrgName]) *
      (Table13[[#This Row],[Month Number]]-1=Table13[Month Number]),
    0)
  ),
"")</f>
        <v>ThirdQuartile</v>
      </c>
      <c r="H327" s="9">
        <f>IF(Table13[[#This Row],[Previous Quartile]]="TopQuartile", 1,
 IF(Table13[[#This Row],[Previous Quartile]]="SecondQuartile", 2,
 IF(Table13[[#This Row],[Previous Quartile]]="ThirdQuartile", 3,
 IF(Table13[[#This Row],[Previous Quartile]]="FourthQuartile", 4, ""))))</f>
        <v>3</v>
      </c>
      <c r="I327" s="9" t="str">
        <f>IF(Table13[[#This Row],[Previous Quartile Value]]="", "",
   IF(Table13[[#This Row],[Quartile Value]] &lt; Table13[[#This Row],[Previous Quartile Value]], "Improved",
   IF(Table13[[#This Row],[Quartile Value]] &gt; Table13[[#This Row],[Previous Quartile Value]], "Dropped", "Same")))</f>
        <v>Same</v>
      </c>
      <c r="J327" s="10" t="s">
        <v>24</v>
      </c>
      <c r="K327" s="7" t="str">
        <f>VLOOKUP(J327,Introduction!$B$6:$C$14,2)</f>
        <v>North East and Yorkshire</v>
      </c>
      <c r="L327" s="10">
        <v>262</v>
      </c>
      <c r="M327" s="8" t="s">
        <v>359</v>
      </c>
    </row>
    <row r="328" spans="1:13" ht="19.95" customHeight="1" x14ac:dyDescent="0.25">
      <c r="A328" s="41">
        <v>45444</v>
      </c>
      <c r="B328" s="47">
        <f>MONTH(Table13[[#This Row],[YearMonth]])</f>
        <v>6</v>
      </c>
      <c r="C328" s="9" t="s">
        <v>227</v>
      </c>
      <c r="D328" s="6" t="s">
        <v>341</v>
      </c>
      <c r="E328" s="6">
        <f>IF(Table13[[#This Row],[Quartile]]="TopQuartile", 1,
 IF(Table13[[#This Row],[Quartile]]="SecondQuartile", 2,
 IF(Table13[[#This Row],[Quartile]]="ThirdQuartile", 3,
 IF(Table13[[#This Row],[Quartile]]="FourthQuartile", 4, ""))))</f>
        <v>3</v>
      </c>
      <c r="F328" s="9" t="s">
        <v>376</v>
      </c>
      <c r="G328" s="9" t="str" cm="1">
        <f t="array" ref="G328">IFERROR(
  INDEX(Table13[Quartile],
    MATCH(1,
      (Table13[[#This Row],[OrgName]]=Table13[OrgName]) *
      (Table13[[#This Row],[Month Number]]-1=Table13[Month Number]),
    0)
  ),
"")</f>
        <v>FourthQuartile</v>
      </c>
      <c r="H328" s="9">
        <f>IF(Table13[[#This Row],[Previous Quartile]]="TopQuartile", 1,
 IF(Table13[[#This Row],[Previous Quartile]]="SecondQuartile", 2,
 IF(Table13[[#This Row],[Previous Quartile]]="ThirdQuartile", 3,
 IF(Table13[[#This Row],[Previous Quartile]]="FourthQuartile", 4, ""))))</f>
        <v>4</v>
      </c>
      <c r="I328" s="9" t="str">
        <f>IF(Table13[[#This Row],[Previous Quartile Value]]="", "",
   IF(Table13[[#This Row],[Quartile Value]] &lt; Table13[[#This Row],[Previous Quartile Value]], "Improved",
   IF(Table13[[#This Row],[Quartile Value]] &gt; Table13[[#This Row],[Previous Quartile Value]], "Dropped", "Same")))</f>
        <v>Improved</v>
      </c>
      <c r="J328" s="10" t="s">
        <v>22</v>
      </c>
      <c r="K328" s="7" t="str">
        <f>VLOOKUP(J328,Introduction!$B$6:$C$14,2)</f>
        <v>North West</v>
      </c>
      <c r="L328" s="10">
        <v>302</v>
      </c>
      <c r="M328" s="8" t="s">
        <v>359</v>
      </c>
    </row>
    <row r="329" spans="1:13" ht="19.95" customHeight="1" x14ac:dyDescent="0.25">
      <c r="A329" s="41">
        <v>45444</v>
      </c>
      <c r="B329" s="47">
        <f>MONTH(Table13[[#This Row],[YearMonth]])</f>
        <v>6</v>
      </c>
      <c r="C329" s="9" t="s">
        <v>242</v>
      </c>
      <c r="D329" s="6" t="s">
        <v>341</v>
      </c>
      <c r="E329" s="6">
        <f>IF(Table13[[#This Row],[Quartile]]="TopQuartile", 1,
 IF(Table13[[#This Row],[Quartile]]="SecondQuartile", 2,
 IF(Table13[[#This Row],[Quartile]]="ThirdQuartile", 3,
 IF(Table13[[#This Row],[Quartile]]="FourthQuartile", 4, ""))))</f>
        <v>3</v>
      </c>
      <c r="F329" s="9" t="s">
        <v>377</v>
      </c>
      <c r="G329" s="9" t="str" cm="1">
        <f t="array" ref="G329">IFERROR(
  INDEX(Table13[Quartile],
    MATCH(1,
      (Table13[[#This Row],[OrgName]]=Table13[OrgName]) *
      (Table13[[#This Row],[Month Number]]-1=Table13[Month Number]),
    0)
  ),
"")</f>
        <v>FourthQuartile</v>
      </c>
      <c r="H329" s="9">
        <f>IF(Table13[[#This Row],[Previous Quartile]]="TopQuartile", 1,
 IF(Table13[[#This Row],[Previous Quartile]]="SecondQuartile", 2,
 IF(Table13[[#This Row],[Previous Quartile]]="ThirdQuartile", 3,
 IF(Table13[[#This Row],[Previous Quartile]]="FourthQuartile", 4, ""))))</f>
        <v>4</v>
      </c>
      <c r="I329" s="9" t="str">
        <f>IF(Table13[[#This Row],[Previous Quartile Value]]="", "",
   IF(Table13[[#This Row],[Quartile Value]] &lt; Table13[[#This Row],[Previous Quartile Value]], "Improved",
   IF(Table13[[#This Row],[Quartile Value]] &gt; Table13[[#This Row],[Previous Quartile Value]], "Dropped", "Same")))</f>
        <v>Improved</v>
      </c>
      <c r="J329" s="10" t="s">
        <v>16</v>
      </c>
      <c r="K329" s="7" t="str">
        <f>VLOOKUP(J329,Introduction!$B$6:$C$14,2)</f>
        <v>South East</v>
      </c>
      <c r="L329" s="10">
        <v>323</v>
      </c>
      <c r="M329" s="8" t="s">
        <v>359</v>
      </c>
    </row>
    <row r="330" spans="1:13" ht="19.95" customHeight="1" x14ac:dyDescent="0.25">
      <c r="A330" s="41">
        <v>45444</v>
      </c>
      <c r="B330" s="47">
        <f>MONTH(Table13[[#This Row],[YearMonth]])</f>
        <v>6</v>
      </c>
      <c r="C330" s="9" t="s">
        <v>252</v>
      </c>
      <c r="D330" s="6" t="s">
        <v>350</v>
      </c>
      <c r="E330" s="6">
        <f>IF(Table13[[#This Row],[Quartile]]="TopQuartile", 1,
 IF(Table13[[#This Row],[Quartile]]="SecondQuartile", 2,
 IF(Table13[[#This Row],[Quartile]]="ThirdQuartile", 3,
 IF(Table13[[#This Row],[Quartile]]="FourthQuartile", 4, ""))))</f>
        <v>4</v>
      </c>
      <c r="F330" s="9" t="s">
        <v>378</v>
      </c>
      <c r="G330" s="9" t="str" cm="1">
        <f t="array" ref="G330">IFERROR(
  INDEX(Table13[Quartile],
    MATCH(1,
      (Table13[[#This Row],[OrgName]]=Table13[OrgName]) *
      (Table13[[#This Row],[Month Number]]-1=Table13[Month Number]),
    0)
  ),
"")</f>
        <v>FourthQuartile</v>
      </c>
      <c r="H330" s="9">
        <f>IF(Table13[[#This Row],[Previous Quartile]]="TopQuartile", 1,
 IF(Table13[[#This Row],[Previous Quartile]]="SecondQuartile", 2,
 IF(Table13[[#This Row],[Previous Quartile]]="ThirdQuartile", 3,
 IF(Table13[[#This Row],[Previous Quartile]]="FourthQuartile", 4, ""))))</f>
        <v>4</v>
      </c>
      <c r="I330" s="9" t="str">
        <f>IF(Table13[[#This Row],[Previous Quartile Value]]="", "",
   IF(Table13[[#This Row],[Quartile Value]] &lt; Table13[[#This Row],[Previous Quartile Value]], "Improved",
   IF(Table13[[#This Row],[Quartile Value]] &gt; Table13[[#This Row],[Previous Quartile Value]], "Dropped", "Same")))</f>
        <v>Same</v>
      </c>
      <c r="J330" s="10" t="s">
        <v>18</v>
      </c>
      <c r="K330" s="7" t="str">
        <f>VLOOKUP(J330,Introduction!$B$6:$C$14,2)</f>
        <v>Midlands</v>
      </c>
      <c r="L330" s="10">
        <v>253</v>
      </c>
      <c r="M330" s="8" t="s">
        <v>359</v>
      </c>
    </row>
    <row r="331" spans="1:13" ht="19.95" customHeight="1" x14ac:dyDescent="0.25">
      <c r="A331" s="41">
        <v>45444</v>
      </c>
      <c r="B331" s="47">
        <f>MONTH(Table13[[#This Row],[YearMonth]])</f>
        <v>6</v>
      </c>
      <c r="C331" s="9" t="s">
        <v>138</v>
      </c>
      <c r="D331" s="6" t="s">
        <v>330</v>
      </c>
      <c r="E331" s="6">
        <f>IF(Table13[[#This Row],[Quartile]]="TopQuartile", 1,
 IF(Table13[[#This Row],[Quartile]]="SecondQuartile", 2,
 IF(Table13[[#This Row],[Quartile]]="ThirdQuartile", 3,
 IF(Table13[[#This Row],[Quartile]]="FourthQuartile", 4, ""))))</f>
        <v>1</v>
      </c>
      <c r="F331" s="9" t="s">
        <v>382</v>
      </c>
      <c r="G331" s="9" t="str" cm="1">
        <f t="array" ref="G331">IFERROR(
  INDEX(Table13[Quartile],
    MATCH(1,
      (Table13[[#This Row],[OrgName]]=Table13[OrgName]) *
      (Table13[[#This Row],[Month Number]]-1=Table13[Month Number]),
    0)
  ),
"")</f>
        <v>TopQuartile</v>
      </c>
      <c r="H331" s="9">
        <f>IF(Table13[[#This Row],[Previous Quartile]]="TopQuartile", 1,
 IF(Table13[[#This Row],[Previous Quartile]]="SecondQuartile", 2,
 IF(Table13[[#This Row],[Previous Quartile]]="ThirdQuartile", 3,
 IF(Table13[[#This Row],[Previous Quartile]]="FourthQuartile", 4, ""))))</f>
        <v>1</v>
      </c>
      <c r="I331" s="9" t="str">
        <f>IF(Table13[[#This Row],[Previous Quartile Value]]="", "",
   IF(Table13[[#This Row],[Quartile Value]] &lt; Table13[[#This Row],[Previous Quartile Value]], "Improved",
   IF(Table13[[#This Row],[Quartile Value]] &gt; Table13[[#This Row],[Previous Quartile Value]], "Dropped", "Same")))</f>
        <v>Same</v>
      </c>
      <c r="J331" s="10" t="s">
        <v>24</v>
      </c>
      <c r="K331" s="7" t="str">
        <f>VLOOKUP(J331,Introduction!$B$6:$C$14,2)</f>
        <v>North East and Yorkshire</v>
      </c>
      <c r="L331" s="10">
        <v>439</v>
      </c>
      <c r="M331" s="8" t="s">
        <v>380</v>
      </c>
    </row>
    <row r="332" spans="1:13" ht="19.95" customHeight="1" x14ac:dyDescent="0.25">
      <c r="A332" s="41">
        <v>45444</v>
      </c>
      <c r="B332" s="47">
        <f>MONTH(Table13[[#This Row],[YearMonth]])</f>
        <v>6</v>
      </c>
      <c r="C332" s="9" t="s">
        <v>104</v>
      </c>
      <c r="D332" s="6" t="s">
        <v>330</v>
      </c>
      <c r="E332" s="6">
        <f>IF(Table13[[#This Row],[Quartile]]="TopQuartile", 1,
 IF(Table13[[#This Row],[Quartile]]="SecondQuartile", 2,
 IF(Table13[[#This Row],[Quartile]]="ThirdQuartile", 3,
 IF(Table13[[#This Row],[Quartile]]="FourthQuartile", 4, ""))))</f>
        <v>1</v>
      </c>
      <c r="F332" s="9" t="s">
        <v>379</v>
      </c>
      <c r="G332" s="9" t="str" cm="1">
        <f t="array" ref="G332">IFERROR(
  INDEX(Table13[Quartile],
    MATCH(1,
      (Table13[[#This Row],[OrgName]]=Table13[OrgName]) *
      (Table13[[#This Row],[Month Number]]-1=Table13[Month Number]),
    0)
  ),
"")</f>
        <v>TopQuartile</v>
      </c>
      <c r="H332" s="9">
        <f>IF(Table13[[#This Row],[Previous Quartile]]="TopQuartile", 1,
 IF(Table13[[#This Row],[Previous Quartile]]="SecondQuartile", 2,
 IF(Table13[[#This Row],[Previous Quartile]]="ThirdQuartile", 3,
 IF(Table13[[#This Row],[Previous Quartile]]="FourthQuartile", 4, ""))))</f>
        <v>1</v>
      </c>
      <c r="I332" s="9" t="str">
        <f>IF(Table13[[#This Row],[Previous Quartile Value]]="", "",
   IF(Table13[[#This Row],[Quartile Value]] &lt; Table13[[#This Row],[Previous Quartile Value]], "Improved",
   IF(Table13[[#This Row],[Quartile Value]] &gt; Table13[[#This Row],[Previous Quartile Value]], "Dropped", "Same")))</f>
        <v>Same</v>
      </c>
      <c r="J332" s="10" t="s">
        <v>16</v>
      </c>
      <c r="K332" s="7" t="str">
        <f>VLOOKUP(J332,Introduction!$B$6:$C$14,2)</f>
        <v>South East</v>
      </c>
      <c r="L332" s="10">
        <v>434</v>
      </c>
      <c r="M332" s="8" t="s">
        <v>380</v>
      </c>
    </row>
    <row r="333" spans="1:13" ht="19.95" customHeight="1" x14ac:dyDescent="0.25">
      <c r="A333" s="41">
        <v>45444</v>
      </c>
      <c r="B333" s="47">
        <f>MONTH(Table13[[#This Row],[YearMonth]])</f>
        <v>6</v>
      </c>
      <c r="C333" s="9" t="s">
        <v>106</v>
      </c>
      <c r="D333" s="6" t="s">
        <v>338</v>
      </c>
      <c r="E333" s="6">
        <f>IF(Table13[[#This Row],[Quartile]]="TopQuartile", 1,
 IF(Table13[[#This Row],[Quartile]]="SecondQuartile", 2,
 IF(Table13[[#This Row],[Quartile]]="ThirdQuartile", 3,
 IF(Table13[[#This Row],[Quartile]]="FourthQuartile", 4, ""))))</f>
        <v>2</v>
      </c>
      <c r="F333" s="9" t="s">
        <v>381</v>
      </c>
      <c r="G333" s="9" t="str" cm="1">
        <f t="array" ref="G333">IFERROR(
  INDEX(Table13[Quartile],
    MATCH(1,
      (Table13[[#This Row],[OrgName]]=Table13[OrgName]) *
      (Table13[[#This Row],[Month Number]]-1=Table13[Month Number]),
    0)
  ),
"")</f>
        <v>TopQuartile</v>
      </c>
      <c r="H333" s="9">
        <f>IF(Table13[[#This Row],[Previous Quartile]]="TopQuartile", 1,
 IF(Table13[[#This Row],[Previous Quartile]]="SecondQuartile", 2,
 IF(Table13[[#This Row],[Previous Quartile]]="ThirdQuartile", 3,
 IF(Table13[[#This Row],[Previous Quartile]]="FourthQuartile", 4, ""))))</f>
        <v>1</v>
      </c>
      <c r="I333" s="9" t="str">
        <f>IF(Table13[[#This Row],[Previous Quartile Value]]="", "",
   IF(Table13[[#This Row],[Quartile Value]] &lt; Table13[[#This Row],[Previous Quartile Value]], "Improved",
   IF(Table13[[#This Row],[Quartile Value]] &gt; Table13[[#This Row],[Previous Quartile Value]], "Dropped", "Same")))</f>
        <v>Dropped</v>
      </c>
      <c r="J333" s="10" t="s">
        <v>14</v>
      </c>
      <c r="K333" s="7" t="str">
        <f>VLOOKUP(J333,Introduction!$B$6:$C$14,2)</f>
        <v>South West</v>
      </c>
      <c r="L333" s="10">
        <v>388</v>
      </c>
      <c r="M333" s="8" t="s">
        <v>380</v>
      </c>
    </row>
    <row r="334" spans="1:13" ht="19.95" customHeight="1" x14ac:dyDescent="0.25">
      <c r="A334" s="41">
        <v>45444</v>
      </c>
      <c r="B334" s="47">
        <f>MONTH(Table13[[#This Row],[YearMonth]])</f>
        <v>6</v>
      </c>
      <c r="C334" s="9" t="s">
        <v>148</v>
      </c>
      <c r="D334" s="6" t="s">
        <v>338</v>
      </c>
      <c r="E334" s="6">
        <f>IF(Table13[[#This Row],[Quartile]]="TopQuartile", 1,
 IF(Table13[[#This Row],[Quartile]]="SecondQuartile", 2,
 IF(Table13[[#This Row],[Quartile]]="ThirdQuartile", 3,
 IF(Table13[[#This Row],[Quartile]]="FourthQuartile", 4, ""))))</f>
        <v>2</v>
      </c>
      <c r="F334" s="9" t="s">
        <v>383</v>
      </c>
      <c r="G334" s="9" t="str" cm="1">
        <f t="array" ref="G334">IFERROR(
  INDEX(Table13[Quartile],
    MATCH(1,
      (Table13[[#This Row],[OrgName]]=Table13[OrgName]) *
      (Table13[[#This Row],[Month Number]]-1=Table13[Month Number]),
    0)
  ),
"")</f>
        <v>SecondQuartile</v>
      </c>
      <c r="H334" s="9">
        <f>IF(Table13[[#This Row],[Previous Quartile]]="TopQuartile", 1,
 IF(Table13[[#This Row],[Previous Quartile]]="SecondQuartile", 2,
 IF(Table13[[#This Row],[Previous Quartile]]="ThirdQuartile", 3,
 IF(Table13[[#This Row],[Previous Quartile]]="FourthQuartile", 4, ""))))</f>
        <v>2</v>
      </c>
      <c r="I334" s="9" t="str">
        <f>IF(Table13[[#This Row],[Previous Quartile Value]]="", "",
   IF(Table13[[#This Row],[Quartile Value]] &lt; Table13[[#This Row],[Previous Quartile Value]], "Improved",
   IF(Table13[[#This Row],[Quartile Value]] &gt; Table13[[#This Row],[Previous Quartile Value]], "Dropped", "Same")))</f>
        <v>Same</v>
      </c>
      <c r="J334" s="10" t="s">
        <v>18</v>
      </c>
      <c r="K334" s="7" t="str">
        <f>VLOOKUP(J334,Introduction!$B$6:$C$14,2)</f>
        <v>Midlands</v>
      </c>
      <c r="L334" s="10">
        <v>229</v>
      </c>
      <c r="M334" s="8" t="s">
        <v>380</v>
      </c>
    </row>
    <row r="335" spans="1:13" ht="19.95" customHeight="1" x14ac:dyDescent="0.25">
      <c r="A335" s="41">
        <v>45444</v>
      </c>
      <c r="B335" s="47">
        <f>MONTH(Table13[[#This Row],[YearMonth]])</f>
        <v>6</v>
      </c>
      <c r="C335" s="9" t="s">
        <v>243</v>
      </c>
      <c r="D335" s="6" t="s">
        <v>338</v>
      </c>
      <c r="E335" s="6">
        <f>IF(Table13[[#This Row],[Quartile]]="TopQuartile", 1,
 IF(Table13[[#This Row],[Quartile]]="SecondQuartile", 2,
 IF(Table13[[#This Row],[Quartile]]="ThirdQuartile", 3,
 IF(Table13[[#This Row],[Quartile]]="FourthQuartile", 4, ""))))</f>
        <v>2</v>
      </c>
      <c r="F335" s="9" t="s">
        <v>385</v>
      </c>
      <c r="G335" s="9" t="str" cm="1">
        <f t="array" ref="G335">IFERROR(
  INDEX(Table13[Quartile],
    MATCH(1,
      (Table13[[#This Row],[OrgName]]=Table13[OrgName]) *
      (Table13[[#This Row],[Month Number]]-1=Table13[Month Number]),
    0)
  ),
"")</f>
        <v>SecondQuartile</v>
      </c>
      <c r="H335" s="9">
        <f>IF(Table13[[#This Row],[Previous Quartile]]="TopQuartile", 1,
 IF(Table13[[#This Row],[Previous Quartile]]="SecondQuartile", 2,
 IF(Table13[[#This Row],[Previous Quartile]]="ThirdQuartile", 3,
 IF(Table13[[#This Row],[Previous Quartile]]="FourthQuartile", 4, ""))))</f>
        <v>2</v>
      </c>
      <c r="I335" s="9" t="str">
        <f>IF(Table13[[#This Row],[Previous Quartile Value]]="", "",
   IF(Table13[[#This Row],[Quartile Value]] &lt; Table13[[#This Row],[Previous Quartile Value]], "Improved",
   IF(Table13[[#This Row],[Quartile Value]] &gt; Table13[[#This Row],[Previous Quartile Value]], "Dropped", "Same")))</f>
        <v>Same</v>
      </c>
      <c r="J335" s="10" t="s">
        <v>16</v>
      </c>
      <c r="K335" s="7" t="str">
        <f>VLOOKUP(J335,Introduction!$B$6:$C$14,2)</f>
        <v>South East</v>
      </c>
      <c r="L335" s="10">
        <v>470</v>
      </c>
      <c r="M335" s="8" t="s">
        <v>380</v>
      </c>
    </row>
    <row r="336" spans="1:13" ht="19.95" customHeight="1" x14ac:dyDescent="0.25">
      <c r="A336" s="41">
        <v>45444</v>
      </c>
      <c r="B336" s="47">
        <f>MONTH(Table13[[#This Row],[YearMonth]])</f>
        <v>6</v>
      </c>
      <c r="C336" s="9" t="s">
        <v>164</v>
      </c>
      <c r="D336" s="6" t="s">
        <v>338</v>
      </c>
      <c r="E336" s="6">
        <f>IF(Table13[[#This Row],[Quartile]]="TopQuartile", 1,
 IF(Table13[[#This Row],[Quartile]]="SecondQuartile", 2,
 IF(Table13[[#This Row],[Quartile]]="ThirdQuartile", 3,
 IF(Table13[[#This Row],[Quartile]]="FourthQuartile", 4, ""))))</f>
        <v>2</v>
      </c>
      <c r="F336" s="9" t="s">
        <v>384</v>
      </c>
      <c r="G336" s="9" t="str" cm="1">
        <f t="array" ref="G336">IFERROR(
  INDEX(Table13[Quartile],
    MATCH(1,
      (Table13[[#This Row],[OrgName]]=Table13[OrgName]) *
      (Table13[[#This Row],[Month Number]]-1=Table13[Month Number]),
    0)
  ),
"")</f>
        <v>ThirdQuartile</v>
      </c>
      <c r="H336" s="9">
        <f>IF(Table13[[#This Row],[Previous Quartile]]="TopQuartile", 1,
 IF(Table13[[#This Row],[Previous Quartile]]="SecondQuartile", 2,
 IF(Table13[[#This Row],[Previous Quartile]]="ThirdQuartile", 3,
 IF(Table13[[#This Row],[Previous Quartile]]="FourthQuartile", 4, ""))))</f>
        <v>3</v>
      </c>
      <c r="I336" s="9" t="str">
        <f>IF(Table13[[#This Row],[Previous Quartile Value]]="", "",
   IF(Table13[[#This Row],[Quartile Value]] &lt; Table13[[#This Row],[Previous Quartile Value]], "Improved",
   IF(Table13[[#This Row],[Quartile Value]] &gt; Table13[[#This Row],[Previous Quartile Value]], "Dropped", "Same")))</f>
        <v>Improved</v>
      </c>
      <c r="J336" s="10" t="s">
        <v>14</v>
      </c>
      <c r="K336" s="7" t="str">
        <f>VLOOKUP(J336,Introduction!$B$6:$C$14,2)</f>
        <v>South West</v>
      </c>
      <c r="L336" s="10">
        <v>184</v>
      </c>
      <c r="M336" s="8" t="s">
        <v>380</v>
      </c>
    </row>
    <row r="337" spans="1:13" ht="19.95" customHeight="1" x14ac:dyDescent="0.25">
      <c r="A337" s="41">
        <v>45444</v>
      </c>
      <c r="B337" s="47">
        <f>MONTH(Table13[[#This Row],[YearMonth]])</f>
        <v>6</v>
      </c>
      <c r="C337" s="9" t="s">
        <v>310</v>
      </c>
      <c r="D337" s="6" t="s">
        <v>350</v>
      </c>
      <c r="E337" s="6">
        <f>IF(Table13[[#This Row],[Quartile]]="TopQuartile", 1,
 IF(Table13[[#This Row],[Quartile]]="SecondQuartile", 2,
 IF(Table13[[#This Row],[Quartile]]="ThirdQuartile", 3,
 IF(Table13[[#This Row],[Quartile]]="FourthQuartile", 4, ""))))</f>
        <v>4</v>
      </c>
      <c r="F337" s="9" t="s">
        <v>386</v>
      </c>
      <c r="G337" s="9" t="str" cm="1">
        <f t="array" ref="G337">IFERROR(
  INDEX(Table13[Quartile],
    MATCH(1,
      (Table13[[#This Row],[OrgName]]=Table13[OrgName]) *
      (Table13[[#This Row],[Month Number]]-1=Table13[Month Number]),
    0)
  ),
"")</f>
        <v>FourthQuartile</v>
      </c>
      <c r="H337" s="9">
        <f>IF(Table13[[#This Row],[Previous Quartile]]="TopQuartile", 1,
 IF(Table13[[#This Row],[Previous Quartile]]="SecondQuartile", 2,
 IF(Table13[[#This Row],[Previous Quartile]]="ThirdQuartile", 3,
 IF(Table13[[#This Row],[Previous Quartile]]="FourthQuartile", 4, ""))))</f>
        <v>4</v>
      </c>
      <c r="I337" s="9" t="str">
        <f>IF(Table13[[#This Row],[Previous Quartile Value]]="", "",
   IF(Table13[[#This Row],[Quartile Value]] &lt; Table13[[#This Row],[Previous Quartile Value]], "Improved",
   IF(Table13[[#This Row],[Quartile Value]] &gt; Table13[[#This Row],[Previous Quartile Value]], "Dropped", "Same")))</f>
        <v>Same</v>
      </c>
      <c r="J337" s="10" t="s">
        <v>12</v>
      </c>
      <c r="K337" s="7" t="str">
        <f>VLOOKUP(J337,Introduction!$B$6:$C$14,2)</f>
        <v>London</v>
      </c>
      <c r="L337" s="10">
        <v>220</v>
      </c>
      <c r="M337" s="8" t="s">
        <v>380</v>
      </c>
    </row>
    <row r="338" spans="1:13" ht="19.95" customHeight="1" x14ac:dyDescent="0.25">
      <c r="A338" s="41">
        <v>45444</v>
      </c>
      <c r="B338" s="47">
        <f>MONTH(Table13[[#This Row],[YearMonth]])</f>
        <v>6</v>
      </c>
      <c r="C338" s="9" t="s">
        <v>43</v>
      </c>
      <c r="D338" s="6" t="s">
        <v>330</v>
      </c>
      <c r="E338" s="6">
        <f>IF(Table13[[#This Row],[Quartile]]="TopQuartile", 1,
 IF(Table13[[#This Row],[Quartile]]="SecondQuartile", 2,
 IF(Table13[[#This Row],[Quartile]]="ThirdQuartile", 3,
 IF(Table13[[#This Row],[Quartile]]="FourthQuartile", 4, ""))))</f>
        <v>1</v>
      </c>
      <c r="F338" s="9" t="s">
        <v>389</v>
      </c>
      <c r="G338" s="9" t="str" cm="1">
        <f t="array" ref="G338">IFERROR(
  INDEX(Table13[Quartile],
    MATCH(1,
      (Table13[[#This Row],[OrgName]]=Table13[OrgName]) *
      (Table13[[#This Row],[Month Number]]-1=Table13[Month Number]),
    0)
  ),
"")</f>
        <v>TopQuartile</v>
      </c>
      <c r="H338" s="9">
        <f>IF(Table13[[#This Row],[Previous Quartile]]="TopQuartile", 1,
 IF(Table13[[#This Row],[Previous Quartile]]="SecondQuartile", 2,
 IF(Table13[[#This Row],[Previous Quartile]]="ThirdQuartile", 3,
 IF(Table13[[#This Row],[Previous Quartile]]="FourthQuartile", 4, ""))))</f>
        <v>1</v>
      </c>
      <c r="I338" s="9" t="str">
        <f>IF(Table13[[#This Row],[Previous Quartile Value]]="", "",
   IF(Table13[[#This Row],[Quartile Value]] &lt; Table13[[#This Row],[Previous Quartile Value]], "Improved",
   IF(Table13[[#This Row],[Quartile Value]] &gt; Table13[[#This Row],[Previous Quartile Value]], "Dropped", "Same")))</f>
        <v>Same</v>
      </c>
      <c r="J338" s="10" t="s">
        <v>24</v>
      </c>
      <c r="K338" s="7" t="str">
        <f>VLOOKUP(J338,Introduction!$B$6:$C$14,2)</f>
        <v>North East and Yorkshire</v>
      </c>
      <c r="L338" s="10">
        <v>423</v>
      </c>
      <c r="M338" s="8" t="s">
        <v>388</v>
      </c>
    </row>
    <row r="339" spans="1:13" ht="19.95" customHeight="1" x14ac:dyDescent="0.25">
      <c r="A339" s="41">
        <v>45444</v>
      </c>
      <c r="B339" s="47">
        <f>MONTH(Table13[[#This Row],[YearMonth]])</f>
        <v>6</v>
      </c>
      <c r="C339" s="9" t="s">
        <v>39</v>
      </c>
      <c r="D339" s="6" t="s">
        <v>330</v>
      </c>
      <c r="E339" s="6">
        <f>IF(Table13[[#This Row],[Quartile]]="TopQuartile", 1,
 IF(Table13[[#This Row],[Quartile]]="SecondQuartile", 2,
 IF(Table13[[#This Row],[Quartile]]="ThirdQuartile", 3,
 IF(Table13[[#This Row],[Quartile]]="FourthQuartile", 4, ""))))</f>
        <v>1</v>
      </c>
      <c r="F339" s="9" t="s">
        <v>387</v>
      </c>
      <c r="G339" s="9" t="str" cm="1">
        <f t="array" ref="G339">IFERROR(
  INDEX(Table13[Quartile],
    MATCH(1,
      (Table13[[#This Row],[OrgName]]=Table13[OrgName]) *
      (Table13[[#This Row],[Month Number]]-1=Table13[Month Number]),
    0)
  ),
"")</f>
        <v>TopQuartile</v>
      </c>
      <c r="H339" s="9">
        <f>IF(Table13[[#This Row],[Previous Quartile]]="TopQuartile", 1,
 IF(Table13[[#This Row],[Previous Quartile]]="SecondQuartile", 2,
 IF(Table13[[#This Row],[Previous Quartile]]="ThirdQuartile", 3,
 IF(Table13[[#This Row],[Previous Quartile]]="FourthQuartile", 4, ""))))</f>
        <v>1</v>
      </c>
      <c r="I339" s="9" t="str">
        <f>IF(Table13[[#This Row],[Previous Quartile Value]]="", "",
   IF(Table13[[#This Row],[Quartile Value]] &lt; Table13[[#This Row],[Previous Quartile Value]], "Improved",
   IF(Table13[[#This Row],[Quartile Value]] &gt; Table13[[#This Row],[Previous Quartile Value]], "Dropped", "Same")))</f>
        <v>Same</v>
      </c>
      <c r="J339" s="10" t="s">
        <v>24</v>
      </c>
      <c r="K339" s="7" t="str">
        <f>VLOOKUP(J339,Introduction!$B$6:$C$14,2)</f>
        <v>North East and Yorkshire</v>
      </c>
      <c r="L339" s="10">
        <v>163</v>
      </c>
      <c r="M339" s="8" t="s">
        <v>388</v>
      </c>
    </row>
    <row r="340" spans="1:13" ht="19.95" customHeight="1" x14ac:dyDescent="0.25">
      <c r="A340" s="41">
        <v>45444</v>
      </c>
      <c r="B340" s="47">
        <f>MONTH(Table13[[#This Row],[YearMonth]])</f>
        <v>6</v>
      </c>
      <c r="C340" s="9" t="s">
        <v>53</v>
      </c>
      <c r="D340" s="6" t="s">
        <v>330</v>
      </c>
      <c r="E340" s="6">
        <f>IF(Table13[[#This Row],[Quartile]]="TopQuartile", 1,
 IF(Table13[[#This Row],[Quartile]]="SecondQuartile", 2,
 IF(Table13[[#This Row],[Quartile]]="ThirdQuartile", 3,
 IF(Table13[[#This Row],[Quartile]]="FourthQuartile", 4, ""))))</f>
        <v>1</v>
      </c>
      <c r="F340" s="9" t="s">
        <v>390</v>
      </c>
      <c r="G340" s="9" t="str" cm="1">
        <f t="array" ref="G340">IFERROR(
  INDEX(Table13[Quartile],
    MATCH(1,
      (Table13[[#This Row],[OrgName]]=Table13[OrgName]) *
      (Table13[[#This Row],[Month Number]]-1=Table13[Month Number]),
    0)
  ),
"")</f>
        <v>TopQuartile</v>
      </c>
      <c r="H340" s="9">
        <f>IF(Table13[[#This Row],[Previous Quartile]]="TopQuartile", 1,
 IF(Table13[[#This Row],[Previous Quartile]]="SecondQuartile", 2,
 IF(Table13[[#This Row],[Previous Quartile]]="ThirdQuartile", 3,
 IF(Table13[[#This Row],[Previous Quartile]]="FourthQuartile", 4, ""))))</f>
        <v>1</v>
      </c>
      <c r="I340" s="9" t="str">
        <f>IF(Table13[[#This Row],[Previous Quartile Value]]="", "",
   IF(Table13[[#This Row],[Quartile Value]] &lt; Table13[[#This Row],[Previous Quartile Value]], "Improved",
   IF(Table13[[#This Row],[Quartile Value]] &gt; Table13[[#This Row],[Previous Quartile Value]], "Dropped", "Same")))</f>
        <v>Same</v>
      </c>
      <c r="J340" s="10" t="s">
        <v>22</v>
      </c>
      <c r="K340" s="7" t="str">
        <f>VLOOKUP(J340,Introduction!$B$6:$C$14,2)</f>
        <v>North West</v>
      </c>
      <c r="L340" s="10">
        <v>209</v>
      </c>
      <c r="M340" s="8" t="s">
        <v>388</v>
      </c>
    </row>
    <row r="341" spans="1:13" ht="19.95" customHeight="1" x14ac:dyDescent="0.25">
      <c r="A341" s="41">
        <v>45444</v>
      </c>
      <c r="B341" s="47">
        <f>MONTH(Table13[[#This Row],[YearMonth]])</f>
        <v>6</v>
      </c>
      <c r="C341" s="9" t="s">
        <v>60</v>
      </c>
      <c r="D341" s="6" t="s">
        <v>330</v>
      </c>
      <c r="E341" s="6">
        <f>IF(Table13[[#This Row],[Quartile]]="TopQuartile", 1,
 IF(Table13[[#This Row],[Quartile]]="SecondQuartile", 2,
 IF(Table13[[#This Row],[Quartile]]="ThirdQuartile", 3,
 IF(Table13[[#This Row],[Quartile]]="FourthQuartile", 4, ""))))</f>
        <v>1</v>
      </c>
      <c r="F341" s="9" t="s">
        <v>391</v>
      </c>
      <c r="G341" s="9" t="str" cm="1">
        <f t="array" ref="G341">IFERROR(
  INDEX(Table13[Quartile],
    MATCH(1,
      (Table13[[#This Row],[OrgName]]=Table13[OrgName]) *
      (Table13[[#This Row],[Month Number]]-1=Table13[Month Number]),
    0)
  ),
"")</f>
        <v>TopQuartile</v>
      </c>
      <c r="H341" s="9">
        <f>IF(Table13[[#This Row],[Previous Quartile]]="TopQuartile", 1,
 IF(Table13[[#This Row],[Previous Quartile]]="SecondQuartile", 2,
 IF(Table13[[#This Row],[Previous Quartile]]="ThirdQuartile", 3,
 IF(Table13[[#This Row],[Previous Quartile]]="FourthQuartile", 4, ""))))</f>
        <v>1</v>
      </c>
      <c r="I341" s="9" t="str">
        <f>IF(Table13[[#This Row],[Previous Quartile Value]]="", "",
   IF(Table13[[#This Row],[Quartile Value]] &lt; Table13[[#This Row],[Previous Quartile Value]], "Improved",
   IF(Table13[[#This Row],[Quartile Value]] &gt; Table13[[#This Row],[Previous Quartile Value]], "Dropped", "Same")))</f>
        <v>Same</v>
      </c>
      <c r="J341" s="10" t="s">
        <v>18</v>
      </c>
      <c r="K341" s="7" t="str">
        <f>VLOOKUP(J341,Introduction!$B$6:$C$14,2)</f>
        <v>Midlands</v>
      </c>
      <c r="L341" s="10">
        <v>166</v>
      </c>
      <c r="M341" s="8" t="s">
        <v>388</v>
      </c>
    </row>
    <row r="342" spans="1:13" ht="19.95" customHeight="1" x14ac:dyDescent="0.25">
      <c r="A342" s="41">
        <v>45444</v>
      </c>
      <c r="B342" s="47">
        <f>MONTH(Table13[[#This Row],[YearMonth]])</f>
        <v>6</v>
      </c>
      <c r="C342" s="9" t="s">
        <v>68</v>
      </c>
      <c r="D342" s="6" t="s">
        <v>330</v>
      </c>
      <c r="E342" s="6">
        <f>IF(Table13[[#This Row],[Quartile]]="TopQuartile", 1,
 IF(Table13[[#This Row],[Quartile]]="SecondQuartile", 2,
 IF(Table13[[#This Row],[Quartile]]="ThirdQuartile", 3,
 IF(Table13[[#This Row],[Quartile]]="FourthQuartile", 4, ""))))</f>
        <v>1</v>
      </c>
      <c r="F342" s="9" t="s">
        <v>393</v>
      </c>
      <c r="G342" s="9" t="str" cm="1">
        <f t="array" ref="G342">IFERROR(
  INDEX(Table13[Quartile],
    MATCH(1,
      (Table13[[#This Row],[OrgName]]=Table13[OrgName]) *
      (Table13[[#This Row],[Month Number]]-1=Table13[Month Number]),
    0)
  ),
"")</f>
        <v>TopQuartile</v>
      </c>
      <c r="H342" s="9">
        <f>IF(Table13[[#This Row],[Previous Quartile]]="TopQuartile", 1,
 IF(Table13[[#This Row],[Previous Quartile]]="SecondQuartile", 2,
 IF(Table13[[#This Row],[Previous Quartile]]="ThirdQuartile", 3,
 IF(Table13[[#This Row],[Previous Quartile]]="FourthQuartile", 4, ""))))</f>
        <v>1</v>
      </c>
      <c r="I342" s="9" t="str">
        <f>IF(Table13[[#This Row],[Previous Quartile Value]]="", "",
   IF(Table13[[#This Row],[Quartile Value]] &lt; Table13[[#This Row],[Previous Quartile Value]], "Improved",
   IF(Table13[[#This Row],[Quartile Value]] &gt; Table13[[#This Row],[Previous Quartile Value]], "Dropped", "Same")))</f>
        <v>Same</v>
      </c>
      <c r="J342" s="10" t="s">
        <v>24</v>
      </c>
      <c r="K342" s="7" t="str">
        <f>VLOOKUP(J342,Introduction!$B$6:$C$14,2)</f>
        <v>North East and Yorkshire</v>
      </c>
      <c r="L342" s="10">
        <v>165</v>
      </c>
      <c r="M342" s="8" t="s">
        <v>388</v>
      </c>
    </row>
    <row r="343" spans="1:13" ht="19.95" customHeight="1" x14ac:dyDescent="0.25">
      <c r="A343" s="41">
        <v>45444</v>
      </c>
      <c r="B343" s="47">
        <f>MONTH(Table13[[#This Row],[YearMonth]])</f>
        <v>6</v>
      </c>
      <c r="C343" s="9" t="s">
        <v>61</v>
      </c>
      <c r="D343" s="6" t="s">
        <v>330</v>
      </c>
      <c r="E343" s="6">
        <f>IF(Table13[[#This Row],[Quartile]]="TopQuartile", 1,
 IF(Table13[[#This Row],[Quartile]]="SecondQuartile", 2,
 IF(Table13[[#This Row],[Quartile]]="ThirdQuartile", 3,
 IF(Table13[[#This Row],[Quartile]]="FourthQuartile", 4, ""))))</f>
        <v>1</v>
      </c>
      <c r="F343" s="9" t="s">
        <v>392</v>
      </c>
      <c r="G343" s="9" t="str" cm="1">
        <f t="array" ref="G343">IFERROR(
  INDEX(Table13[Quartile],
    MATCH(1,
      (Table13[[#This Row],[OrgName]]=Table13[OrgName]) *
      (Table13[[#This Row],[Month Number]]-1=Table13[Month Number]),
    0)
  ),
"")</f>
        <v>TopQuartile</v>
      </c>
      <c r="H343" s="9">
        <f>IF(Table13[[#This Row],[Previous Quartile]]="TopQuartile", 1,
 IF(Table13[[#This Row],[Previous Quartile]]="SecondQuartile", 2,
 IF(Table13[[#This Row],[Previous Quartile]]="ThirdQuartile", 3,
 IF(Table13[[#This Row],[Previous Quartile]]="FourthQuartile", 4, ""))))</f>
        <v>1</v>
      </c>
      <c r="I343" s="9" t="str">
        <f>IF(Table13[[#This Row],[Previous Quartile Value]]="", "",
   IF(Table13[[#This Row],[Quartile Value]] &lt; Table13[[#This Row],[Previous Quartile Value]], "Improved",
   IF(Table13[[#This Row],[Quartile Value]] &gt; Table13[[#This Row],[Previous Quartile Value]], "Dropped", "Same")))</f>
        <v>Same</v>
      </c>
      <c r="J343" s="10" t="s">
        <v>20</v>
      </c>
      <c r="K343" s="7" t="str">
        <f>VLOOKUP(J343,Introduction!$B$6:$C$14,2)</f>
        <v>East of England</v>
      </c>
      <c r="L343" s="10">
        <v>426</v>
      </c>
      <c r="M343" s="8" t="s">
        <v>388</v>
      </c>
    </row>
    <row r="344" spans="1:13" ht="19.95" customHeight="1" x14ac:dyDescent="0.25">
      <c r="A344" s="41">
        <v>45444</v>
      </c>
      <c r="B344" s="47">
        <f>MONTH(Table13[[#This Row],[YearMonth]])</f>
        <v>6</v>
      </c>
      <c r="C344" s="9" t="s">
        <v>75</v>
      </c>
      <c r="D344" s="6" t="s">
        <v>330</v>
      </c>
      <c r="E344" s="6">
        <f>IF(Table13[[#This Row],[Quartile]]="TopQuartile", 1,
 IF(Table13[[#This Row],[Quartile]]="SecondQuartile", 2,
 IF(Table13[[#This Row],[Quartile]]="ThirdQuartile", 3,
 IF(Table13[[#This Row],[Quartile]]="FourthQuartile", 4, ""))))</f>
        <v>1</v>
      </c>
      <c r="F344" s="9" t="s">
        <v>394</v>
      </c>
      <c r="G344" s="9" t="str" cm="1">
        <f t="array" ref="G344">IFERROR(
  INDEX(Table13[Quartile],
    MATCH(1,
      (Table13[[#This Row],[OrgName]]=Table13[OrgName]) *
      (Table13[[#This Row],[Month Number]]-1=Table13[Month Number]),
    0)
  ),
"")</f>
        <v>TopQuartile</v>
      </c>
      <c r="H344" s="9">
        <f>IF(Table13[[#This Row],[Previous Quartile]]="TopQuartile", 1,
 IF(Table13[[#This Row],[Previous Quartile]]="SecondQuartile", 2,
 IF(Table13[[#This Row],[Previous Quartile]]="ThirdQuartile", 3,
 IF(Table13[[#This Row],[Previous Quartile]]="FourthQuartile", 4, ""))))</f>
        <v>1</v>
      </c>
      <c r="I344" s="9" t="str">
        <f>IF(Table13[[#This Row],[Previous Quartile Value]]="", "",
   IF(Table13[[#This Row],[Quartile Value]] &lt; Table13[[#This Row],[Previous Quartile Value]], "Improved",
   IF(Table13[[#This Row],[Quartile Value]] &gt; Table13[[#This Row],[Previous Quartile Value]], "Dropped", "Same")))</f>
        <v>Same</v>
      </c>
      <c r="J344" s="10" t="s">
        <v>16</v>
      </c>
      <c r="K344" s="7" t="str">
        <f>VLOOKUP(J344,Introduction!$B$6:$C$14,2)</f>
        <v>South East</v>
      </c>
      <c r="L344" s="10">
        <v>252</v>
      </c>
      <c r="M344" s="8" t="s">
        <v>388</v>
      </c>
    </row>
    <row r="345" spans="1:13" ht="19.95" customHeight="1" x14ac:dyDescent="0.25">
      <c r="A345" s="41">
        <v>45444</v>
      </c>
      <c r="B345" s="47">
        <f>MONTH(Table13[[#This Row],[YearMonth]])</f>
        <v>6</v>
      </c>
      <c r="C345" s="9" t="s">
        <v>127</v>
      </c>
      <c r="D345" s="6" t="s">
        <v>338</v>
      </c>
      <c r="E345" s="6">
        <f>IF(Table13[[#This Row],[Quartile]]="TopQuartile", 1,
 IF(Table13[[#This Row],[Quartile]]="SecondQuartile", 2,
 IF(Table13[[#This Row],[Quartile]]="ThirdQuartile", 3,
 IF(Table13[[#This Row],[Quartile]]="FourthQuartile", 4, ""))))</f>
        <v>2</v>
      </c>
      <c r="F345" s="9" t="s">
        <v>396</v>
      </c>
      <c r="G345" s="9" t="str" cm="1">
        <f t="array" ref="G345">IFERROR(
  INDEX(Table13[Quartile],
    MATCH(1,
      (Table13[[#This Row],[OrgName]]=Table13[OrgName]) *
      (Table13[[#This Row],[Month Number]]-1=Table13[Month Number]),
    0)
  ),
"")</f>
        <v>SecondQuartile</v>
      </c>
      <c r="H345" s="9">
        <f>IF(Table13[[#This Row],[Previous Quartile]]="TopQuartile", 1,
 IF(Table13[[#This Row],[Previous Quartile]]="SecondQuartile", 2,
 IF(Table13[[#This Row],[Previous Quartile]]="ThirdQuartile", 3,
 IF(Table13[[#This Row],[Previous Quartile]]="FourthQuartile", 4, ""))))</f>
        <v>2</v>
      </c>
      <c r="I345" s="9" t="str">
        <f>IF(Table13[[#This Row],[Previous Quartile Value]]="", "",
   IF(Table13[[#This Row],[Quartile Value]] &lt; Table13[[#This Row],[Previous Quartile Value]], "Improved",
   IF(Table13[[#This Row],[Quartile Value]] &gt; Table13[[#This Row],[Previous Quartile Value]], "Dropped", "Same")))</f>
        <v>Same</v>
      </c>
      <c r="J345" s="10" t="s">
        <v>22</v>
      </c>
      <c r="K345" s="7" t="str">
        <f>VLOOKUP(J345,Introduction!$B$6:$C$14,2)</f>
        <v>North West</v>
      </c>
      <c r="L345" s="10">
        <v>210</v>
      </c>
      <c r="M345" s="8" t="s">
        <v>388</v>
      </c>
    </row>
    <row r="346" spans="1:13" ht="19.95" customHeight="1" x14ac:dyDescent="0.25">
      <c r="A346" s="41">
        <v>45444</v>
      </c>
      <c r="B346" s="47">
        <f>MONTH(Table13[[#This Row],[YearMonth]])</f>
        <v>6</v>
      </c>
      <c r="C346" s="9" t="s">
        <v>122</v>
      </c>
      <c r="D346" s="6" t="s">
        <v>338</v>
      </c>
      <c r="E346" s="6">
        <f>IF(Table13[[#This Row],[Quartile]]="TopQuartile", 1,
 IF(Table13[[#This Row],[Quartile]]="SecondQuartile", 2,
 IF(Table13[[#This Row],[Quartile]]="ThirdQuartile", 3,
 IF(Table13[[#This Row],[Quartile]]="FourthQuartile", 4, ""))))</f>
        <v>2</v>
      </c>
      <c r="F346" s="9" t="s">
        <v>395</v>
      </c>
      <c r="G346" s="9" t="str" cm="1">
        <f t="array" ref="G346">IFERROR(
  INDEX(Table13[Quartile],
    MATCH(1,
      (Table13[[#This Row],[OrgName]]=Table13[OrgName]) *
      (Table13[[#This Row],[Month Number]]-1=Table13[Month Number]),
    0)
  ),
"")</f>
        <v>SecondQuartile</v>
      </c>
      <c r="H346" s="9">
        <f>IF(Table13[[#This Row],[Previous Quartile]]="TopQuartile", 1,
 IF(Table13[[#This Row],[Previous Quartile]]="SecondQuartile", 2,
 IF(Table13[[#This Row],[Previous Quartile]]="ThirdQuartile", 3,
 IF(Table13[[#This Row],[Previous Quartile]]="FourthQuartile", 4, ""))))</f>
        <v>2</v>
      </c>
      <c r="I346" s="9" t="str">
        <f>IF(Table13[[#This Row],[Previous Quartile Value]]="", "",
   IF(Table13[[#This Row],[Quartile Value]] &lt; Table13[[#This Row],[Previous Quartile Value]], "Improved",
   IF(Table13[[#This Row],[Quartile Value]] &gt; Table13[[#This Row],[Previous Quartile Value]], "Dropped", "Same")))</f>
        <v>Same</v>
      </c>
      <c r="J346" s="10" t="s">
        <v>24</v>
      </c>
      <c r="K346" s="7" t="str">
        <f>VLOOKUP(J346,Introduction!$B$6:$C$14,2)</f>
        <v>North East and Yorkshire</v>
      </c>
      <c r="L346" s="10">
        <v>421</v>
      </c>
      <c r="M346" s="8" t="s">
        <v>388</v>
      </c>
    </row>
    <row r="347" spans="1:13" ht="19.95" customHeight="1" x14ac:dyDescent="0.25">
      <c r="A347" s="41">
        <v>45444</v>
      </c>
      <c r="B347" s="47">
        <f>MONTH(Table13[[#This Row],[YearMonth]])</f>
        <v>6</v>
      </c>
      <c r="C347" s="9" t="s">
        <v>135</v>
      </c>
      <c r="D347" s="6" t="s">
        <v>338</v>
      </c>
      <c r="E347" s="6">
        <f>IF(Table13[[#This Row],[Quartile]]="TopQuartile", 1,
 IF(Table13[[#This Row],[Quartile]]="SecondQuartile", 2,
 IF(Table13[[#This Row],[Quartile]]="ThirdQuartile", 3,
 IF(Table13[[#This Row],[Quartile]]="FourthQuartile", 4, ""))))</f>
        <v>2</v>
      </c>
      <c r="F347" s="9" t="s">
        <v>397</v>
      </c>
      <c r="G347" s="9" t="str" cm="1">
        <f t="array" ref="G347">IFERROR(
  INDEX(Table13[Quartile],
    MATCH(1,
      (Table13[[#This Row],[OrgName]]=Table13[OrgName]) *
      (Table13[[#This Row],[Month Number]]-1=Table13[Month Number]),
    0)
  ),
"")</f>
        <v>TopQuartile</v>
      </c>
      <c r="H347" s="9">
        <f>IF(Table13[[#This Row],[Previous Quartile]]="TopQuartile", 1,
 IF(Table13[[#This Row],[Previous Quartile]]="SecondQuartile", 2,
 IF(Table13[[#This Row],[Previous Quartile]]="ThirdQuartile", 3,
 IF(Table13[[#This Row],[Previous Quartile]]="FourthQuartile", 4, ""))))</f>
        <v>1</v>
      </c>
      <c r="I347" s="9" t="str">
        <f>IF(Table13[[#This Row],[Previous Quartile Value]]="", "",
   IF(Table13[[#This Row],[Quartile Value]] &lt; Table13[[#This Row],[Previous Quartile Value]], "Improved",
   IF(Table13[[#This Row],[Quartile Value]] &gt; Table13[[#This Row],[Previous Quartile Value]], "Dropped", "Same")))</f>
        <v>Dropped</v>
      </c>
      <c r="J347" s="10" t="s">
        <v>18</v>
      </c>
      <c r="K347" s="7" t="str">
        <f>VLOOKUP(J347,Introduction!$B$6:$C$14,2)</f>
        <v>Midlands</v>
      </c>
      <c r="L347" s="10">
        <v>264</v>
      </c>
      <c r="M347" s="8" t="s">
        <v>388</v>
      </c>
    </row>
    <row r="348" spans="1:13" ht="19.95" customHeight="1" x14ac:dyDescent="0.25">
      <c r="A348" s="41">
        <v>45444</v>
      </c>
      <c r="B348" s="47">
        <f>MONTH(Table13[[#This Row],[YearMonth]])</f>
        <v>6</v>
      </c>
      <c r="C348" s="9" t="s">
        <v>209</v>
      </c>
      <c r="D348" s="6" t="s">
        <v>341</v>
      </c>
      <c r="E348" s="6">
        <f>IF(Table13[[#This Row],[Quartile]]="TopQuartile", 1,
 IF(Table13[[#This Row],[Quartile]]="SecondQuartile", 2,
 IF(Table13[[#This Row],[Quartile]]="ThirdQuartile", 3,
 IF(Table13[[#This Row],[Quartile]]="FourthQuartile", 4, ""))))</f>
        <v>3</v>
      </c>
      <c r="F348" s="9" t="s">
        <v>398</v>
      </c>
      <c r="G348" s="9" t="str" cm="1">
        <f t="array" ref="G348">IFERROR(
  INDEX(Table13[Quartile],
    MATCH(1,
      (Table13[[#This Row],[OrgName]]=Table13[OrgName]) *
      (Table13[[#This Row],[Month Number]]-1=Table13[Month Number]),
    0)
  ),
"")</f>
        <v>ThirdQuartile</v>
      </c>
      <c r="H348" s="9">
        <f>IF(Table13[[#This Row],[Previous Quartile]]="TopQuartile", 1,
 IF(Table13[[#This Row],[Previous Quartile]]="SecondQuartile", 2,
 IF(Table13[[#This Row],[Previous Quartile]]="ThirdQuartile", 3,
 IF(Table13[[#This Row],[Previous Quartile]]="FourthQuartile", 4, ""))))</f>
        <v>3</v>
      </c>
      <c r="I348" s="9" t="str">
        <f>IF(Table13[[#This Row],[Previous Quartile Value]]="", "",
   IF(Table13[[#This Row],[Quartile Value]] &lt; Table13[[#This Row],[Previous Quartile Value]], "Improved",
   IF(Table13[[#This Row],[Quartile Value]] &gt; Table13[[#This Row],[Previous Quartile Value]], "Dropped", "Same")))</f>
        <v>Same</v>
      </c>
      <c r="J348" s="10" t="s">
        <v>22</v>
      </c>
      <c r="K348" s="7" t="str">
        <f>VLOOKUP(J348,Introduction!$B$6:$C$14,2)</f>
        <v>North West</v>
      </c>
      <c r="L348" s="10">
        <v>412</v>
      </c>
      <c r="M348" s="8" t="s">
        <v>388</v>
      </c>
    </row>
    <row r="349" spans="1:13" ht="19.95" customHeight="1" x14ac:dyDescent="0.25">
      <c r="A349" s="41">
        <v>45444</v>
      </c>
      <c r="B349" s="47">
        <f>MONTH(Table13[[#This Row],[YearMonth]])</f>
        <v>6</v>
      </c>
      <c r="C349" s="9" t="s">
        <v>232</v>
      </c>
      <c r="D349" s="6" t="s">
        <v>341</v>
      </c>
      <c r="E349" s="6">
        <f>IF(Table13[[#This Row],[Quartile]]="TopQuartile", 1,
 IF(Table13[[#This Row],[Quartile]]="SecondQuartile", 2,
 IF(Table13[[#This Row],[Quartile]]="ThirdQuartile", 3,
 IF(Table13[[#This Row],[Quartile]]="FourthQuartile", 4, ""))))</f>
        <v>3</v>
      </c>
      <c r="F349" s="9" t="s">
        <v>402</v>
      </c>
      <c r="G349" s="9" t="str" cm="1">
        <f t="array" ref="G349">IFERROR(
  INDEX(Table13[Quartile],
    MATCH(1,
      (Table13[[#This Row],[OrgName]]=Table13[OrgName]) *
      (Table13[[#This Row],[Month Number]]-1=Table13[Month Number]),
    0)
  ),
"")</f>
        <v>FourthQuartile</v>
      </c>
      <c r="H349" s="9">
        <f>IF(Table13[[#This Row],[Previous Quartile]]="TopQuartile", 1,
 IF(Table13[[#This Row],[Previous Quartile]]="SecondQuartile", 2,
 IF(Table13[[#This Row],[Previous Quartile]]="ThirdQuartile", 3,
 IF(Table13[[#This Row],[Previous Quartile]]="FourthQuartile", 4, ""))))</f>
        <v>4</v>
      </c>
      <c r="I349" s="9" t="str">
        <f>IF(Table13[[#This Row],[Previous Quartile Value]]="", "",
   IF(Table13[[#This Row],[Quartile Value]] &lt; Table13[[#This Row],[Previous Quartile Value]], "Improved",
   IF(Table13[[#This Row],[Quartile Value]] &gt; Table13[[#This Row],[Previous Quartile Value]], "Dropped", "Same")))</f>
        <v>Improved</v>
      </c>
      <c r="J349" s="10" t="s">
        <v>12</v>
      </c>
      <c r="K349" s="7" t="str">
        <f>VLOOKUP(J349,Introduction!$B$6:$C$14,2)</f>
        <v>London</v>
      </c>
      <c r="L349" s="10">
        <v>394</v>
      </c>
      <c r="M349" s="8" t="s">
        <v>388</v>
      </c>
    </row>
    <row r="350" spans="1:13" ht="19.95" customHeight="1" x14ac:dyDescent="0.25">
      <c r="A350" s="41">
        <v>45444</v>
      </c>
      <c r="B350" s="47">
        <f>MONTH(Table13[[#This Row],[YearMonth]])</f>
        <v>6</v>
      </c>
      <c r="C350" s="9" t="s">
        <v>217</v>
      </c>
      <c r="D350" s="6" t="s">
        <v>341</v>
      </c>
      <c r="E350" s="6">
        <f>IF(Table13[[#This Row],[Quartile]]="TopQuartile", 1,
 IF(Table13[[#This Row],[Quartile]]="SecondQuartile", 2,
 IF(Table13[[#This Row],[Quartile]]="ThirdQuartile", 3,
 IF(Table13[[#This Row],[Quartile]]="FourthQuartile", 4, ""))))</f>
        <v>3</v>
      </c>
      <c r="F350" s="9" t="s">
        <v>399</v>
      </c>
      <c r="G350" s="9" t="str" cm="1">
        <f t="array" ref="G350">IFERROR(
  INDEX(Table13[Quartile],
    MATCH(1,
      (Table13[[#This Row],[OrgName]]=Table13[OrgName]) *
      (Table13[[#This Row],[Month Number]]-1=Table13[Month Number]),
    0)
  ),
"")</f>
        <v>ThirdQuartile</v>
      </c>
      <c r="H350" s="9">
        <f>IF(Table13[[#This Row],[Previous Quartile]]="TopQuartile", 1,
 IF(Table13[[#This Row],[Previous Quartile]]="SecondQuartile", 2,
 IF(Table13[[#This Row],[Previous Quartile]]="ThirdQuartile", 3,
 IF(Table13[[#This Row],[Previous Quartile]]="FourthQuartile", 4, ""))))</f>
        <v>3</v>
      </c>
      <c r="I350" s="9" t="str">
        <f>IF(Table13[[#This Row],[Previous Quartile Value]]="", "",
   IF(Table13[[#This Row],[Quartile Value]] &lt; Table13[[#This Row],[Previous Quartile Value]], "Improved",
   IF(Table13[[#This Row],[Quartile Value]] &gt; Table13[[#This Row],[Previous Quartile Value]], "Dropped", "Same")))</f>
        <v>Same</v>
      </c>
      <c r="J350" s="10" t="s">
        <v>14</v>
      </c>
      <c r="K350" s="7" t="str">
        <f>VLOOKUP(J350,Introduction!$B$6:$C$14,2)</f>
        <v>South West</v>
      </c>
      <c r="L350" s="10">
        <v>269</v>
      </c>
      <c r="M350" s="8" t="s">
        <v>388</v>
      </c>
    </row>
    <row r="351" spans="1:13" ht="19.95" customHeight="1" x14ac:dyDescent="0.25">
      <c r="A351" s="41">
        <v>45444</v>
      </c>
      <c r="B351" s="47">
        <f>MONTH(Table13[[#This Row],[YearMonth]])</f>
        <v>6</v>
      </c>
      <c r="C351" s="9" t="s">
        <v>224</v>
      </c>
      <c r="D351" s="6" t="s">
        <v>341</v>
      </c>
      <c r="E351" s="6">
        <f>IF(Table13[[#This Row],[Quartile]]="TopQuartile", 1,
 IF(Table13[[#This Row],[Quartile]]="SecondQuartile", 2,
 IF(Table13[[#This Row],[Quartile]]="ThirdQuartile", 3,
 IF(Table13[[#This Row],[Quartile]]="FourthQuartile", 4, ""))))</f>
        <v>3</v>
      </c>
      <c r="F351" s="9" t="s">
        <v>400</v>
      </c>
      <c r="G351" s="9" t="str" cm="1">
        <f t="array" ref="G351">IFERROR(
  INDEX(Table13[Quartile],
    MATCH(1,
      (Table13[[#This Row],[OrgName]]=Table13[OrgName]) *
      (Table13[[#This Row],[Month Number]]-1=Table13[Month Number]),
    0)
  ),
"")</f>
        <v>FourthQuartile</v>
      </c>
      <c r="H351" s="9">
        <f>IF(Table13[[#This Row],[Previous Quartile]]="TopQuartile", 1,
 IF(Table13[[#This Row],[Previous Quartile]]="SecondQuartile", 2,
 IF(Table13[[#This Row],[Previous Quartile]]="ThirdQuartile", 3,
 IF(Table13[[#This Row],[Previous Quartile]]="FourthQuartile", 4, ""))))</f>
        <v>4</v>
      </c>
      <c r="I351" s="9" t="str">
        <f>IF(Table13[[#This Row],[Previous Quartile Value]]="", "",
   IF(Table13[[#This Row],[Quartile Value]] &lt; Table13[[#This Row],[Previous Quartile Value]], "Improved",
   IF(Table13[[#This Row],[Quartile Value]] &gt; Table13[[#This Row],[Previous Quartile Value]], "Dropped", "Same")))</f>
        <v>Improved</v>
      </c>
      <c r="J351" s="10" t="s">
        <v>18</v>
      </c>
      <c r="K351" s="7" t="str">
        <f>VLOOKUP(J351,Introduction!$B$6:$C$14,2)</f>
        <v>Midlands</v>
      </c>
      <c r="L351" s="10">
        <v>407</v>
      </c>
      <c r="M351" s="8" t="s">
        <v>388</v>
      </c>
    </row>
    <row r="352" spans="1:13" ht="19.95" customHeight="1" x14ac:dyDescent="0.25">
      <c r="A352" s="41">
        <v>45444</v>
      </c>
      <c r="B352" s="47">
        <f>MONTH(Table13[[#This Row],[YearMonth]])</f>
        <v>6</v>
      </c>
      <c r="C352" s="9" t="s">
        <v>226</v>
      </c>
      <c r="D352" s="6" t="s">
        <v>341</v>
      </c>
      <c r="E352" s="6">
        <f>IF(Table13[[#This Row],[Quartile]]="TopQuartile", 1,
 IF(Table13[[#This Row],[Quartile]]="SecondQuartile", 2,
 IF(Table13[[#This Row],[Quartile]]="ThirdQuartile", 3,
 IF(Table13[[#This Row],[Quartile]]="FourthQuartile", 4, ""))))</f>
        <v>3</v>
      </c>
      <c r="F352" s="9" t="s">
        <v>401</v>
      </c>
      <c r="G352" s="9" t="str" cm="1">
        <f t="array" ref="G352">IFERROR(
  INDEX(Table13[Quartile],
    MATCH(1,
      (Table13[[#This Row],[OrgName]]=Table13[OrgName]) *
      (Table13[[#This Row],[Month Number]]-1=Table13[Month Number]),
    0)
  ),
"")</f>
        <v>FourthQuartile</v>
      </c>
      <c r="H352" s="9">
        <f>IF(Table13[[#This Row],[Previous Quartile]]="TopQuartile", 1,
 IF(Table13[[#This Row],[Previous Quartile]]="SecondQuartile", 2,
 IF(Table13[[#This Row],[Previous Quartile]]="ThirdQuartile", 3,
 IF(Table13[[#This Row],[Previous Quartile]]="FourthQuartile", 4, ""))))</f>
        <v>4</v>
      </c>
      <c r="I352" s="9" t="str">
        <f>IF(Table13[[#This Row],[Previous Quartile Value]]="", "",
   IF(Table13[[#This Row],[Quartile Value]] &lt; Table13[[#This Row],[Previous Quartile Value]], "Improved",
   IF(Table13[[#This Row],[Quartile Value]] &gt; Table13[[#This Row],[Previous Quartile Value]], "Dropped", "Same")))</f>
        <v>Improved</v>
      </c>
      <c r="J352" s="10" t="s">
        <v>22</v>
      </c>
      <c r="K352" s="7" t="str">
        <f>VLOOKUP(J352,Introduction!$B$6:$C$14,2)</f>
        <v>North West</v>
      </c>
      <c r="L352" s="10">
        <v>245</v>
      </c>
      <c r="M352" s="8" t="s">
        <v>388</v>
      </c>
    </row>
    <row r="353" spans="1:13" ht="19.95" customHeight="1" x14ac:dyDescent="0.25">
      <c r="A353" s="41">
        <v>45444</v>
      </c>
      <c r="B353" s="47">
        <f>MONTH(Table13[[#This Row],[YearMonth]])</f>
        <v>6</v>
      </c>
      <c r="C353" s="9" t="s">
        <v>245</v>
      </c>
      <c r="D353" s="6" t="s">
        <v>341</v>
      </c>
      <c r="E353" s="6">
        <f>IF(Table13[[#This Row],[Quartile]]="TopQuartile", 1,
 IF(Table13[[#This Row],[Quartile]]="SecondQuartile", 2,
 IF(Table13[[#This Row],[Quartile]]="ThirdQuartile", 3,
 IF(Table13[[#This Row],[Quartile]]="FourthQuartile", 4, ""))))</f>
        <v>3</v>
      </c>
      <c r="F353" s="9" t="s">
        <v>403</v>
      </c>
      <c r="G353" s="9" t="str" cm="1">
        <f t="array" ref="G353">IFERROR(
  INDEX(Table13[Quartile],
    MATCH(1,
      (Table13[[#This Row],[OrgName]]=Table13[OrgName]) *
      (Table13[[#This Row],[Month Number]]-1=Table13[Month Number]),
    0)
  ),
"")</f>
        <v>FourthQuartile</v>
      </c>
      <c r="H353" s="9">
        <f>IF(Table13[[#This Row],[Previous Quartile]]="TopQuartile", 1,
 IF(Table13[[#This Row],[Previous Quartile]]="SecondQuartile", 2,
 IF(Table13[[#This Row],[Previous Quartile]]="ThirdQuartile", 3,
 IF(Table13[[#This Row],[Previous Quartile]]="FourthQuartile", 4, ""))))</f>
        <v>4</v>
      </c>
      <c r="I353" s="9" t="str">
        <f>IF(Table13[[#This Row],[Previous Quartile Value]]="", "",
   IF(Table13[[#This Row],[Quartile Value]] &lt; Table13[[#This Row],[Previous Quartile Value]], "Improved",
   IF(Table13[[#This Row],[Quartile Value]] &gt; Table13[[#This Row],[Previous Quartile Value]], "Dropped", "Same")))</f>
        <v>Improved</v>
      </c>
      <c r="J353" s="10" t="s">
        <v>18</v>
      </c>
      <c r="K353" s="7" t="str">
        <f>VLOOKUP(J353,Introduction!$B$6:$C$14,2)</f>
        <v>Midlands</v>
      </c>
      <c r="L353" s="10">
        <v>230</v>
      </c>
      <c r="M353" s="8" t="s">
        <v>388</v>
      </c>
    </row>
    <row r="354" spans="1:13" ht="19.95" customHeight="1" x14ac:dyDescent="0.25">
      <c r="A354" s="41">
        <v>45444</v>
      </c>
      <c r="B354" s="47">
        <f>MONTH(Table13[[#This Row],[YearMonth]])</f>
        <v>6</v>
      </c>
      <c r="C354" s="9" t="s">
        <v>249</v>
      </c>
      <c r="D354" s="6" t="s">
        <v>350</v>
      </c>
      <c r="E354" s="6">
        <f>IF(Table13[[#This Row],[Quartile]]="TopQuartile", 1,
 IF(Table13[[#This Row],[Quartile]]="SecondQuartile", 2,
 IF(Table13[[#This Row],[Quartile]]="ThirdQuartile", 3,
 IF(Table13[[#This Row],[Quartile]]="FourthQuartile", 4, ""))))</f>
        <v>4</v>
      </c>
      <c r="F354" s="9" t="s">
        <v>404</v>
      </c>
      <c r="G354" s="9" t="str" cm="1">
        <f t="array" ref="G354">IFERROR(
  INDEX(Table13[Quartile],
    MATCH(1,
      (Table13[[#This Row],[OrgName]]=Table13[OrgName]) *
      (Table13[[#This Row],[Month Number]]-1=Table13[Month Number]),
    0)
  ),
"")</f>
        <v>FourthQuartile</v>
      </c>
      <c r="H354" s="9">
        <f>IF(Table13[[#This Row],[Previous Quartile]]="TopQuartile", 1,
 IF(Table13[[#This Row],[Previous Quartile]]="SecondQuartile", 2,
 IF(Table13[[#This Row],[Previous Quartile]]="ThirdQuartile", 3,
 IF(Table13[[#This Row],[Previous Quartile]]="FourthQuartile", 4, ""))))</f>
        <v>4</v>
      </c>
      <c r="I354" s="9" t="str">
        <f>IF(Table13[[#This Row],[Previous Quartile Value]]="", "",
   IF(Table13[[#This Row],[Quartile Value]] &lt; Table13[[#This Row],[Previous Quartile Value]], "Improved",
   IF(Table13[[#This Row],[Quartile Value]] &gt; Table13[[#This Row],[Previous Quartile Value]], "Dropped", "Same")))</f>
        <v>Same</v>
      </c>
      <c r="J354" s="10" t="s">
        <v>20</v>
      </c>
      <c r="K354" s="7" t="str">
        <f>VLOOKUP(J354,Introduction!$B$6:$C$14,2)</f>
        <v>East of England</v>
      </c>
      <c r="L354" s="10">
        <v>292</v>
      </c>
      <c r="M354" s="8" t="s">
        <v>388</v>
      </c>
    </row>
    <row r="355" spans="1:13" ht="19.95" customHeight="1" x14ac:dyDescent="0.25">
      <c r="A355" s="41">
        <v>45444</v>
      </c>
      <c r="B355" s="47">
        <f>MONTH(Table13[[#This Row],[YearMonth]])</f>
        <v>6</v>
      </c>
      <c r="C355" s="9" t="s">
        <v>256</v>
      </c>
      <c r="D355" s="6" t="s">
        <v>350</v>
      </c>
      <c r="E355" s="6">
        <f>IF(Table13[[#This Row],[Quartile]]="TopQuartile", 1,
 IF(Table13[[#This Row],[Quartile]]="SecondQuartile", 2,
 IF(Table13[[#This Row],[Quartile]]="ThirdQuartile", 3,
 IF(Table13[[#This Row],[Quartile]]="FourthQuartile", 4, ""))))</f>
        <v>4</v>
      </c>
      <c r="F355" s="9" t="s">
        <v>405</v>
      </c>
      <c r="G355" s="9" t="str" cm="1">
        <f t="array" ref="G355">IFERROR(
  INDEX(Table13[Quartile],
    MATCH(1,
      (Table13[[#This Row],[OrgName]]=Table13[OrgName]) *
      (Table13[[#This Row],[Month Number]]-1=Table13[Month Number]),
    0)
  ),
"")</f>
        <v>FourthQuartile</v>
      </c>
      <c r="H355" s="9">
        <f>IF(Table13[[#This Row],[Previous Quartile]]="TopQuartile", 1,
 IF(Table13[[#This Row],[Previous Quartile]]="SecondQuartile", 2,
 IF(Table13[[#This Row],[Previous Quartile]]="ThirdQuartile", 3,
 IF(Table13[[#This Row],[Previous Quartile]]="FourthQuartile", 4, ""))))</f>
        <v>4</v>
      </c>
      <c r="I355" s="9" t="str">
        <f>IF(Table13[[#This Row],[Previous Quartile Value]]="", "",
   IF(Table13[[#This Row],[Quartile Value]] &lt; Table13[[#This Row],[Previous Quartile Value]], "Improved",
   IF(Table13[[#This Row],[Quartile Value]] &gt; Table13[[#This Row],[Previous Quartile Value]], "Dropped", "Same")))</f>
        <v>Same</v>
      </c>
      <c r="J355" s="10" t="s">
        <v>14</v>
      </c>
      <c r="K355" s="7" t="str">
        <f>VLOOKUP(J355,Introduction!$B$6:$C$14,2)</f>
        <v>South West</v>
      </c>
      <c r="L355" s="10">
        <v>405</v>
      </c>
      <c r="M355" s="8" t="s">
        <v>388</v>
      </c>
    </row>
    <row r="356" spans="1:13" ht="19.95" customHeight="1" x14ac:dyDescent="0.25">
      <c r="A356" s="41">
        <v>45444</v>
      </c>
      <c r="B356" s="47">
        <f>MONTH(Table13[[#This Row],[YearMonth]])</f>
        <v>6</v>
      </c>
      <c r="C356" s="9" t="s">
        <v>305</v>
      </c>
      <c r="D356" s="6" t="s">
        <v>350</v>
      </c>
      <c r="E356" s="6">
        <f>IF(Table13[[#This Row],[Quartile]]="TopQuartile", 1,
 IF(Table13[[#This Row],[Quartile]]="SecondQuartile", 2,
 IF(Table13[[#This Row],[Quartile]]="ThirdQuartile", 3,
 IF(Table13[[#This Row],[Quartile]]="FourthQuartile", 4, ""))))</f>
        <v>4</v>
      </c>
      <c r="F356" s="9" t="s">
        <v>406</v>
      </c>
      <c r="G356" s="9" t="str" cm="1">
        <f t="array" ref="G356">IFERROR(
  INDEX(Table13[Quartile],
    MATCH(1,
      (Table13[[#This Row],[OrgName]]=Table13[OrgName]) *
      (Table13[[#This Row],[Month Number]]-1=Table13[Month Number]),
    0)
  ),
"")</f>
        <v>FourthQuartile</v>
      </c>
      <c r="H356" s="9">
        <f>IF(Table13[[#This Row],[Previous Quartile]]="TopQuartile", 1,
 IF(Table13[[#This Row],[Previous Quartile]]="SecondQuartile", 2,
 IF(Table13[[#This Row],[Previous Quartile]]="ThirdQuartile", 3,
 IF(Table13[[#This Row],[Previous Quartile]]="FourthQuartile", 4, ""))))</f>
        <v>4</v>
      </c>
      <c r="I356" s="9" t="str">
        <f>IF(Table13[[#This Row],[Previous Quartile Value]]="", "",
   IF(Table13[[#This Row],[Quartile Value]] &lt; Table13[[#This Row],[Previous Quartile Value]], "Improved",
   IF(Table13[[#This Row],[Quartile Value]] &gt; Table13[[#This Row],[Previous Quartile Value]], "Dropped", "Same")))</f>
        <v>Same</v>
      </c>
      <c r="J356" s="10" t="s">
        <v>20</v>
      </c>
      <c r="K356" s="7" t="str">
        <f>VLOOKUP(J356,Introduction!$B$6:$C$14,2)</f>
        <v>East of England</v>
      </c>
      <c r="L356" s="10">
        <v>179</v>
      </c>
      <c r="M356" s="8" t="s">
        <v>388</v>
      </c>
    </row>
    <row r="357" spans="1:13" ht="19.95" customHeight="1" x14ac:dyDescent="0.25">
      <c r="A357" s="41">
        <v>45444</v>
      </c>
      <c r="B357" s="47">
        <f>MONTH(Table13[[#This Row],[YearMonth]])</f>
        <v>6</v>
      </c>
      <c r="C357" s="9" t="s">
        <v>56</v>
      </c>
      <c r="D357" s="6" t="s">
        <v>330</v>
      </c>
      <c r="E357" s="6">
        <f>IF(Table13[[#This Row],[Quartile]]="TopQuartile", 1,
 IF(Table13[[#This Row],[Quartile]]="SecondQuartile", 2,
 IF(Table13[[#This Row],[Quartile]]="ThirdQuartile", 3,
 IF(Table13[[#This Row],[Quartile]]="FourthQuartile", 4, ""))))</f>
        <v>1</v>
      </c>
      <c r="F357" s="9" t="s">
        <v>407</v>
      </c>
      <c r="G357" s="9" t="str" cm="1">
        <f t="array" ref="G357">IFERROR(
  INDEX(Table13[Quartile],
    MATCH(1,
      (Table13[[#This Row],[OrgName]]=Table13[OrgName]) *
      (Table13[[#This Row],[Month Number]]-1=Table13[Month Number]),
    0)
  ),
"")</f>
        <v>TopQuartile</v>
      </c>
      <c r="H357" s="9">
        <f>IF(Table13[[#This Row],[Previous Quartile]]="TopQuartile", 1,
 IF(Table13[[#This Row],[Previous Quartile]]="SecondQuartile", 2,
 IF(Table13[[#This Row],[Previous Quartile]]="ThirdQuartile", 3,
 IF(Table13[[#This Row],[Previous Quartile]]="FourthQuartile", 4, ""))))</f>
        <v>1</v>
      </c>
      <c r="I357" s="9" t="str">
        <f>IF(Table13[[#This Row],[Previous Quartile Value]]="", "",
   IF(Table13[[#This Row],[Quartile Value]] &lt; Table13[[#This Row],[Previous Quartile Value]], "Improved",
   IF(Table13[[#This Row],[Quartile Value]] &gt; Table13[[#This Row],[Previous Quartile Value]], "Dropped", "Same")))</f>
        <v>Same</v>
      </c>
      <c r="J357" s="10" t="s">
        <v>20</v>
      </c>
      <c r="K357" s="7" t="str">
        <f>VLOOKUP(J357,Introduction!$B$6:$C$14,2)</f>
        <v>East of England</v>
      </c>
      <c r="L357" s="10">
        <v>175</v>
      </c>
      <c r="M357" s="8" t="s">
        <v>408</v>
      </c>
    </row>
    <row r="358" spans="1:13" ht="19.95" customHeight="1" x14ac:dyDescent="0.25">
      <c r="A358" s="41">
        <v>45444</v>
      </c>
      <c r="B358" s="47">
        <f>MONTH(Table13[[#This Row],[YearMonth]])</f>
        <v>6</v>
      </c>
      <c r="C358" s="9" t="s">
        <v>84</v>
      </c>
      <c r="D358" s="6" t="s">
        <v>330</v>
      </c>
      <c r="E358" s="6">
        <f>IF(Table13[[#This Row],[Quartile]]="TopQuartile", 1,
 IF(Table13[[#This Row],[Quartile]]="SecondQuartile", 2,
 IF(Table13[[#This Row],[Quartile]]="ThirdQuartile", 3,
 IF(Table13[[#This Row],[Quartile]]="FourthQuartile", 4, ""))))</f>
        <v>1</v>
      </c>
      <c r="F358" s="9" t="s">
        <v>409</v>
      </c>
      <c r="G358" s="9" t="str" cm="1">
        <f t="array" ref="G358">IFERROR(
  INDEX(Table13[Quartile],
    MATCH(1,
      (Table13[[#This Row],[OrgName]]=Table13[OrgName]) *
      (Table13[[#This Row],[Month Number]]-1=Table13[Month Number]),
    0)
  ),
"")</f>
        <v>TopQuartile</v>
      </c>
      <c r="H358" s="9">
        <f>IF(Table13[[#This Row],[Previous Quartile]]="TopQuartile", 1,
 IF(Table13[[#This Row],[Previous Quartile]]="SecondQuartile", 2,
 IF(Table13[[#This Row],[Previous Quartile]]="ThirdQuartile", 3,
 IF(Table13[[#This Row],[Previous Quartile]]="FourthQuartile", 4, ""))))</f>
        <v>1</v>
      </c>
      <c r="I358" s="9" t="str">
        <f>IF(Table13[[#This Row],[Previous Quartile Value]]="", "",
   IF(Table13[[#This Row],[Quartile Value]] &lt; Table13[[#This Row],[Previous Quartile Value]], "Improved",
   IF(Table13[[#This Row],[Quartile Value]] &gt; Table13[[#This Row],[Previous Quartile Value]], "Dropped", "Same")))</f>
        <v>Same</v>
      </c>
      <c r="J358" s="10" t="s">
        <v>16</v>
      </c>
      <c r="K358" s="7" t="str">
        <f>VLOOKUP(J358,Introduction!$B$6:$C$14,2)</f>
        <v>South East</v>
      </c>
      <c r="L358" s="10">
        <v>276</v>
      </c>
      <c r="M358" s="8" t="s">
        <v>408</v>
      </c>
    </row>
    <row r="359" spans="1:13" ht="19.95" customHeight="1" x14ac:dyDescent="0.25">
      <c r="A359" s="41">
        <v>45444</v>
      </c>
      <c r="B359" s="47">
        <f>MONTH(Table13[[#This Row],[YearMonth]])</f>
        <v>6</v>
      </c>
      <c r="C359" s="9" t="s">
        <v>99</v>
      </c>
      <c r="D359" s="6" t="s">
        <v>330</v>
      </c>
      <c r="E359" s="6">
        <f>IF(Table13[[#This Row],[Quartile]]="TopQuartile", 1,
 IF(Table13[[#This Row],[Quartile]]="SecondQuartile", 2,
 IF(Table13[[#This Row],[Quartile]]="ThirdQuartile", 3,
 IF(Table13[[#This Row],[Quartile]]="FourthQuartile", 4, ""))))</f>
        <v>1</v>
      </c>
      <c r="F359" s="9" t="s">
        <v>411</v>
      </c>
      <c r="G359" s="9" t="str" cm="1">
        <f t="array" ref="G359">IFERROR(
  INDEX(Table13[Quartile],
    MATCH(1,
      (Table13[[#This Row],[OrgName]]=Table13[OrgName]) *
      (Table13[[#This Row],[Month Number]]-1=Table13[Month Number]),
    0)
  ),
"")</f>
        <v>TopQuartile</v>
      </c>
      <c r="H359" s="9">
        <f>IF(Table13[[#This Row],[Previous Quartile]]="TopQuartile", 1,
 IF(Table13[[#This Row],[Previous Quartile]]="SecondQuartile", 2,
 IF(Table13[[#This Row],[Previous Quartile]]="ThirdQuartile", 3,
 IF(Table13[[#This Row],[Previous Quartile]]="FourthQuartile", 4, ""))))</f>
        <v>1</v>
      </c>
      <c r="I359" s="9" t="str">
        <f>IF(Table13[[#This Row],[Previous Quartile Value]]="", "",
   IF(Table13[[#This Row],[Quartile Value]] &lt; Table13[[#This Row],[Previous Quartile Value]], "Improved",
   IF(Table13[[#This Row],[Quartile Value]] &gt; Table13[[#This Row],[Previous Quartile Value]], "Dropped", "Same")))</f>
        <v>Same</v>
      </c>
      <c r="J359" s="10" t="s">
        <v>12</v>
      </c>
      <c r="K359" s="7" t="str">
        <f>VLOOKUP(J359,Introduction!$B$6:$C$14,2)</f>
        <v>London</v>
      </c>
      <c r="L359" s="10">
        <v>271</v>
      </c>
      <c r="M359" s="8" t="s">
        <v>408</v>
      </c>
    </row>
    <row r="360" spans="1:13" ht="19.95" customHeight="1" x14ac:dyDescent="0.25">
      <c r="A360" s="41">
        <v>45444</v>
      </c>
      <c r="B360" s="47">
        <f>MONTH(Table13[[#This Row],[YearMonth]])</f>
        <v>6</v>
      </c>
      <c r="C360" s="9" t="s">
        <v>102</v>
      </c>
      <c r="D360" s="6" t="s">
        <v>330</v>
      </c>
      <c r="E360" s="6">
        <f>IF(Table13[[#This Row],[Quartile]]="TopQuartile", 1,
 IF(Table13[[#This Row],[Quartile]]="SecondQuartile", 2,
 IF(Table13[[#This Row],[Quartile]]="ThirdQuartile", 3,
 IF(Table13[[#This Row],[Quartile]]="FourthQuartile", 4, ""))))</f>
        <v>1</v>
      </c>
      <c r="F360" s="9" t="s">
        <v>412</v>
      </c>
      <c r="G360" s="9" t="str" cm="1">
        <f t="array" ref="G360">IFERROR(
  INDEX(Table13[Quartile],
    MATCH(1,
      (Table13[[#This Row],[OrgName]]=Table13[OrgName]) *
      (Table13[[#This Row],[Month Number]]-1=Table13[Month Number]),
    0)
  ),
"")</f>
        <v>TopQuartile</v>
      </c>
      <c r="H360" s="9">
        <f>IF(Table13[[#This Row],[Previous Quartile]]="TopQuartile", 1,
 IF(Table13[[#This Row],[Previous Quartile]]="SecondQuartile", 2,
 IF(Table13[[#This Row],[Previous Quartile]]="ThirdQuartile", 3,
 IF(Table13[[#This Row],[Previous Quartile]]="FourthQuartile", 4, ""))))</f>
        <v>1</v>
      </c>
      <c r="I360" s="9" t="str">
        <f>IF(Table13[[#This Row],[Previous Quartile Value]]="", "",
   IF(Table13[[#This Row],[Quartile Value]] &lt; Table13[[#This Row],[Previous Quartile Value]], "Improved",
   IF(Table13[[#This Row],[Quartile Value]] &gt; Table13[[#This Row],[Previous Quartile Value]], "Dropped", "Same")))</f>
        <v>Same</v>
      </c>
      <c r="J360" s="10" t="s">
        <v>22</v>
      </c>
      <c r="K360" s="7" t="str">
        <f>VLOOKUP(J360,Introduction!$B$6:$C$14,2)</f>
        <v>North West</v>
      </c>
      <c r="L360" s="10">
        <v>411</v>
      </c>
      <c r="M360" s="8" t="s">
        <v>408</v>
      </c>
    </row>
    <row r="361" spans="1:13" ht="19.95" customHeight="1" x14ac:dyDescent="0.25">
      <c r="A361" s="41">
        <v>45444</v>
      </c>
      <c r="B361" s="47">
        <f>MONTH(Table13[[#This Row],[YearMonth]])</f>
        <v>6</v>
      </c>
      <c r="C361" s="9" t="s">
        <v>108</v>
      </c>
      <c r="D361" s="6" t="s">
        <v>338</v>
      </c>
      <c r="E361" s="6">
        <f>IF(Table13[[#This Row],[Quartile]]="TopQuartile", 1,
 IF(Table13[[#This Row],[Quartile]]="SecondQuartile", 2,
 IF(Table13[[#This Row],[Quartile]]="ThirdQuartile", 3,
 IF(Table13[[#This Row],[Quartile]]="FourthQuartile", 4, ""))))</f>
        <v>2</v>
      </c>
      <c r="F361" s="9" t="s">
        <v>413</v>
      </c>
      <c r="G361" s="9" t="str" cm="1">
        <f t="array" ref="G361">IFERROR(
  INDEX(Table13[Quartile],
    MATCH(1,
      (Table13[[#This Row],[OrgName]]=Table13[OrgName]) *
      (Table13[[#This Row],[Month Number]]-1=Table13[Month Number]),
    0)
  ),
"")</f>
        <v>SecondQuartile</v>
      </c>
      <c r="H361" s="9">
        <f>IF(Table13[[#This Row],[Previous Quartile]]="TopQuartile", 1,
 IF(Table13[[#This Row],[Previous Quartile]]="SecondQuartile", 2,
 IF(Table13[[#This Row],[Previous Quartile]]="ThirdQuartile", 3,
 IF(Table13[[#This Row],[Previous Quartile]]="FourthQuartile", 4, ""))))</f>
        <v>2</v>
      </c>
      <c r="I361" s="9" t="str">
        <f>IF(Table13[[#This Row],[Previous Quartile Value]]="", "",
   IF(Table13[[#This Row],[Quartile Value]] &lt; Table13[[#This Row],[Previous Quartile Value]], "Improved",
   IF(Table13[[#This Row],[Quartile Value]] &gt; Table13[[#This Row],[Previous Quartile Value]], "Dropped", "Same")))</f>
        <v>Same</v>
      </c>
      <c r="J361" s="10" t="s">
        <v>22</v>
      </c>
      <c r="K361" s="7" t="str">
        <f>VLOOKUP(J361,Introduction!$B$6:$C$14,2)</f>
        <v>North West</v>
      </c>
      <c r="L361" s="10">
        <v>158</v>
      </c>
      <c r="M361" s="8" t="s">
        <v>408</v>
      </c>
    </row>
    <row r="362" spans="1:13" ht="19.95" customHeight="1" x14ac:dyDescent="0.25">
      <c r="A362" s="41">
        <v>45444</v>
      </c>
      <c r="B362" s="47">
        <f>MONTH(Table13[[#This Row],[YearMonth]])</f>
        <v>6</v>
      </c>
      <c r="C362" s="9" t="s">
        <v>96</v>
      </c>
      <c r="D362" s="6" t="s">
        <v>338</v>
      </c>
      <c r="E362" s="6">
        <f>IF(Table13[[#This Row],[Quartile]]="TopQuartile", 1,
 IF(Table13[[#This Row],[Quartile]]="SecondQuartile", 2,
 IF(Table13[[#This Row],[Quartile]]="ThirdQuartile", 3,
 IF(Table13[[#This Row],[Quartile]]="FourthQuartile", 4, ""))))</f>
        <v>2</v>
      </c>
      <c r="F362" s="9" t="s">
        <v>410</v>
      </c>
      <c r="G362" s="9" t="str" cm="1">
        <f t="array" ref="G362">IFERROR(
  INDEX(Table13[Quartile],
    MATCH(1,
      (Table13[[#This Row],[OrgName]]=Table13[OrgName]) *
      (Table13[[#This Row],[Month Number]]-1=Table13[Month Number]),
    0)
  ),
"")</f>
        <v>SecondQuartile</v>
      </c>
      <c r="H362" s="9">
        <f>IF(Table13[[#This Row],[Previous Quartile]]="TopQuartile", 1,
 IF(Table13[[#This Row],[Previous Quartile]]="SecondQuartile", 2,
 IF(Table13[[#This Row],[Previous Quartile]]="ThirdQuartile", 3,
 IF(Table13[[#This Row],[Previous Quartile]]="FourthQuartile", 4, ""))))</f>
        <v>2</v>
      </c>
      <c r="I362" s="9" t="str">
        <f>IF(Table13[[#This Row],[Previous Quartile Value]]="", "",
   IF(Table13[[#This Row],[Quartile Value]] &lt; Table13[[#This Row],[Previous Quartile Value]], "Improved",
   IF(Table13[[#This Row],[Quartile Value]] &gt; Table13[[#This Row],[Previous Quartile Value]], "Dropped", "Same")))</f>
        <v>Same</v>
      </c>
      <c r="J362" s="10" t="s">
        <v>18</v>
      </c>
      <c r="K362" s="7" t="str">
        <f>VLOOKUP(J362,Introduction!$B$6:$C$14,2)</f>
        <v>Midlands</v>
      </c>
      <c r="L362" s="10">
        <v>303</v>
      </c>
      <c r="M362" s="8" t="s">
        <v>408</v>
      </c>
    </row>
    <row r="363" spans="1:13" ht="19.95" customHeight="1" x14ac:dyDescent="0.25">
      <c r="A363" s="41">
        <v>45444</v>
      </c>
      <c r="B363" s="47">
        <f>MONTH(Table13[[#This Row],[YearMonth]])</f>
        <v>6</v>
      </c>
      <c r="C363" s="9" t="s">
        <v>125</v>
      </c>
      <c r="D363" s="6" t="s">
        <v>338</v>
      </c>
      <c r="E363" s="6">
        <f>IF(Table13[[#This Row],[Quartile]]="TopQuartile", 1,
 IF(Table13[[#This Row],[Quartile]]="SecondQuartile", 2,
 IF(Table13[[#This Row],[Quartile]]="ThirdQuartile", 3,
 IF(Table13[[#This Row],[Quartile]]="FourthQuartile", 4, ""))))</f>
        <v>2</v>
      </c>
      <c r="F363" s="9" t="s">
        <v>414</v>
      </c>
      <c r="G363" s="9" t="str" cm="1">
        <f t="array" ref="G363">IFERROR(
  INDEX(Table13[Quartile],
    MATCH(1,
      (Table13[[#This Row],[OrgName]]=Table13[OrgName]) *
      (Table13[[#This Row],[Month Number]]-1=Table13[Month Number]),
    0)
  ),
"")</f>
        <v>TopQuartile</v>
      </c>
      <c r="H363" s="9">
        <f>IF(Table13[[#This Row],[Previous Quartile]]="TopQuartile", 1,
 IF(Table13[[#This Row],[Previous Quartile]]="SecondQuartile", 2,
 IF(Table13[[#This Row],[Previous Quartile]]="ThirdQuartile", 3,
 IF(Table13[[#This Row],[Previous Quartile]]="FourthQuartile", 4, ""))))</f>
        <v>1</v>
      </c>
      <c r="I363" s="9" t="str">
        <f>IF(Table13[[#This Row],[Previous Quartile Value]]="", "",
   IF(Table13[[#This Row],[Quartile Value]] &lt; Table13[[#This Row],[Previous Quartile Value]], "Improved",
   IF(Table13[[#This Row],[Quartile Value]] &gt; Table13[[#This Row],[Previous Quartile Value]], "Dropped", "Same")))</f>
        <v>Dropped</v>
      </c>
      <c r="J363" s="10" t="s">
        <v>22</v>
      </c>
      <c r="K363" s="7" t="str">
        <f>VLOOKUP(J363,Introduction!$B$6:$C$14,2)</f>
        <v>North West</v>
      </c>
      <c r="L363" s="10">
        <v>160</v>
      </c>
      <c r="M363" s="8" t="s">
        <v>408</v>
      </c>
    </row>
    <row r="364" spans="1:13" ht="19.95" customHeight="1" x14ac:dyDescent="0.25">
      <c r="A364" s="41">
        <v>45444</v>
      </c>
      <c r="B364" s="47">
        <f>MONTH(Table13[[#This Row],[YearMonth]])</f>
        <v>6</v>
      </c>
      <c r="C364" s="9" t="s">
        <v>150</v>
      </c>
      <c r="D364" s="6" t="s">
        <v>338</v>
      </c>
      <c r="E364" s="6">
        <f>IF(Table13[[#This Row],[Quartile]]="TopQuartile", 1,
 IF(Table13[[#This Row],[Quartile]]="SecondQuartile", 2,
 IF(Table13[[#This Row],[Quartile]]="ThirdQuartile", 3,
 IF(Table13[[#This Row],[Quartile]]="FourthQuartile", 4, ""))))</f>
        <v>2</v>
      </c>
      <c r="F364" s="9" t="s">
        <v>415</v>
      </c>
      <c r="G364" s="9" t="str" cm="1">
        <f t="array" ref="G364">IFERROR(
  INDEX(Table13[Quartile],
    MATCH(1,
      (Table13[[#This Row],[OrgName]]=Table13[OrgName]) *
      (Table13[[#This Row],[Month Number]]-1=Table13[Month Number]),
    0)
  ),
"")</f>
        <v>SecondQuartile</v>
      </c>
      <c r="H364" s="9">
        <f>IF(Table13[[#This Row],[Previous Quartile]]="TopQuartile", 1,
 IF(Table13[[#This Row],[Previous Quartile]]="SecondQuartile", 2,
 IF(Table13[[#This Row],[Previous Quartile]]="ThirdQuartile", 3,
 IF(Table13[[#This Row],[Previous Quartile]]="FourthQuartile", 4, ""))))</f>
        <v>2</v>
      </c>
      <c r="I364" s="9" t="str">
        <f>IF(Table13[[#This Row],[Previous Quartile Value]]="", "",
   IF(Table13[[#This Row],[Quartile Value]] &lt; Table13[[#This Row],[Previous Quartile Value]], "Improved",
   IF(Table13[[#This Row],[Quartile Value]] &gt; Table13[[#This Row],[Previous Quartile Value]], "Dropped", "Same")))</f>
        <v>Same</v>
      </c>
      <c r="J364" s="10" t="s">
        <v>22</v>
      </c>
      <c r="K364" s="7" t="str">
        <f>VLOOKUP(J364,Introduction!$B$6:$C$14,2)</f>
        <v>North West</v>
      </c>
      <c r="L364" s="10">
        <v>413</v>
      </c>
      <c r="M364" s="8" t="s">
        <v>408</v>
      </c>
    </row>
    <row r="365" spans="1:13" ht="19.95" customHeight="1" x14ac:dyDescent="0.25">
      <c r="A365" s="41">
        <v>45444</v>
      </c>
      <c r="B365" s="47">
        <f>MONTH(Table13[[#This Row],[YearMonth]])</f>
        <v>6</v>
      </c>
      <c r="C365" s="9" t="s">
        <v>184</v>
      </c>
      <c r="D365" s="6" t="s">
        <v>341</v>
      </c>
      <c r="E365" s="6">
        <f>IF(Table13[[#This Row],[Quartile]]="TopQuartile", 1,
 IF(Table13[[#This Row],[Quartile]]="SecondQuartile", 2,
 IF(Table13[[#This Row],[Quartile]]="ThirdQuartile", 3,
 IF(Table13[[#This Row],[Quartile]]="FourthQuartile", 4, ""))))</f>
        <v>3</v>
      </c>
      <c r="F365" s="9" t="s">
        <v>416</v>
      </c>
      <c r="G365" s="9" t="str" cm="1">
        <f t="array" ref="G365">IFERROR(
  INDEX(Table13[Quartile],
    MATCH(1,
      (Table13[[#This Row],[OrgName]]=Table13[OrgName]) *
      (Table13[[#This Row],[Month Number]]-1=Table13[Month Number]),
    0)
  ),
"")</f>
        <v>ThirdQuartile</v>
      </c>
      <c r="H365" s="9">
        <f>IF(Table13[[#This Row],[Previous Quartile]]="TopQuartile", 1,
 IF(Table13[[#This Row],[Previous Quartile]]="SecondQuartile", 2,
 IF(Table13[[#This Row],[Previous Quartile]]="ThirdQuartile", 3,
 IF(Table13[[#This Row],[Previous Quartile]]="FourthQuartile", 4, ""))))</f>
        <v>3</v>
      </c>
      <c r="I365" s="9" t="str">
        <f>IF(Table13[[#This Row],[Previous Quartile Value]]="", "",
   IF(Table13[[#This Row],[Quartile Value]] &lt; Table13[[#This Row],[Previous Quartile Value]], "Improved",
   IF(Table13[[#This Row],[Quartile Value]] &gt; Table13[[#This Row],[Previous Quartile Value]], "Dropped", "Same")))</f>
        <v>Same</v>
      </c>
      <c r="J365" s="10" t="s">
        <v>12</v>
      </c>
      <c r="K365" s="7" t="str">
        <f>VLOOKUP(J365,Introduction!$B$6:$C$14,2)</f>
        <v>London</v>
      </c>
      <c r="L365" s="10">
        <v>282</v>
      </c>
      <c r="M365" s="8" t="s">
        <v>408</v>
      </c>
    </row>
    <row r="366" spans="1:13" ht="19.95" customHeight="1" x14ac:dyDescent="0.25">
      <c r="A366" s="41">
        <v>45444</v>
      </c>
      <c r="B366" s="47">
        <f>MONTH(Table13[[#This Row],[YearMonth]])</f>
        <v>6</v>
      </c>
      <c r="C366" s="9" t="s">
        <v>185</v>
      </c>
      <c r="D366" s="6" t="s">
        <v>341</v>
      </c>
      <c r="E366" s="6">
        <f>IF(Table13[[#This Row],[Quartile]]="TopQuartile", 1,
 IF(Table13[[#This Row],[Quartile]]="SecondQuartile", 2,
 IF(Table13[[#This Row],[Quartile]]="ThirdQuartile", 3,
 IF(Table13[[#This Row],[Quartile]]="FourthQuartile", 4, ""))))</f>
        <v>3</v>
      </c>
      <c r="F366" s="9" t="s">
        <v>417</v>
      </c>
      <c r="G366" s="9" t="str" cm="1">
        <f t="array" ref="G366">IFERROR(
  INDEX(Table13[Quartile],
    MATCH(1,
      (Table13[[#This Row],[OrgName]]=Table13[OrgName]) *
      (Table13[[#This Row],[Month Number]]-1=Table13[Month Number]),
    0)
  ),
"")</f>
        <v>ThirdQuartile</v>
      </c>
      <c r="H366" s="9">
        <f>IF(Table13[[#This Row],[Previous Quartile]]="TopQuartile", 1,
 IF(Table13[[#This Row],[Previous Quartile]]="SecondQuartile", 2,
 IF(Table13[[#This Row],[Previous Quartile]]="ThirdQuartile", 3,
 IF(Table13[[#This Row],[Previous Quartile]]="FourthQuartile", 4, ""))))</f>
        <v>3</v>
      </c>
      <c r="I366" s="9" t="str">
        <f>IF(Table13[[#This Row],[Previous Quartile Value]]="", "",
   IF(Table13[[#This Row],[Quartile Value]] &lt; Table13[[#This Row],[Previous Quartile Value]], "Improved",
   IF(Table13[[#This Row],[Quartile Value]] &gt; Table13[[#This Row],[Previous Quartile Value]], "Dropped", "Same")))</f>
        <v>Same</v>
      </c>
      <c r="J366" s="10" t="s">
        <v>12</v>
      </c>
      <c r="K366" s="7" t="str">
        <f>VLOOKUP(J366,Introduction!$B$6:$C$14,2)</f>
        <v>London</v>
      </c>
      <c r="L366" s="10">
        <v>273</v>
      </c>
      <c r="M366" s="8" t="s">
        <v>408</v>
      </c>
    </row>
    <row r="367" spans="1:13" ht="19.95" customHeight="1" x14ac:dyDescent="0.25">
      <c r="A367" s="41">
        <v>45444</v>
      </c>
      <c r="B367" s="47">
        <f>MONTH(Table13[[#This Row],[YearMonth]])</f>
        <v>6</v>
      </c>
      <c r="C367" s="9" t="s">
        <v>191</v>
      </c>
      <c r="D367" s="6" t="s">
        <v>341</v>
      </c>
      <c r="E367" s="6">
        <f>IF(Table13[[#This Row],[Quartile]]="TopQuartile", 1,
 IF(Table13[[#This Row],[Quartile]]="SecondQuartile", 2,
 IF(Table13[[#This Row],[Quartile]]="ThirdQuartile", 3,
 IF(Table13[[#This Row],[Quartile]]="FourthQuartile", 4, ""))))</f>
        <v>3</v>
      </c>
      <c r="F367" s="9" t="s">
        <v>418</v>
      </c>
      <c r="G367" s="9" t="str" cm="1">
        <f t="array" ref="G367">IFERROR(
  INDEX(Table13[Quartile],
    MATCH(1,
      (Table13[[#This Row],[OrgName]]=Table13[OrgName]) *
      (Table13[[#This Row],[Month Number]]-1=Table13[Month Number]),
    0)
  ),
"")</f>
        <v>ThirdQuartile</v>
      </c>
      <c r="H367" s="9">
        <f>IF(Table13[[#This Row],[Previous Quartile]]="TopQuartile", 1,
 IF(Table13[[#This Row],[Previous Quartile]]="SecondQuartile", 2,
 IF(Table13[[#This Row],[Previous Quartile]]="ThirdQuartile", 3,
 IF(Table13[[#This Row],[Previous Quartile]]="FourthQuartile", 4, ""))))</f>
        <v>3</v>
      </c>
      <c r="I367" s="9" t="str">
        <f>IF(Table13[[#This Row],[Previous Quartile Value]]="", "",
   IF(Table13[[#This Row],[Quartile Value]] &lt; Table13[[#This Row],[Previous Quartile Value]], "Improved",
   IF(Table13[[#This Row],[Quartile Value]] &gt; Table13[[#This Row],[Previous Quartile Value]], "Dropped", "Same")))</f>
        <v>Same</v>
      </c>
      <c r="J367" s="10" t="s">
        <v>22</v>
      </c>
      <c r="K367" s="7" t="str">
        <f>VLOOKUP(J367,Introduction!$B$6:$C$14,2)</f>
        <v>North West</v>
      </c>
      <c r="L367" s="10">
        <v>159</v>
      </c>
      <c r="M367" s="8" t="s">
        <v>408</v>
      </c>
    </row>
    <row r="368" spans="1:13" ht="19.95" customHeight="1" x14ac:dyDescent="0.25">
      <c r="A368" s="41">
        <v>45444</v>
      </c>
      <c r="B368" s="47">
        <f>MONTH(Table13[[#This Row],[YearMonth]])</f>
        <v>6</v>
      </c>
      <c r="C368" s="9" t="s">
        <v>215</v>
      </c>
      <c r="D368" s="6" t="s">
        <v>341</v>
      </c>
      <c r="E368" s="6">
        <f>IF(Table13[[#This Row],[Quartile]]="TopQuartile", 1,
 IF(Table13[[#This Row],[Quartile]]="SecondQuartile", 2,
 IF(Table13[[#This Row],[Quartile]]="ThirdQuartile", 3,
 IF(Table13[[#This Row],[Quartile]]="FourthQuartile", 4, ""))))</f>
        <v>3</v>
      </c>
      <c r="F368" s="9" t="s">
        <v>419</v>
      </c>
      <c r="G368" s="9" t="str" cm="1">
        <f t="array" ref="G368">IFERROR(
  INDEX(Table13[Quartile],
    MATCH(1,
      (Table13[[#This Row],[OrgName]]=Table13[OrgName]) *
      (Table13[[#This Row],[Month Number]]-1=Table13[Month Number]),
    0)
  ),
"")</f>
        <v>ThirdQuartile</v>
      </c>
      <c r="H368" s="9">
        <f>IF(Table13[[#This Row],[Previous Quartile]]="TopQuartile", 1,
 IF(Table13[[#This Row],[Previous Quartile]]="SecondQuartile", 2,
 IF(Table13[[#This Row],[Previous Quartile]]="ThirdQuartile", 3,
 IF(Table13[[#This Row],[Previous Quartile]]="FourthQuartile", 4, ""))))</f>
        <v>3</v>
      </c>
      <c r="I368" s="9" t="str">
        <f>IF(Table13[[#This Row],[Previous Quartile Value]]="", "",
   IF(Table13[[#This Row],[Quartile Value]] &lt; Table13[[#This Row],[Previous Quartile Value]], "Improved",
   IF(Table13[[#This Row],[Quartile Value]] &gt; Table13[[#This Row],[Previous Quartile Value]], "Dropped", "Same")))</f>
        <v>Same</v>
      </c>
      <c r="J368" s="10" t="s">
        <v>18</v>
      </c>
      <c r="K368" s="7" t="str">
        <f>VLOOKUP(J368,Introduction!$B$6:$C$14,2)</f>
        <v>Midlands</v>
      </c>
      <c r="L368" s="10">
        <v>224</v>
      </c>
      <c r="M368" s="8" t="s">
        <v>408</v>
      </c>
    </row>
    <row r="369" spans="1:13" ht="19.95" customHeight="1" x14ac:dyDescent="0.25">
      <c r="A369" s="41">
        <v>45444</v>
      </c>
      <c r="B369" s="47">
        <f>MONTH(Table13[[#This Row],[YearMonth]])</f>
        <v>6</v>
      </c>
      <c r="C369" s="9" t="s">
        <v>229</v>
      </c>
      <c r="D369" s="6" t="s">
        <v>341</v>
      </c>
      <c r="E369" s="6">
        <f>IF(Table13[[#This Row],[Quartile]]="TopQuartile", 1,
 IF(Table13[[#This Row],[Quartile]]="SecondQuartile", 2,
 IF(Table13[[#This Row],[Quartile]]="ThirdQuartile", 3,
 IF(Table13[[#This Row],[Quartile]]="FourthQuartile", 4, ""))))</f>
        <v>3</v>
      </c>
      <c r="F369" s="9" t="s">
        <v>420</v>
      </c>
      <c r="G369" s="9" t="str" cm="1">
        <f t="array" ref="G369">IFERROR(
  INDEX(Table13[Quartile],
    MATCH(1,
      (Table13[[#This Row],[OrgName]]=Table13[OrgName]) *
      (Table13[[#This Row],[Month Number]]-1=Table13[Month Number]),
    0)
  ),
"")</f>
        <v>FourthQuartile</v>
      </c>
      <c r="H369" s="9">
        <f>IF(Table13[[#This Row],[Previous Quartile]]="TopQuartile", 1,
 IF(Table13[[#This Row],[Previous Quartile]]="SecondQuartile", 2,
 IF(Table13[[#This Row],[Previous Quartile]]="ThirdQuartile", 3,
 IF(Table13[[#This Row],[Previous Quartile]]="FourthQuartile", 4, ""))))</f>
        <v>4</v>
      </c>
      <c r="I369" s="9" t="str">
        <f>IF(Table13[[#This Row],[Previous Quartile Value]]="", "",
   IF(Table13[[#This Row],[Quartile Value]] &lt; Table13[[#This Row],[Previous Quartile Value]], "Improved",
   IF(Table13[[#This Row],[Quartile Value]] &gt; Table13[[#This Row],[Previous Quartile Value]], "Dropped", "Same")))</f>
        <v>Improved</v>
      </c>
      <c r="J369" s="10" t="s">
        <v>18</v>
      </c>
      <c r="K369" s="7" t="str">
        <f>VLOOKUP(J369,Introduction!$B$6:$C$14,2)</f>
        <v>Midlands</v>
      </c>
      <c r="L369" s="10">
        <v>284</v>
      </c>
      <c r="M369" s="8" t="s">
        <v>408</v>
      </c>
    </row>
    <row r="370" spans="1:13" ht="19.95" customHeight="1" x14ac:dyDescent="0.25">
      <c r="A370" s="41">
        <v>45444</v>
      </c>
      <c r="B370" s="47">
        <f>MONTH(Table13[[#This Row],[YearMonth]])</f>
        <v>6</v>
      </c>
      <c r="C370" s="9" t="s">
        <v>239</v>
      </c>
      <c r="D370" s="6" t="s">
        <v>341</v>
      </c>
      <c r="E370" s="6">
        <f>IF(Table13[[#This Row],[Quartile]]="TopQuartile", 1,
 IF(Table13[[#This Row],[Quartile]]="SecondQuartile", 2,
 IF(Table13[[#This Row],[Quartile]]="ThirdQuartile", 3,
 IF(Table13[[#This Row],[Quartile]]="FourthQuartile", 4, ""))))</f>
        <v>3</v>
      </c>
      <c r="F370" s="9" t="s">
        <v>421</v>
      </c>
      <c r="G370" s="9" t="str" cm="1">
        <f t="array" ref="G370">IFERROR(
  INDEX(Table13[Quartile],
    MATCH(1,
      (Table13[[#This Row],[OrgName]]=Table13[OrgName]) *
      (Table13[[#This Row],[Month Number]]-1=Table13[Month Number]),
    0)
  ),
"")</f>
        <v>FourthQuartile</v>
      </c>
      <c r="H370" s="9">
        <f>IF(Table13[[#This Row],[Previous Quartile]]="TopQuartile", 1,
 IF(Table13[[#This Row],[Previous Quartile]]="SecondQuartile", 2,
 IF(Table13[[#This Row],[Previous Quartile]]="ThirdQuartile", 3,
 IF(Table13[[#This Row],[Previous Quartile]]="FourthQuartile", 4, ""))))</f>
        <v>4</v>
      </c>
      <c r="I370" s="9" t="str">
        <f>IF(Table13[[#This Row],[Previous Quartile Value]]="", "",
   IF(Table13[[#This Row],[Quartile Value]] &lt; Table13[[#This Row],[Previous Quartile Value]], "Improved",
   IF(Table13[[#This Row],[Quartile Value]] &gt; Table13[[#This Row],[Previous Quartile Value]], "Dropped", "Same")))</f>
        <v>Improved</v>
      </c>
      <c r="J370" s="10" t="s">
        <v>24</v>
      </c>
      <c r="K370" s="7" t="str">
        <f>VLOOKUP(J370,Introduction!$B$6:$C$14,2)</f>
        <v>North East and Yorkshire</v>
      </c>
      <c r="L370" s="10">
        <v>425</v>
      </c>
      <c r="M370" s="8" t="s">
        <v>408</v>
      </c>
    </row>
    <row r="371" spans="1:13" ht="19.95" customHeight="1" x14ac:dyDescent="0.25">
      <c r="A371" s="41">
        <v>45444</v>
      </c>
      <c r="B371" s="47">
        <f>MONTH(Table13[[#This Row],[YearMonth]])</f>
        <v>6</v>
      </c>
      <c r="C371" s="9" t="s">
        <v>273</v>
      </c>
      <c r="D371" s="6" t="s">
        <v>350</v>
      </c>
      <c r="E371" s="6">
        <f>IF(Table13[[#This Row],[Quartile]]="TopQuartile", 1,
 IF(Table13[[#This Row],[Quartile]]="SecondQuartile", 2,
 IF(Table13[[#This Row],[Quartile]]="ThirdQuartile", 3,
 IF(Table13[[#This Row],[Quartile]]="FourthQuartile", 4, ""))))</f>
        <v>4</v>
      </c>
      <c r="F371" s="9" t="s">
        <v>422</v>
      </c>
      <c r="G371" s="9" t="str" cm="1">
        <f t="array" ref="G371">IFERROR(
  INDEX(Table13[Quartile],
    MATCH(1,
      (Table13[[#This Row],[OrgName]]=Table13[OrgName]) *
      (Table13[[#This Row],[Month Number]]-1=Table13[Month Number]),
    0)
  ),
"")</f>
        <v>FourthQuartile</v>
      </c>
      <c r="H371" s="9">
        <f>IF(Table13[[#This Row],[Previous Quartile]]="TopQuartile", 1,
 IF(Table13[[#This Row],[Previous Quartile]]="SecondQuartile", 2,
 IF(Table13[[#This Row],[Previous Quartile]]="ThirdQuartile", 3,
 IF(Table13[[#This Row],[Previous Quartile]]="FourthQuartile", 4, ""))))</f>
        <v>4</v>
      </c>
      <c r="I371" s="9" t="str">
        <f>IF(Table13[[#This Row],[Previous Quartile Value]]="", "",
   IF(Table13[[#This Row],[Quartile Value]] &lt; Table13[[#This Row],[Previous Quartile Value]], "Improved",
   IF(Table13[[#This Row],[Quartile Value]] &gt; Table13[[#This Row],[Previous Quartile Value]], "Dropped", "Same")))</f>
        <v>Same</v>
      </c>
      <c r="J371" s="10" t="s">
        <v>12</v>
      </c>
      <c r="K371" s="7" t="str">
        <f>VLOOKUP(J371,Introduction!$B$6:$C$14,2)</f>
        <v>London</v>
      </c>
      <c r="L371" s="10">
        <v>392</v>
      </c>
      <c r="M371" s="8" t="s">
        <v>408</v>
      </c>
    </row>
    <row r="372" spans="1:13" ht="19.95" customHeight="1" x14ac:dyDescent="0.25">
      <c r="A372" s="41">
        <v>45444</v>
      </c>
      <c r="B372" s="47">
        <f>MONTH(Table13[[#This Row],[YearMonth]])</f>
        <v>6</v>
      </c>
      <c r="C372" s="9" t="s">
        <v>296</v>
      </c>
      <c r="D372" s="6" t="s">
        <v>350</v>
      </c>
      <c r="E372" s="6">
        <f>IF(Table13[[#This Row],[Quartile]]="TopQuartile", 1,
 IF(Table13[[#This Row],[Quartile]]="SecondQuartile", 2,
 IF(Table13[[#This Row],[Quartile]]="ThirdQuartile", 3,
 IF(Table13[[#This Row],[Quartile]]="FourthQuartile", 4, ""))))</f>
        <v>4</v>
      </c>
      <c r="F372" s="9" t="s">
        <v>423</v>
      </c>
      <c r="G372" s="9" t="str" cm="1">
        <f t="array" ref="G372">IFERROR(
  INDEX(Table13[Quartile],
    MATCH(1,
      (Table13[[#This Row],[OrgName]]=Table13[OrgName]) *
      (Table13[[#This Row],[Month Number]]-1=Table13[Month Number]),
    0)
  ),
"")</f>
        <v>FourthQuartile</v>
      </c>
      <c r="H372" s="9">
        <f>IF(Table13[[#This Row],[Previous Quartile]]="TopQuartile", 1,
 IF(Table13[[#This Row],[Previous Quartile]]="SecondQuartile", 2,
 IF(Table13[[#This Row],[Previous Quartile]]="ThirdQuartile", 3,
 IF(Table13[[#This Row],[Previous Quartile]]="FourthQuartile", 4, ""))))</f>
        <v>4</v>
      </c>
      <c r="I372" s="9" t="str">
        <f>IF(Table13[[#This Row],[Previous Quartile Value]]="", "",
   IF(Table13[[#This Row],[Quartile Value]] &lt; Table13[[#This Row],[Previous Quartile Value]], "Improved",
   IF(Table13[[#This Row],[Quartile Value]] &gt; Table13[[#This Row],[Previous Quartile Value]], "Dropped", "Same")))</f>
        <v>Same</v>
      </c>
      <c r="J372" s="10" t="s">
        <v>22</v>
      </c>
      <c r="K372" s="7" t="str">
        <f>VLOOKUP(J372,Introduction!$B$6:$C$14,2)</f>
        <v>North West</v>
      </c>
      <c r="L372" s="10">
        <v>410</v>
      </c>
      <c r="M372" s="8" t="s">
        <v>408</v>
      </c>
    </row>
    <row r="373" spans="1:13" ht="19.95" customHeight="1" x14ac:dyDescent="0.25">
      <c r="A373" s="41">
        <v>45444</v>
      </c>
      <c r="B373" s="47">
        <f>MONTH(Table13[[#This Row],[YearMonth]])</f>
        <v>6</v>
      </c>
      <c r="C373" s="9" t="s">
        <v>41</v>
      </c>
      <c r="D373" s="6" t="s">
        <v>330</v>
      </c>
      <c r="E373" s="6">
        <f>IF(Table13[[#This Row],[Quartile]]="TopQuartile", 1,
 IF(Table13[[#This Row],[Quartile]]="SecondQuartile", 2,
 IF(Table13[[#This Row],[Quartile]]="ThirdQuartile", 3,
 IF(Table13[[#This Row],[Quartile]]="FourthQuartile", 4, ""))))</f>
        <v>1</v>
      </c>
      <c r="F373" s="9" t="s">
        <v>424</v>
      </c>
      <c r="G373" s="9" t="str" cm="1">
        <f t="array" ref="G373">IFERROR(
  INDEX(Table13[Quartile],
    MATCH(1,
      (Table13[[#This Row],[OrgName]]=Table13[OrgName]) *
      (Table13[[#This Row],[Month Number]]-1=Table13[Month Number]),
    0)
  ),
"")</f>
        <v>TopQuartile</v>
      </c>
      <c r="H373" s="9">
        <f>IF(Table13[[#This Row],[Previous Quartile]]="TopQuartile", 1,
 IF(Table13[[#This Row],[Previous Quartile]]="SecondQuartile", 2,
 IF(Table13[[#This Row],[Previous Quartile]]="ThirdQuartile", 3,
 IF(Table13[[#This Row],[Previous Quartile]]="FourthQuartile", 4, ""))))</f>
        <v>1</v>
      </c>
      <c r="I373" s="9" t="str">
        <f>IF(Table13[[#This Row],[Previous Quartile Value]]="", "",
   IF(Table13[[#This Row],[Quartile Value]] &lt; Table13[[#This Row],[Previous Quartile Value]], "Improved",
   IF(Table13[[#This Row],[Quartile Value]] &gt; Table13[[#This Row],[Previous Quartile Value]], "Dropped", "Same")))</f>
        <v>Same</v>
      </c>
      <c r="J373" s="10" t="s">
        <v>24</v>
      </c>
      <c r="K373" s="7" t="str">
        <f>VLOOKUP(J373,Introduction!$B$6:$C$14,2)</f>
        <v>North East and Yorkshire</v>
      </c>
      <c r="L373" s="10">
        <v>389</v>
      </c>
      <c r="M373" s="8" t="s">
        <v>425</v>
      </c>
    </row>
    <row r="374" spans="1:13" ht="19.95" customHeight="1" x14ac:dyDescent="0.25">
      <c r="A374" s="41">
        <v>45444</v>
      </c>
      <c r="B374" s="47">
        <f>MONTH(Table13[[#This Row],[YearMonth]])</f>
        <v>6</v>
      </c>
      <c r="C374" s="9" t="s">
        <v>69</v>
      </c>
      <c r="D374" s="6" t="s">
        <v>330</v>
      </c>
      <c r="E374" s="6">
        <f>IF(Table13[[#This Row],[Quartile]]="TopQuartile", 1,
 IF(Table13[[#This Row],[Quartile]]="SecondQuartile", 2,
 IF(Table13[[#This Row],[Quartile]]="ThirdQuartile", 3,
 IF(Table13[[#This Row],[Quartile]]="FourthQuartile", 4, ""))))</f>
        <v>1</v>
      </c>
      <c r="F374" s="9" t="s">
        <v>426</v>
      </c>
      <c r="G374" s="9" t="str" cm="1">
        <f t="array" ref="G374">IFERROR(
  INDEX(Table13[Quartile],
    MATCH(1,
      (Table13[[#This Row],[OrgName]]=Table13[OrgName]) *
      (Table13[[#This Row],[Month Number]]-1=Table13[Month Number]),
    0)
  ),
"")</f>
        <v>TopQuartile</v>
      </c>
      <c r="H374" s="9">
        <f>IF(Table13[[#This Row],[Previous Quartile]]="TopQuartile", 1,
 IF(Table13[[#This Row],[Previous Quartile]]="SecondQuartile", 2,
 IF(Table13[[#This Row],[Previous Quartile]]="ThirdQuartile", 3,
 IF(Table13[[#This Row],[Previous Quartile]]="FourthQuartile", 4, ""))))</f>
        <v>1</v>
      </c>
      <c r="I374" s="9" t="str">
        <f>IF(Table13[[#This Row],[Previous Quartile Value]]="", "",
   IF(Table13[[#This Row],[Quartile Value]] &lt; Table13[[#This Row],[Previous Quartile Value]], "Improved",
   IF(Table13[[#This Row],[Quartile Value]] &gt; Table13[[#This Row],[Previous Quartile Value]], "Dropped", "Same")))</f>
        <v>Same</v>
      </c>
      <c r="J374" s="10" t="s">
        <v>18</v>
      </c>
      <c r="K374" s="7" t="str">
        <f>VLOOKUP(J374,Introduction!$B$6:$C$14,2)</f>
        <v>Midlands</v>
      </c>
      <c r="L374" s="10">
        <v>320</v>
      </c>
      <c r="M374" s="8" t="s">
        <v>425</v>
      </c>
    </row>
    <row r="375" spans="1:13" ht="19.95" customHeight="1" x14ac:dyDescent="0.25">
      <c r="A375" s="41">
        <v>45444</v>
      </c>
      <c r="B375" s="47">
        <f>MONTH(Table13[[#This Row],[YearMonth]])</f>
        <v>6</v>
      </c>
      <c r="C375" s="9" t="s">
        <v>82</v>
      </c>
      <c r="D375" s="6" t="s">
        <v>330</v>
      </c>
      <c r="E375" s="6">
        <f>IF(Table13[[#This Row],[Quartile]]="TopQuartile", 1,
 IF(Table13[[#This Row],[Quartile]]="SecondQuartile", 2,
 IF(Table13[[#This Row],[Quartile]]="ThirdQuartile", 3,
 IF(Table13[[#This Row],[Quartile]]="FourthQuartile", 4, ""))))</f>
        <v>1</v>
      </c>
      <c r="F375" s="9" t="s">
        <v>427</v>
      </c>
      <c r="G375" s="9" t="str" cm="1">
        <f t="array" ref="G375">IFERROR(
  INDEX(Table13[Quartile],
    MATCH(1,
      (Table13[[#This Row],[OrgName]]=Table13[OrgName]) *
      (Table13[[#This Row],[Month Number]]-1=Table13[Month Number]),
    0)
  ),
"")</f>
        <v>TopQuartile</v>
      </c>
      <c r="H375" s="9">
        <f>IF(Table13[[#This Row],[Previous Quartile]]="TopQuartile", 1,
 IF(Table13[[#This Row],[Previous Quartile]]="SecondQuartile", 2,
 IF(Table13[[#This Row],[Previous Quartile]]="ThirdQuartile", 3,
 IF(Table13[[#This Row],[Previous Quartile]]="FourthQuartile", 4, ""))))</f>
        <v>1</v>
      </c>
      <c r="I375" s="9" t="str">
        <f>IF(Table13[[#This Row],[Previous Quartile Value]]="", "",
   IF(Table13[[#This Row],[Quartile Value]] &lt; Table13[[#This Row],[Previous Quartile Value]], "Improved",
   IF(Table13[[#This Row],[Quartile Value]] &gt; Table13[[#This Row],[Previous Quartile Value]], "Dropped", "Same")))</f>
        <v>Same</v>
      </c>
      <c r="J375" s="10" t="s">
        <v>20</v>
      </c>
      <c r="K375" s="7" t="str">
        <f>VLOOKUP(J375,Introduction!$B$6:$C$14,2)</f>
        <v>East of England</v>
      </c>
      <c r="L375" s="10">
        <v>180</v>
      </c>
      <c r="M375" s="8" t="s">
        <v>425</v>
      </c>
    </row>
    <row r="376" spans="1:13" ht="19.95" customHeight="1" x14ac:dyDescent="0.25">
      <c r="A376" s="41">
        <v>45444</v>
      </c>
      <c r="B376" s="47">
        <f>MONTH(Table13[[#This Row],[YearMonth]])</f>
        <v>6</v>
      </c>
      <c r="C376" s="9" t="s">
        <v>103</v>
      </c>
      <c r="D376" s="6" t="s">
        <v>330</v>
      </c>
      <c r="E376" s="6">
        <f>IF(Table13[[#This Row],[Quartile]]="TopQuartile", 1,
 IF(Table13[[#This Row],[Quartile]]="SecondQuartile", 2,
 IF(Table13[[#This Row],[Quartile]]="ThirdQuartile", 3,
 IF(Table13[[#This Row],[Quartile]]="FourthQuartile", 4, ""))))</f>
        <v>1</v>
      </c>
      <c r="F376" s="9" t="s">
        <v>431</v>
      </c>
      <c r="G376" s="9" t="str" cm="1">
        <f t="array" ref="G376">IFERROR(
  INDEX(Table13[Quartile],
    MATCH(1,
      (Table13[[#This Row],[OrgName]]=Table13[OrgName]) *
      (Table13[[#This Row],[Month Number]]-1=Table13[Month Number]),
    0)
  ),
"")</f>
        <v>TopQuartile</v>
      </c>
      <c r="H376" s="9">
        <f>IF(Table13[[#This Row],[Previous Quartile]]="TopQuartile", 1,
 IF(Table13[[#This Row],[Previous Quartile]]="SecondQuartile", 2,
 IF(Table13[[#This Row],[Previous Quartile]]="ThirdQuartile", 3,
 IF(Table13[[#This Row],[Previous Quartile]]="FourthQuartile", 4, ""))))</f>
        <v>1</v>
      </c>
      <c r="I376" s="9" t="str">
        <f>IF(Table13[[#This Row],[Previous Quartile Value]]="", "",
   IF(Table13[[#This Row],[Quartile Value]] &lt; Table13[[#This Row],[Previous Quartile Value]], "Improved",
   IF(Table13[[#This Row],[Quartile Value]] &gt; Table13[[#This Row],[Previous Quartile Value]], "Dropped", "Same")))</f>
        <v>Same</v>
      </c>
      <c r="J376" s="10" t="s">
        <v>16</v>
      </c>
      <c r="K376" s="7" t="str">
        <f>VLOOKUP(J376,Introduction!$B$6:$C$14,2)</f>
        <v>South East</v>
      </c>
      <c r="L376" s="10">
        <v>188</v>
      </c>
      <c r="M376" s="8" t="s">
        <v>425</v>
      </c>
    </row>
    <row r="377" spans="1:13" ht="19.95" customHeight="1" x14ac:dyDescent="0.25">
      <c r="A377" s="41">
        <v>45444</v>
      </c>
      <c r="B377" s="47">
        <f>MONTH(Table13[[#This Row],[YearMonth]])</f>
        <v>6</v>
      </c>
      <c r="C377" s="9" t="s">
        <v>95</v>
      </c>
      <c r="D377" s="6" t="s">
        <v>330</v>
      </c>
      <c r="E377" s="6">
        <f>IF(Table13[[#This Row],[Quartile]]="TopQuartile", 1,
 IF(Table13[[#This Row],[Quartile]]="SecondQuartile", 2,
 IF(Table13[[#This Row],[Quartile]]="ThirdQuartile", 3,
 IF(Table13[[#This Row],[Quartile]]="FourthQuartile", 4, ""))))</f>
        <v>1</v>
      </c>
      <c r="F377" s="9" t="s">
        <v>430</v>
      </c>
      <c r="G377" s="9" t="str" cm="1">
        <f t="array" ref="G377">IFERROR(
  INDEX(Table13[Quartile],
    MATCH(1,
      (Table13[[#This Row],[OrgName]]=Table13[OrgName]) *
      (Table13[[#This Row],[Month Number]]-1=Table13[Month Number]),
    0)
  ),
"")</f>
        <v>SecondQuartile</v>
      </c>
      <c r="H377" s="9">
        <f>IF(Table13[[#This Row],[Previous Quartile]]="TopQuartile", 1,
 IF(Table13[[#This Row],[Previous Quartile]]="SecondQuartile", 2,
 IF(Table13[[#This Row],[Previous Quartile]]="ThirdQuartile", 3,
 IF(Table13[[#This Row],[Previous Quartile]]="FourthQuartile", 4, ""))))</f>
        <v>2</v>
      </c>
      <c r="I377" s="9" t="str">
        <f>IF(Table13[[#This Row],[Previous Quartile Value]]="", "",
   IF(Table13[[#This Row],[Quartile Value]] &lt; Table13[[#This Row],[Previous Quartile Value]], "Improved",
   IF(Table13[[#This Row],[Quartile Value]] &gt; Table13[[#This Row],[Previous Quartile Value]], "Dropped", "Same")))</f>
        <v>Improved</v>
      </c>
      <c r="J377" s="10" t="s">
        <v>24</v>
      </c>
      <c r="K377" s="7" t="str">
        <f>VLOOKUP(J377,Introduction!$B$6:$C$14,2)</f>
        <v>North East and Yorkshire</v>
      </c>
      <c r="L377" s="10">
        <v>317</v>
      </c>
      <c r="M377" s="8" t="s">
        <v>425</v>
      </c>
    </row>
    <row r="378" spans="1:13" ht="19.95" customHeight="1" x14ac:dyDescent="0.25">
      <c r="A378" s="41">
        <v>45444</v>
      </c>
      <c r="B378" s="47">
        <f>MONTH(Table13[[#This Row],[YearMonth]])</f>
        <v>6</v>
      </c>
      <c r="C378" s="9" t="s">
        <v>94</v>
      </c>
      <c r="D378" s="6" t="s">
        <v>330</v>
      </c>
      <c r="E378" s="6">
        <f>IF(Table13[[#This Row],[Quartile]]="TopQuartile", 1,
 IF(Table13[[#This Row],[Quartile]]="SecondQuartile", 2,
 IF(Table13[[#This Row],[Quartile]]="ThirdQuartile", 3,
 IF(Table13[[#This Row],[Quartile]]="FourthQuartile", 4, ""))))</f>
        <v>1</v>
      </c>
      <c r="F378" s="9" t="s">
        <v>429</v>
      </c>
      <c r="G378" s="9" t="str" cm="1">
        <f t="array" ref="G378">IFERROR(
  INDEX(Table13[Quartile],
    MATCH(1,
      (Table13[[#This Row],[OrgName]]=Table13[OrgName]) *
      (Table13[[#This Row],[Month Number]]-1=Table13[Month Number]),
    0)
  ),
"")</f>
        <v>TopQuartile</v>
      </c>
      <c r="H378" s="9">
        <f>IF(Table13[[#This Row],[Previous Quartile]]="TopQuartile", 1,
 IF(Table13[[#This Row],[Previous Quartile]]="SecondQuartile", 2,
 IF(Table13[[#This Row],[Previous Quartile]]="ThirdQuartile", 3,
 IF(Table13[[#This Row],[Previous Quartile]]="FourthQuartile", 4, ""))))</f>
        <v>1</v>
      </c>
      <c r="I378" s="9" t="str">
        <f>IF(Table13[[#This Row],[Previous Quartile Value]]="", "",
   IF(Table13[[#This Row],[Quartile Value]] &lt; Table13[[#This Row],[Previous Quartile Value]], "Improved",
   IF(Table13[[#This Row],[Quartile Value]] &gt; Table13[[#This Row],[Previous Quartile Value]], "Dropped", "Same")))</f>
        <v>Same</v>
      </c>
      <c r="J378" s="10" t="s">
        <v>22</v>
      </c>
      <c r="K378" s="7" t="str">
        <f>VLOOKUP(J378,Introduction!$B$6:$C$14,2)</f>
        <v>North West</v>
      </c>
      <c r="L378" s="10">
        <v>438</v>
      </c>
      <c r="M378" s="8" t="s">
        <v>425</v>
      </c>
    </row>
    <row r="379" spans="1:13" ht="19.95" customHeight="1" x14ac:dyDescent="0.25">
      <c r="A379" s="41">
        <v>45444</v>
      </c>
      <c r="B379" s="47">
        <f>MONTH(Table13[[#This Row],[YearMonth]])</f>
        <v>6</v>
      </c>
      <c r="C379" s="9" t="s">
        <v>88</v>
      </c>
      <c r="D379" s="6" t="s">
        <v>338</v>
      </c>
      <c r="E379" s="6">
        <f>IF(Table13[[#This Row],[Quartile]]="TopQuartile", 1,
 IF(Table13[[#This Row],[Quartile]]="SecondQuartile", 2,
 IF(Table13[[#This Row],[Quartile]]="ThirdQuartile", 3,
 IF(Table13[[#This Row],[Quartile]]="FourthQuartile", 4, ""))))</f>
        <v>2</v>
      </c>
      <c r="F379" s="9" t="s">
        <v>428</v>
      </c>
      <c r="G379" s="9" t="str" cm="1">
        <f t="array" ref="G379">IFERROR(
  INDEX(Table13[Quartile],
    MATCH(1,
      (Table13[[#This Row],[OrgName]]=Table13[OrgName]) *
      (Table13[[#This Row],[Month Number]]-1=Table13[Month Number]),
    0)
  ),
"")</f>
        <v>TopQuartile</v>
      </c>
      <c r="H379" s="9">
        <f>IF(Table13[[#This Row],[Previous Quartile]]="TopQuartile", 1,
 IF(Table13[[#This Row],[Previous Quartile]]="SecondQuartile", 2,
 IF(Table13[[#This Row],[Previous Quartile]]="ThirdQuartile", 3,
 IF(Table13[[#This Row],[Previous Quartile]]="FourthQuartile", 4, ""))))</f>
        <v>1</v>
      </c>
      <c r="I379" s="9" t="str">
        <f>IF(Table13[[#This Row],[Previous Quartile Value]]="", "",
   IF(Table13[[#This Row],[Quartile Value]] &lt; Table13[[#This Row],[Previous Quartile Value]], "Improved",
   IF(Table13[[#This Row],[Quartile Value]] &gt; Table13[[#This Row],[Previous Quartile Value]], "Dropped", "Same")))</f>
        <v>Dropped</v>
      </c>
      <c r="J379" s="10" t="s">
        <v>22</v>
      </c>
      <c r="K379" s="7" t="str">
        <f>VLOOKUP(J379,Introduction!$B$6:$C$14,2)</f>
        <v>North West</v>
      </c>
      <c r="L379" s="10">
        <v>408</v>
      </c>
      <c r="M379" s="8" t="s">
        <v>425</v>
      </c>
    </row>
    <row r="380" spans="1:13" ht="19.95" customHeight="1" x14ac:dyDescent="0.25">
      <c r="A380" s="41">
        <v>45444</v>
      </c>
      <c r="B380" s="47">
        <f>MONTH(Table13[[#This Row],[YearMonth]])</f>
        <v>6</v>
      </c>
      <c r="C380" s="9" t="s">
        <v>119</v>
      </c>
      <c r="D380" s="6" t="s">
        <v>338</v>
      </c>
      <c r="E380" s="6">
        <f>IF(Table13[[#This Row],[Quartile]]="TopQuartile", 1,
 IF(Table13[[#This Row],[Quartile]]="SecondQuartile", 2,
 IF(Table13[[#This Row],[Quartile]]="ThirdQuartile", 3,
 IF(Table13[[#This Row],[Quartile]]="FourthQuartile", 4, ""))))</f>
        <v>2</v>
      </c>
      <c r="F380" s="9" t="s">
        <v>432</v>
      </c>
      <c r="G380" s="9" t="str" cm="1">
        <f t="array" ref="G380">IFERROR(
  INDEX(Table13[Quartile],
    MATCH(1,
      (Table13[[#This Row],[OrgName]]=Table13[OrgName]) *
      (Table13[[#This Row],[Month Number]]-1=Table13[Month Number]),
    0)
  ),
"")</f>
        <v>SecondQuartile</v>
      </c>
      <c r="H380" s="9">
        <f>IF(Table13[[#This Row],[Previous Quartile]]="TopQuartile", 1,
 IF(Table13[[#This Row],[Previous Quartile]]="SecondQuartile", 2,
 IF(Table13[[#This Row],[Previous Quartile]]="ThirdQuartile", 3,
 IF(Table13[[#This Row],[Previous Quartile]]="FourthQuartile", 4, ""))))</f>
        <v>2</v>
      </c>
      <c r="I380" s="9" t="str">
        <f>IF(Table13[[#This Row],[Previous Quartile Value]]="", "",
   IF(Table13[[#This Row],[Quartile Value]] &lt; Table13[[#This Row],[Previous Quartile Value]], "Improved",
   IF(Table13[[#This Row],[Quartile Value]] &gt; Table13[[#This Row],[Previous Quartile Value]], "Dropped", "Same")))</f>
        <v>Same</v>
      </c>
      <c r="J380" s="10" t="s">
        <v>22</v>
      </c>
      <c r="K380" s="7" t="str">
        <f>VLOOKUP(J380,Introduction!$B$6:$C$14,2)</f>
        <v>North West</v>
      </c>
      <c r="L380" s="10">
        <v>236</v>
      </c>
      <c r="M380" s="8" t="s">
        <v>425</v>
      </c>
    </row>
    <row r="381" spans="1:13" ht="19.95" customHeight="1" x14ac:dyDescent="0.25">
      <c r="A381" s="41">
        <v>45444</v>
      </c>
      <c r="B381" s="47">
        <f>MONTH(Table13[[#This Row],[YearMonth]])</f>
        <v>6</v>
      </c>
      <c r="C381" s="9" t="s">
        <v>128</v>
      </c>
      <c r="D381" s="6" t="s">
        <v>338</v>
      </c>
      <c r="E381" s="6">
        <f>IF(Table13[[#This Row],[Quartile]]="TopQuartile", 1,
 IF(Table13[[#This Row],[Quartile]]="SecondQuartile", 2,
 IF(Table13[[#This Row],[Quartile]]="ThirdQuartile", 3,
 IF(Table13[[#This Row],[Quartile]]="FourthQuartile", 4, ""))))</f>
        <v>2</v>
      </c>
      <c r="F381" s="9" t="s">
        <v>433</v>
      </c>
      <c r="G381" s="9" t="str" cm="1">
        <f t="array" ref="G381">IFERROR(
  INDEX(Table13[Quartile],
    MATCH(1,
      (Table13[[#This Row],[OrgName]]=Table13[OrgName]) *
      (Table13[[#This Row],[Month Number]]-1=Table13[Month Number]),
    0)
  ),
"")</f>
        <v>SecondQuartile</v>
      </c>
      <c r="H381" s="9">
        <f>IF(Table13[[#This Row],[Previous Quartile]]="TopQuartile", 1,
 IF(Table13[[#This Row],[Previous Quartile]]="SecondQuartile", 2,
 IF(Table13[[#This Row],[Previous Quartile]]="ThirdQuartile", 3,
 IF(Table13[[#This Row],[Previous Quartile]]="FourthQuartile", 4, ""))))</f>
        <v>2</v>
      </c>
      <c r="I381" s="9" t="str">
        <f>IF(Table13[[#This Row],[Previous Quartile Value]]="", "",
   IF(Table13[[#This Row],[Quartile Value]] &lt; Table13[[#This Row],[Previous Quartile Value]], "Improved",
   IF(Table13[[#This Row],[Quartile Value]] &gt; Table13[[#This Row],[Previous Quartile Value]], "Dropped", "Same")))</f>
        <v>Same</v>
      </c>
      <c r="J381" s="10" t="s">
        <v>12</v>
      </c>
      <c r="K381" s="7" t="str">
        <f>VLOOKUP(J381,Introduction!$B$6:$C$14,2)</f>
        <v>London</v>
      </c>
      <c r="L381" s="10">
        <v>162</v>
      </c>
      <c r="M381" s="8" t="s">
        <v>425</v>
      </c>
    </row>
    <row r="382" spans="1:13" ht="19.95" customHeight="1" x14ac:dyDescent="0.25">
      <c r="A382" s="41">
        <v>45444</v>
      </c>
      <c r="B382" s="47">
        <f>MONTH(Table13[[#This Row],[YearMonth]])</f>
        <v>6</v>
      </c>
      <c r="C382" s="9" t="s">
        <v>140</v>
      </c>
      <c r="D382" s="6" t="s">
        <v>338</v>
      </c>
      <c r="E382" s="6">
        <f>IF(Table13[[#This Row],[Quartile]]="TopQuartile", 1,
 IF(Table13[[#This Row],[Quartile]]="SecondQuartile", 2,
 IF(Table13[[#This Row],[Quartile]]="ThirdQuartile", 3,
 IF(Table13[[#This Row],[Quartile]]="FourthQuartile", 4, ""))))</f>
        <v>2</v>
      </c>
      <c r="F382" s="9" t="s">
        <v>434</v>
      </c>
      <c r="G382" s="9" t="str" cm="1">
        <f t="array" ref="G382">IFERROR(
  INDEX(Table13[Quartile],
    MATCH(1,
      (Table13[[#This Row],[OrgName]]=Table13[OrgName]) *
      (Table13[[#This Row],[Month Number]]-1=Table13[Month Number]),
    0)
  ),
"")</f>
        <v>SecondQuartile</v>
      </c>
      <c r="H382" s="9">
        <f>IF(Table13[[#This Row],[Previous Quartile]]="TopQuartile", 1,
 IF(Table13[[#This Row],[Previous Quartile]]="SecondQuartile", 2,
 IF(Table13[[#This Row],[Previous Quartile]]="ThirdQuartile", 3,
 IF(Table13[[#This Row],[Previous Quartile]]="FourthQuartile", 4, ""))))</f>
        <v>2</v>
      </c>
      <c r="I382" s="9" t="str">
        <f>IF(Table13[[#This Row],[Previous Quartile Value]]="", "",
   IF(Table13[[#This Row],[Quartile Value]] &lt; Table13[[#This Row],[Previous Quartile Value]], "Improved",
   IF(Table13[[#This Row],[Quartile Value]] &gt; Table13[[#This Row],[Previous Quartile Value]], "Dropped", "Same")))</f>
        <v>Same</v>
      </c>
      <c r="J382" s="10" t="s">
        <v>18</v>
      </c>
      <c r="K382" s="7" t="str">
        <f>VLOOKUP(J382,Introduction!$B$6:$C$14,2)</f>
        <v>Midlands</v>
      </c>
      <c r="L382" s="10">
        <v>203</v>
      </c>
      <c r="M382" s="8" t="s">
        <v>425</v>
      </c>
    </row>
    <row r="383" spans="1:13" ht="19.95" customHeight="1" x14ac:dyDescent="0.25">
      <c r="A383" s="41">
        <v>45444</v>
      </c>
      <c r="B383" s="47">
        <f>MONTH(Table13[[#This Row],[YearMonth]])</f>
        <v>6</v>
      </c>
      <c r="C383" s="9" t="s">
        <v>144</v>
      </c>
      <c r="D383" s="6" t="s">
        <v>338</v>
      </c>
      <c r="E383" s="6">
        <f>IF(Table13[[#This Row],[Quartile]]="TopQuartile", 1,
 IF(Table13[[#This Row],[Quartile]]="SecondQuartile", 2,
 IF(Table13[[#This Row],[Quartile]]="ThirdQuartile", 3,
 IF(Table13[[#This Row],[Quartile]]="FourthQuartile", 4, ""))))</f>
        <v>2</v>
      </c>
      <c r="F383" s="9" t="s">
        <v>436</v>
      </c>
      <c r="G383" s="9" t="str" cm="1">
        <f t="array" ref="G383">IFERROR(
  INDEX(Table13[Quartile],
    MATCH(1,
      (Table13[[#This Row],[OrgName]]=Table13[OrgName]) *
      (Table13[[#This Row],[Month Number]]-1=Table13[Month Number]),
    0)
  ),
"")</f>
        <v>SecondQuartile</v>
      </c>
      <c r="H383" s="9">
        <f>IF(Table13[[#This Row],[Previous Quartile]]="TopQuartile", 1,
 IF(Table13[[#This Row],[Previous Quartile]]="SecondQuartile", 2,
 IF(Table13[[#This Row],[Previous Quartile]]="ThirdQuartile", 3,
 IF(Table13[[#This Row],[Previous Quartile]]="FourthQuartile", 4, ""))))</f>
        <v>2</v>
      </c>
      <c r="I383" s="9" t="str">
        <f>IF(Table13[[#This Row],[Previous Quartile Value]]="", "",
   IF(Table13[[#This Row],[Quartile Value]] &lt; Table13[[#This Row],[Previous Quartile Value]], "Improved",
   IF(Table13[[#This Row],[Quartile Value]] &gt; Table13[[#This Row],[Previous Quartile Value]], "Dropped", "Same")))</f>
        <v>Same</v>
      </c>
      <c r="J383" s="10" t="s">
        <v>24</v>
      </c>
      <c r="K383" s="7" t="str">
        <f>VLOOKUP(J383,Introduction!$B$6:$C$14,2)</f>
        <v>North East and Yorkshire</v>
      </c>
      <c r="L383" s="10">
        <v>190</v>
      </c>
      <c r="M383" s="8" t="s">
        <v>425</v>
      </c>
    </row>
    <row r="384" spans="1:13" ht="19.95" customHeight="1" x14ac:dyDescent="0.25">
      <c r="A384" s="41">
        <v>45444</v>
      </c>
      <c r="B384" s="47">
        <f>MONTH(Table13[[#This Row],[YearMonth]])</f>
        <v>6</v>
      </c>
      <c r="C384" s="9" t="s">
        <v>142</v>
      </c>
      <c r="D384" s="6" t="s">
        <v>338</v>
      </c>
      <c r="E384" s="6">
        <f>IF(Table13[[#This Row],[Quartile]]="TopQuartile", 1,
 IF(Table13[[#This Row],[Quartile]]="SecondQuartile", 2,
 IF(Table13[[#This Row],[Quartile]]="ThirdQuartile", 3,
 IF(Table13[[#This Row],[Quartile]]="FourthQuartile", 4, ""))))</f>
        <v>2</v>
      </c>
      <c r="F384" s="9" t="s">
        <v>435</v>
      </c>
      <c r="G384" s="9" t="str" cm="1">
        <f t="array" ref="G384">IFERROR(
  INDEX(Table13[Quartile],
    MATCH(1,
      (Table13[[#This Row],[OrgName]]=Table13[OrgName]) *
      (Table13[[#This Row],[Month Number]]-1=Table13[Month Number]),
    0)
  ),
"")</f>
        <v>SecondQuartile</v>
      </c>
      <c r="H384" s="9">
        <f>IF(Table13[[#This Row],[Previous Quartile]]="TopQuartile", 1,
 IF(Table13[[#This Row],[Previous Quartile]]="SecondQuartile", 2,
 IF(Table13[[#This Row],[Previous Quartile]]="ThirdQuartile", 3,
 IF(Table13[[#This Row],[Previous Quartile]]="FourthQuartile", 4, ""))))</f>
        <v>2</v>
      </c>
      <c r="I384" s="9" t="str">
        <f>IF(Table13[[#This Row],[Previous Quartile Value]]="", "",
   IF(Table13[[#This Row],[Quartile Value]] &lt; Table13[[#This Row],[Previous Quartile Value]], "Improved",
   IF(Table13[[#This Row],[Quartile Value]] &gt; Table13[[#This Row],[Previous Quartile Value]], "Dropped", "Same")))</f>
        <v>Same</v>
      </c>
      <c r="J384" s="10" t="s">
        <v>22</v>
      </c>
      <c r="K384" s="7" t="str">
        <f>VLOOKUP(J384,Introduction!$B$6:$C$14,2)</f>
        <v>North West</v>
      </c>
      <c r="L384" s="26">
        <v>96</v>
      </c>
      <c r="M384" s="8" t="s">
        <v>425</v>
      </c>
    </row>
    <row r="385" spans="1:13" ht="19.95" customHeight="1" x14ac:dyDescent="0.25">
      <c r="A385" s="41">
        <v>45444</v>
      </c>
      <c r="B385" s="47">
        <f>MONTH(Table13[[#This Row],[YearMonth]])</f>
        <v>6</v>
      </c>
      <c r="C385" s="9" t="s">
        <v>142</v>
      </c>
      <c r="D385" s="6" t="s">
        <v>338</v>
      </c>
      <c r="E385" s="6">
        <f>IF(Table13[[#This Row],[Quartile]]="TopQuartile", 1,
 IF(Table13[[#This Row],[Quartile]]="SecondQuartile", 2,
 IF(Table13[[#This Row],[Quartile]]="ThirdQuartile", 3,
 IF(Table13[[#This Row],[Quartile]]="FourthQuartile", 4, ""))))</f>
        <v>2</v>
      </c>
      <c r="F385" s="9" t="s">
        <v>435</v>
      </c>
      <c r="G385" s="9" t="str" cm="1">
        <f t="array" ref="G385">IFERROR(
  INDEX(Table13[Quartile],
    MATCH(1,
      (Table13[[#This Row],[OrgName]]=Table13[OrgName]) *
      (Table13[[#This Row],[Month Number]]-1=Table13[Month Number]),
    0)
  ),
"")</f>
        <v>SecondQuartile</v>
      </c>
      <c r="H385" s="9">
        <f>IF(Table13[[#This Row],[Previous Quartile]]="TopQuartile", 1,
 IF(Table13[[#This Row],[Previous Quartile]]="SecondQuartile", 2,
 IF(Table13[[#This Row],[Previous Quartile]]="ThirdQuartile", 3,
 IF(Table13[[#This Row],[Previous Quartile]]="FourthQuartile", 4, ""))))</f>
        <v>2</v>
      </c>
      <c r="I385" s="9" t="str">
        <f>IF(Table13[[#This Row],[Previous Quartile Value]]="", "",
   IF(Table13[[#This Row],[Quartile Value]] &lt; Table13[[#This Row],[Previous Quartile Value]], "Improved",
   IF(Table13[[#This Row],[Quartile Value]] &gt; Table13[[#This Row],[Previous Quartile Value]], "Dropped", "Same")))</f>
        <v>Same</v>
      </c>
      <c r="J385" s="10" t="s">
        <v>22</v>
      </c>
      <c r="K385" s="7" t="str">
        <f>VLOOKUP(J385,Introduction!$B$6:$C$14,2)</f>
        <v>North West</v>
      </c>
      <c r="L385" s="26">
        <v>409</v>
      </c>
      <c r="M385" s="8" t="s">
        <v>425</v>
      </c>
    </row>
    <row r="386" spans="1:13" ht="19.95" customHeight="1" x14ac:dyDescent="0.25">
      <c r="A386" s="41">
        <v>45444</v>
      </c>
      <c r="B386" s="47">
        <f>MONTH(Table13[[#This Row],[YearMonth]])</f>
        <v>6</v>
      </c>
      <c r="C386" s="9" t="s">
        <v>147</v>
      </c>
      <c r="D386" s="6" t="s">
        <v>338</v>
      </c>
      <c r="E386" s="6">
        <f>IF(Table13[[#This Row],[Quartile]]="TopQuartile", 1,
 IF(Table13[[#This Row],[Quartile]]="SecondQuartile", 2,
 IF(Table13[[#This Row],[Quartile]]="ThirdQuartile", 3,
 IF(Table13[[#This Row],[Quartile]]="FourthQuartile", 4, ""))))</f>
        <v>2</v>
      </c>
      <c r="F386" s="9" t="s">
        <v>437</v>
      </c>
      <c r="G386" s="9" t="str" cm="1">
        <f t="array" ref="G386">IFERROR(
  INDEX(Table13[Quartile],
    MATCH(1,
      (Table13[[#This Row],[OrgName]]=Table13[OrgName]) *
      (Table13[[#This Row],[Month Number]]-1=Table13[Month Number]),
    0)
  ),
"")</f>
        <v>SecondQuartile</v>
      </c>
      <c r="H386" s="9">
        <f>IF(Table13[[#This Row],[Previous Quartile]]="TopQuartile", 1,
 IF(Table13[[#This Row],[Previous Quartile]]="SecondQuartile", 2,
 IF(Table13[[#This Row],[Previous Quartile]]="ThirdQuartile", 3,
 IF(Table13[[#This Row],[Previous Quartile]]="FourthQuartile", 4, ""))))</f>
        <v>2</v>
      </c>
      <c r="I386" s="9" t="str">
        <f>IF(Table13[[#This Row],[Previous Quartile Value]]="", "",
   IF(Table13[[#This Row],[Quartile Value]] &lt; Table13[[#This Row],[Previous Quartile Value]], "Improved",
   IF(Table13[[#This Row],[Quartile Value]] &gt; Table13[[#This Row],[Previous Quartile Value]], "Dropped", "Same")))</f>
        <v>Same</v>
      </c>
      <c r="J386" s="10" t="s">
        <v>22</v>
      </c>
      <c r="K386" s="7" t="str">
        <f>VLOOKUP(J386,Introduction!$B$6:$C$14,2)</f>
        <v>North West</v>
      </c>
      <c r="L386" s="10">
        <v>331</v>
      </c>
      <c r="M386" s="8" t="s">
        <v>425</v>
      </c>
    </row>
    <row r="387" spans="1:13" ht="19.95" customHeight="1" x14ac:dyDescent="0.25">
      <c r="A387" s="41">
        <v>45444</v>
      </c>
      <c r="B387" s="47">
        <f>MONTH(Table13[[#This Row],[YearMonth]])</f>
        <v>6</v>
      </c>
      <c r="C387" s="9" t="s">
        <v>157</v>
      </c>
      <c r="D387" s="6" t="s">
        <v>338</v>
      </c>
      <c r="E387" s="6">
        <f>IF(Table13[[#This Row],[Quartile]]="TopQuartile", 1,
 IF(Table13[[#This Row],[Quartile]]="SecondQuartile", 2,
 IF(Table13[[#This Row],[Quartile]]="ThirdQuartile", 3,
 IF(Table13[[#This Row],[Quartile]]="FourthQuartile", 4, ""))))</f>
        <v>2</v>
      </c>
      <c r="F387" s="9" t="s">
        <v>440</v>
      </c>
      <c r="G387" s="9" t="str" cm="1">
        <f t="array" ref="G387">IFERROR(
  INDEX(Table13[Quartile],
    MATCH(1,
      (Table13[[#This Row],[OrgName]]=Table13[OrgName]) *
      (Table13[[#This Row],[Month Number]]-1=Table13[Month Number]),
    0)
  ),
"")</f>
        <v>SecondQuartile</v>
      </c>
      <c r="H387" s="9">
        <f>IF(Table13[[#This Row],[Previous Quartile]]="TopQuartile", 1,
 IF(Table13[[#This Row],[Previous Quartile]]="SecondQuartile", 2,
 IF(Table13[[#This Row],[Previous Quartile]]="ThirdQuartile", 3,
 IF(Table13[[#This Row],[Previous Quartile]]="FourthQuartile", 4, ""))))</f>
        <v>2</v>
      </c>
      <c r="I387" s="9" t="str">
        <f>IF(Table13[[#This Row],[Previous Quartile Value]]="", "",
   IF(Table13[[#This Row],[Quartile Value]] &lt; Table13[[#This Row],[Previous Quartile Value]], "Improved",
   IF(Table13[[#This Row],[Quartile Value]] &gt; Table13[[#This Row],[Previous Quartile Value]], "Dropped", "Same")))</f>
        <v>Same</v>
      </c>
      <c r="J387" s="10" t="s">
        <v>12</v>
      </c>
      <c r="K387" s="7" t="str">
        <f>VLOOKUP(J387,Introduction!$B$6:$C$14,2)</f>
        <v>London</v>
      </c>
      <c r="L387" s="10">
        <v>391</v>
      </c>
      <c r="M387" s="8" t="s">
        <v>425</v>
      </c>
    </row>
    <row r="388" spans="1:13" ht="19.95" customHeight="1" x14ac:dyDescent="0.25">
      <c r="A388" s="41">
        <v>45444</v>
      </c>
      <c r="B388" s="47">
        <f>MONTH(Table13[[#This Row],[YearMonth]])</f>
        <v>6</v>
      </c>
      <c r="C388" s="9" t="s">
        <v>149</v>
      </c>
      <c r="D388" s="6" t="s">
        <v>338</v>
      </c>
      <c r="E388" s="6">
        <f>IF(Table13[[#This Row],[Quartile]]="TopQuartile", 1,
 IF(Table13[[#This Row],[Quartile]]="SecondQuartile", 2,
 IF(Table13[[#This Row],[Quartile]]="ThirdQuartile", 3,
 IF(Table13[[#This Row],[Quartile]]="FourthQuartile", 4, ""))))</f>
        <v>2</v>
      </c>
      <c r="F388" s="9" t="s">
        <v>438</v>
      </c>
      <c r="G388" s="9" t="str" cm="1">
        <f t="array" ref="G388">IFERROR(
  INDEX(Table13[Quartile],
    MATCH(1,
      (Table13[[#This Row],[OrgName]]=Table13[OrgName]) *
      (Table13[[#This Row],[Month Number]]-1=Table13[Month Number]),
    0)
  ),
"")</f>
        <v>SecondQuartile</v>
      </c>
      <c r="H388" s="9">
        <f>IF(Table13[[#This Row],[Previous Quartile]]="TopQuartile", 1,
 IF(Table13[[#This Row],[Previous Quartile]]="SecondQuartile", 2,
 IF(Table13[[#This Row],[Previous Quartile]]="ThirdQuartile", 3,
 IF(Table13[[#This Row],[Previous Quartile]]="FourthQuartile", 4, ""))))</f>
        <v>2</v>
      </c>
      <c r="I388" s="9" t="str">
        <f>IF(Table13[[#This Row],[Previous Quartile Value]]="", "",
   IF(Table13[[#This Row],[Quartile Value]] &lt; Table13[[#This Row],[Previous Quartile Value]], "Improved",
   IF(Table13[[#This Row],[Quartile Value]] &gt; Table13[[#This Row],[Previous Quartile Value]], "Dropped", "Same")))</f>
        <v>Same</v>
      </c>
      <c r="J388" s="10" t="s">
        <v>16</v>
      </c>
      <c r="K388" s="7" t="str">
        <f>VLOOKUP(J388,Introduction!$B$6:$C$14,2)</f>
        <v>South East</v>
      </c>
      <c r="L388" s="10">
        <v>279</v>
      </c>
      <c r="M388" s="8" t="s">
        <v>425</v>
      </c>
    </row>
    <row r="389" spans="1:13" ht="19.95" customHeight="1" x14ac:dyDescent="0.25">
      <c r="A389" s="41">
        <v>45444</v>
      </c>
      <c r="B389" s="47">
        <f>MONTH(Table13[[#This Row],[YearMonth]])</f>
        <v>6</v>
      </c>
      <c r="C389" s="9" t="s">
        <v>160</v>
      </c>
      <c r="D389" s="6" t="s">
        <v>338</v>
      </c>
      <c r="E389" s="6">
        <f>IF(Table13[[#This Row],[Quartile]]="TopQuartile", 1,
 IF(Table13[[#This Row],[Quartile]]="SecondQuartile", 2,
 IF(Table13[[#This Row],[Quartile]]="ThirdQuartile", 3,
 IF(Table13[[#This Row],[Quartile]]="FourthQuartile", 4, ""))))</f>
        <v>2</v>
      </c>
      <c r="F389" s="9" t="s">
        <v>441</v>
      </c>
      <c r="G389" s="9" t="str" cm="1">
        <f t="array" ref="G389">IFERROR(
  INDEX(Table13[Quartile],
    MATCH(1,
      (Table13[[#This Row],[OrgName]]=Table13[OrgName]) *
      (Table13[[#This Row],[Month Number]]-1=Table13[Month Number]),
    0)
  ),
"")</f>
        <v>FourthQuartile</v>
      </c>
      <c r="H389" s="9">
        <f>IF(Table13[[#This Row],[Previous Quartile]]="TopQuartile", 1,
 IF(Table13[[#This Row],[Previous Quartile]]="SecondQuartile", 2,
 IF(Table13[[#This Row],[Previous Quartile]]="ThirdQuartile", 3,
 IF(Table13[[#This Row],[Previous Quartile]]="FourthQuartile", 4, ""))))</f>
        <v>4</v>
      </c>
      <c r="I389" s="9" t="str">
        <f>IF(Table13[[#This Row],[Previous Quartile Value]]="", "",
   IF(Table13[[#This Row],[Quartile Value]] &lt; Table13[[#This Row],[Previous Quartile Value]], "Improved",
   IF(Table13[[#This Row],[Quartile Value]] &gt; Table13[[#This Row],[Previous Quartile Value]], "Dropped", "Same")))</f>
        <v>Improved</v>
      </c>
      <c r="J389" s="10" t="s">
        <v>24</v>
      </c>
      <c r="K389" s="7" t="str">
        <f>VLOOKUP(J389,Introduction!$B$6:$C$14,2)</f>
        <v>North East and Yorkshire</v>
      </c>
      <c r="L389" s="10">
        <v>272</v>
      </c>
      <c r="M389" s="8" t="s">
        <v>425</v>
      </c>
    </row>
    <row r="390" spans="1:13" ht="19.95" customHeight="1" x14ac:dyDescent="0.25">
      <c r="A390" s="41">
        <v>45444</v>
      </c>
      <c r="B390" s="47">
        <f>MONTH(Table13[[#This Row],[YearMonth]])</f>
        <v>6</v>
      </c>
      <c r="C390" s="9" t="s">
        <v>161</v>
      </c>
      <c r="D390" s="6" t="s">
        <v>338</v>
      </c>
      <c r="E390" s="6">
        <f>IF(Table13[[#This Row],[Quartile]]="TopQuartile", 1,
 IF(Table13[[#This Row],[Quartile]]="SecondQuartile", 2,
 IF(Table13[[#This Row],[Quartile]]="ThirdQuartile", 3,
 IF(Table13[[#This Row],[Quartile]]="FourthQuartile", 4, ""))))</f>
        <v>2</v>
      </c>
      <c r="F390" s="9" t="s">
        <v>442</v>
      </c>
      <c r="G390" s="9" t="str" cm="1">
        <f t="array" ref="G390">IFERROR(
  INDEX(Table13[Quartile],
    MATCH(1,
      (Table13[[#This Row],[OrgName]]=Table13[OrgName]) *
      (Table13[[#This Row],[Month Number]]-1=Table13[Month Number]),
    0)
  ),
"")</f>
        <v>SecondQuartile</v>
      </c>
      <c r="H390" s="9">
        <f>IF(Table13[[#This Row],[Previous Quartile]]="TopQuartile", 1,
 IF(Table13[[#This Row],[Previous Quartile]]="SecondQuartile", 2,
 IF(Table13[[#This Row],[Previous Quartile]]="ThirdQuartile", 3,
 IF(Table13[[#This Row],[Previous Quartile]]="FourthQuartile", 4, ""))))</f>
        <v>2</v>
      </c>
      <c r="I390" s="9" t="str">
        <f>IF(Table13[[#This Row],[Previous Quartile Value]]="", "",
   IF(Table13[[#This Row],[Quartile Value]] &lt; Table13[[#This Row],[Previous Quartile Value]], "Improved",
   IF(Table13[[#This Row],[Quartile Value]] &gt; Table13[[#This Row],[Previous Quartile Value]], "Dropped", "Same")))</f>
        <v>Same</v>
      </c>
      <c r="J390" s="10" t="s">
        <v>16</v>
      </c>
      <c r="K390" s="7" t="str">
        <f>VLOOKUP(J390,Introduction!$B$6:$C$14,2)</f>
        <v>South East</v>
      </c>
      <c r="L390" s="10">
        <v>344</v>
      </c>
      <c r="M390" s="8" t="s">
        <v>425</v>
      </c>
    </row>
    <row r="391" spans="1:13" ht="19.95" customHeight="1" x14ac:dyDescent="0.25">
      <c r="A391" s="41">
        <v>45444</v>
      </c>
      <c r="B391" s="47">
        <f>MONTH(Table13[[#This Row],[YearMonth]])</f>
        <v>6</v>
      </c>
      <c r="C391" s="9" t="s">
        <v>165</v>
      </c>
      <c r="D391" s="6" t="s">
        <v>338</v>
      </c>
      <c r="E391" s="6">
        <f>IF(Table13[[#This Row],[Quartile]]="TopQuartile", 1,
 IF(Table13[[#This Row],[Quartile]]="SecondQuartile", 2,
 IF(Table13[[#This Row],[Quartile]]="ThirdQuartile", 3,
 IF(Table13[[#This Row],[Quartile]]="FourthQuartile", 4, ""))))</f>
        <v>2</v>
      </c>
      <c r="F391" s="9" t="s">
        <v>443</v>
      </c>
      <c r="G391" s="9" t="str" cm="1">
        <f t="array" ref="G391">IFERROR(
  INDEX(Table13[Quartile],
    MATCH(1,
      (Table13[[#This Row],[OrgName]]=Table13[OrgName]) *
      (Table13[[#This Row],[Month Number]]-1=Table13[Month Number]),
    0)
  ),
"")</f>
        <v>SecondQuartile</v>
      </c>
      <c r="H391" s="9">
        <f>IF(Table13[[#This Row],[Previous Quartile]]="TopQuartile", 1,
 IF(Table13[[#This Row],[Previous Quartile]]="SecondQuartile", 2,
 IF(Table13[[#This Row],[Previous Quartile]]="ThirdQuartile", 3,
 IF(Table13[[#This Row],[Previous Quartile]]="FourthQuartile", 4, ""))))</f>
        <v>2</v>
      </c>
      <c r="I391" s="9" t="str">
        <f>IF(Table13[[#This Row],[Previous Quartile Value]]="", "",
   IF(Table13[[#This Row],[Quartile Value]] &lt; Table13[[#This Row],[Previous Quartile Value]], "Improved",
   IF(Table13[[#This Row],[Quartile Value]] &gt; Table13[[#This Row],[Previous Quartile Value]], "Dropped", "Same")))</f>
        <v>Same</v>
      </c>
      <c r="J391" s="10" t="s">
        <v>24</v>
      </c>
      <c r="K391" s="7" t="str">
        <f>VLOOKUP(J391,Introduction!$B$6:$C$14,2)</f>
        <v>North East and Yorkshire</v>
      </c>
      <c r="L391" s="10">
        <v>356</v>
      </c>
      <c r="M391" s="8" t="s">
        <v>425</v>
      </c>
    </row>
    <row r="392" spans="1:13" ht="19.95" customHeight="1" x14ac:dyDescent="0.25">
      <c r="A392" s="41">
        <v>45444</v>
      </c>
      <c r="B392" s="47">
        <f>MONTH(Table13[[#This Row],[YearMonth]])</f>
        <v>6</v>
      </c>
      <c r="C392" s="9" t="s">
        <v>153</v>
      </c>
      <c r="D392" s="6" t="s">
        <v>341</v>
      </c>
      <c r="E392" s="6">
        <f>IF(Table13[[#This Row],[Quartile]]="TopQuartile", 1,
 IF(Table13[[#This Row],[Quartile]]="SecondQuartile", 2,
 IF(Table13[[#This Row],[Quartile]]="ThirdQuartile", 3,
 IF(Table13[[#This Row],[Quartile]]="FourthQuartile", 4, ""))))</f>
        <v>3</v>
      </c>
      <c r="F392" s="9" t="s">
        <v>439</v>
      </c>
      <c r="G392" s="9" t="str" cm="1">
        <f t="array" ref="G392">IFERROR(
  INDEX(Table13[Quartile],
    MATCH(1,
      (Table13[[#This Row],[OrgName]]=Table13[OrgName]) *
      (Table13[[#This Row],[Month Number]]-1=Table13[Month Number]),
    0)
  ),
"")</f>
        <v>SecondQuartile</v>
      </c>
      <c r="H392" s="9">
        <f>IF(Table13[[#This Row],[Previous Quartile]]="TopQuartile", 1,
 IF(Table13[[#This Row],[Previous Quartile]]="SecondQuartile", 2,
 IF(Table13[[#This Row],[Previous Quartile]]="ThirdQuartile", 3,
 IF(Table13[[#This Row],[Previous Quartile]]="FourthQuartile", 4, ""))))</f>
        <v>2</v>
      </c>
      <c r="I392" s="9" t="str">
        <f>IF(Table13[[#This Row],[Previous Quartile Value]]="", "",
   IF(Table13[[#This Row],[Quartile Value]] &lt; Table13[[#This Row],[Previous Quartile Value]], "Improved",
   IF(Table13[[#This Row],[Quartile Value]] &gt; Table13[[#This Row],[Previous Quartile Value]], "Dropped", "Same")))</f>
        <v>Dropped</v>
      </c>
      <c r="J392" s="10" t="s">
        <v>12</v>
      </c>
      <c r="K392" s="7" t="str">
        <f>VLOOKUP(J392,Introduction!$B$6:$C$14,2)</f>
        <v>London</v>
      </c>
      <c r="L392" s="10">
        <v>293</v>
      </c>
      <c r="M392" s="8" t="s">
        <v>425</v>
      </c>
    </row>
    <row r="393" spans="1:13" ht="19.95" customHeight="1" x14ac:dyDescent="0.25">
      <c r="A393" s="41">
        <v>45444</v>
      </c>
      <c r="B393" s="47">
        <f>MONTH(Table13[[#This Row],[YearMonth]])</f>
        <v>6</v>
      </c>
      <c r="C393" s="9" t="s">
        <v>177</v>
      </c>
      <c r="D393" s="6" t="s">
        <v>341</v>
      </c>
      <c r="E393" s="6">
        <f>IF(Table13[[#This Row],[Quartile]]="TopQuartile", 1,
 IF(Table13[[#This Row],[Quartile]]="SecondQuartile", 2,
 IF(Table13[[#This Row],[Quartile]]="ThirdQuartile", 3,
 IF(Table13[[#This Row],[Quartile]]="FourthQuartile", 4, ""))))</f>
        <v>3</v>
      </c>
      <c r="F393" s="9" t="s">
        <v>446</v>
      </c>
      <c r="G393" s="9" t="str" cm="1">
        <f t="array" ref="G393">IFERROR(
  INDEX(Table13[Quartile],
    MATCH(1,
      (Table13[[#This Row],[OrgName]]=Table13[OrgName]) *
      (Table13[[#This Row],[Month Number]]-1=Table13[Month Number]),
    0)
  ),
"")</f>
        <v>ThirdQuartile</v>
      </c>
      <c r="H393" s="9">
        <f>IF(Table13[[#This Row],[Previous Quartile]]="TopQuartile", 1,
 IF(Table13[[#This Row],[Previous Quartile]]="SecondQuartile", 2,
 IF(Table13[[#This Row],[Previous Quartile]]="ThirdQuartile", 3,
 IF(Table13[[#This Row],[Previous Quartile]]="FourthQuartile", 4, ""))))</f>
        <v>3</v>
      </c>
      <c r="I393" s="9" t="str">
        <f>IF(Table13[[#This Row],[Previous Quartile Value]]="", "",
   IF(Table13[[#This Row],[Quartile Value]] &lt; Table13[[#This Row],[Previous Quartile Value]], "Improved",
   IF(Table13[[#This Row],[Quartile Value]] &gt; Table13[[#This Row],[Previous Quartile Value]], "Dropped", "Same")))</f>
        <v>Same</v>
      </c>
      <c r="J393" s="10" t="s">
        <v>18</v>
      </c>
      <c r="K393" s="7" t="str">
        <f>VLOOKUP(J393,Introduction!$B$6:$C$14,2)</f>
        <v>Midlands</v>
      </c>
      <c r="L393" s="10">
        <v>358</v>
      </c>
      <c r="M393" s="8" t="s">
        <v>425</v>
      </c>
    </row>
    <row r="394" spans="1:13" ht="19.95" customHeight="1" x14ac:dyDescent="0.25">
      <c r="A394" s="41">
        <v>45444</v>
      </c>
      <c r="B394" s="47">
        <f>MONTH(Table13[[#This Row],[YearMonth]])</f>
        <v>6</v>
      </c>
      <c r="C394" s="9" t="s">
        <v>170</v>
      </c>
      <c r="D394" s="6" t="s">
        <v>341</v>
      </c>
      <c r="E394" s="6">
        <f>IF(Table13[[#This Row],[Quartile]]="TopQuartile", 1,
 IF(Table13[[#This Row],[Quartile]]="SecondQuartile", 2,
 IF(Table13[[#This Row],[Quartile]]="ThirdQuartile", 3,
 IF(Table13[[#This Row],[Quartile]]="FourthQuartile", 4, ""))))</f>
        <v>3</v>
      </c>
      <c r="F394" s="9" t="s">
        <v>445</v>
      </c>
      <c r="G394" s="9" t="str" cm="1">
        <f t="array" ref="G394">IFERROR(
  INDEX(Table13[Quartile],
    MATCH(1,
      (Table13[[#This Row],[OrgName]]=Table13[OrgName]) *
      (Table13[[#This Row],[Month Number]]-1=Table13[Month Number]),
    0)
  ),
"")</f>
        <v>ThirdQuartile</v>
      </c>
      <c r="H394" s="9">
        <f>IF(Table13[[#This Row],[Previous Quartile]]="TopQuartile", 1,
 IF(Table13[[#This Row],[Previous Quartile]]="SecondQuartile", 2,
 IF(Table13[[#This Row],[Previous Quartile]]="ThirdQuartile", 3,
 IF(Table13[[#This Row],[Previous Quartile]]="FourthQuartile", 4, ""))))</f>
        <v>3</v>
      </c>
      <c r="I394" s="9" t="str">
        <f>IF(Table13[[#This Row],[Previous Quartile Value]]="", "",
   IF(Table13[[#This Row],[Quartile Value]] &lt; Table13[[#This Row],[Previous Quartile Value]], "Improved",
   IF(Table13[[#This Row],[Quartile Value]] &gt; Table13[[#This Row],[Previous Quartile Value]], "Dropped", "Same")))</f>
        <v>Same</v>
      </c>
      <c r="J394" s="10" t="s">
        <v>18</v>
      </c>
      <c r="K394" s="7" t="str">
        <f>VLOOKUP(J394,Introduction!$B$6:$C$14,2)</f>
        <v>Midlands</v>
      </c>
      <c r="L394" s="10">
        <v>218</v>
      </c>
      <c r="M394" s="8" t="s">
        <v>425</v>
      </c>
    </row>
    <row r="395" spans="1:13" ht="19.95" customHeight="1" x14ac:dyDescent="0.25">
      <c r="A395" s="41">
        <v>45444</v>
      </c>
      <c r="B395" s="47">
        <f>MONTH(Table13[[#This Row],[YearMonth]])</f>
        <v>6</v>
      </c>
      <c r="C395" s="9" t="s">
        <v>190</v>
      </c>
      <c r="D395" s="6" t="s">
        <v>341</v>
      </c>
      <c r="E395" s="6">
        <f>IF(Table13[[#This Row],[Quartile]]="TopQuartile", 1,
 IF(Table13[[#This Row],[Quartile]]="SecondQuartile", 2,
 IF(Table13[[#This Row],[Quartile]]="ThirdQuartile", 3,
 IF(Table13[[#This Row],[Quartile]]="FourthQuartile", 4, ""))))</f>
        <v>3</v>
      </c>
      <c r="F395" s="9" t="s">
        <v>449</v>
      </c>
      <c r="G395" s="9" t="str" cm="1">
        <f t="array" ref="G395">IFERROR(
  INDEX(Table13[Quartile],
    MATCH(1,
      (Table13[[#This Row],[OrgName]]=Table13[OrgName]) *
      (Table13[[#This Row],[Month Number]]-1=Table13[Month Number]),
    0)
  ),
"")</f>
        <v>ThirdQuartile</v>
      </c>
      <c r="H395" s="9">
        <f>IF(Table13[[#This Row],[Previous Quartile]]="TopQuartile", 1,
 IF(Table13[[#This Row],[Previous Quartile]]="SecondQuartile", 2,
 IF(Table13[[#This Row],[Previous Quartile]]="ThirdQuartile", 3,
 IF(Table13[[#This Row],[Previous Quartile]]="FourthQuartile", 4, ""))))</f>
        <v>3</v>
      </c>
      <c r="I395" s="9" t="str">
        <f>IF(Table13[[#This Row],[Previous Quartile Value]]="", "",
   IF(Table13[[#This Row],[Quartile Value]] &lt; Table13[[#This Row],[Previous Quartile Value]], "Improved",
   IF(Table13[[#This Row],[Quartile Value]] &gt; Table13[[#This Row],[Previous Quartile Value]], "Dropped", "Same")))</f>
        <v>Same</v>
      </c>
      <c r="J395" s="10" t="s">
        <v>12</v>
      </c>
      <c r="K395" s="7" t="str">
        <f>VLOOKUP(J395,Introduction!$B$6:$C$14,2)</f>
        <v>London</v>
      </c>
      <c r="L395" s="10">
        <v>200</v>
      </c>
      <c r="M395" s="8" t="s">
        <v>425</v>
      </c>
    </row>
    <row r="396" spans="1:13" ht="19.95" customHeight="1" x14ac:dyDescent="0.25">
      <c r="A396" s="41">
        <v>45444</v>
      </c>
      <c r="B396" s="47">
        <f>MONTH(Table13[[#This Row],[YearMonth]])</f>
        <v>6</v>
      </c>
      <c r="C396" s="9" t="s">
        <v>189</v>
      </c>
      <c r="D396" s="6" t="s">
        <v>341</v>
      </c>
      <c r="E396" s="6">
        <f>IF(Table13[[#This Row],[Quartile]]="TopQuartile", 1,
 IF(Table13[[#This Row],[Quartile]]="SecondQuartile", 2,
 IF(Table13[[#This Row],[Quartile]]="ThirdQuartile", 3,
 IF(Table13[[#This Row],[Quartile]]="FourthQuartile", 4, ""))))</f>
        <v>3</v>
      </c>
      <c r="F396" s="9" t="s">
        <v>448</v>
      </c>
      <c r="G396" s="9" t="str" cm="1">
        <f t="array" ref="G396">IFERROR(
  INDEX(Table13[Quartile],
    MATCH(1,
      (Table13[[#This Row],[OrgName]]=Table13[OrgName]) *
      (Table13[[#This Row],[Month Number]]-1=Table13[Month Number]),
    0)
  ),
"")</f>
        <v>ThirdQuartile</v>
      </c>
      <c r="H396" s="9">
        <f>IF(Table13[[#This Row],[Previous Quartile]]="TopQuartile", 1,
 IF(Table13[[#This Row],[Previous Quartile]]="SecondQuartile", 2,
 IF(Table13[[#This Row],[Previous Quartile]]="ThirdQuartile", 3,
 IF(Table13[[#This Row],[Previous Quartile]]="FourthQuartile", 4, ""))))</f>
        <v>3</v>
      </c>
      <c r="I396" s="9" t="str">
        <f>IF(Table13[[#This Row],[Previous Quartile Value]]="", "",
   IF(Table13[[#This Row],[Quartile Value]] &lt; Table13[[#This Row],[Previous Quartile Value]], "Improved",
   IF(Table13[[#This Row],[Quartile Value]] &gt; Table13[[#This Row],[Previous Quartile Value]], "Dropped", "Same")))</f>
        <v>Same</v>
      </c>
      <c r="J396" s="10" t="s">
        <v>12</v>
      </c>
      <c r="K396" s="7" t="str">
        <f>VLOOKUP(J396,Introduction!$B$6:$C$14,2)</f>
        <v>London</v>
      </c>
      <c r="L396" s="10">
        <v>343</v>
      </c>
      <c r="M396" s="8" t="s">
        <v>425</v>
      </c>
    </row>
    <row r="397" spans="1:13" ht="19.95" customHeight="1" x14ac:dyDescent="0.25">
      <c r="A397" s="41">
        <v>45444</v>
      </c>
      <c r="B397" s="47">
        <f>MONTH(Table13[[#This Row],[YearMonth]])</f>
        <v>6</v>
      </c>
      <c r="C397" s="9" t="s">
        <v>192</v>
      </c>
      <c r="D397" s="6" t="s">
        <v>341</v>
      </c>
      <c r="E397" s="6">
        <f>IF(Table13[[#This Row],[Quartile]]="TopQuartile", 1,
 IF(Table13[[#This Row],[Quartile]]="SecondQuartile", 2,
 IF(Table13[[#This Row],[Quartile]]="ThirdQuartile", 3,
 IF(Table13[[#This Row],[Quartile]]="FourthQuartile", 4, ""))))</f>
        <v>3</v>
      </c>
      <c r="F397" s="9" t="s">
        <v>450</v>
      </c>
      <c r="G397" s="9" t="str" cm="1">
        <f t="array" ref="G397">IFERROR(
  INDEX(Table13[Quartile],
    MATCH(1,
      (Table13[[#This Row],[OrgName]]=Table13[OrgName]) *
      (Table13[[#This Row],[Month Number]]-1=Table13[Month Number]),
    0)
  ),
"")</f>
        <v>ThirdQuartile</v>
      </c>
      <c r="H397" s="9">
        <f>IF(Table13[[#This Row],[Previous Quartile]]="TopQuartile", 1,
 IF(Table13[[#This Row],[Previous Quartile]]="SecondQuartile", 2,
 IF(Table13[[#This Row],[Previous Quartile]]="ThirdQuartile", 3,
 IF(Table13[[#This Row],[Previous Quartile]]="FourthQuartile", 4, ""))))</f>
        <v>3</v>
      </c>
      <c r="I397" s="9" t="str">
        <f>IF(Table13[[#This Row],[Previous Quartile Value]]="", "",
   IF(Table13[[#This Row],[Quartile Value]] &lt; Table13[[#This Row],[Previous Quartile Value]], "Improved",
   IF(Table13[[#This Row],[Quartile Value]] &gt; Table13[[#This Row],[Previous Quartile Value]], "Dropped", "Same")))</f>
        <v>Same</v>
      </c>
      <c r="J397" s="10" t="s">
        <v>12</v>
      </c>
      <c r="K397" s="7" t="str">
        <f>VLOOKUP(J397,Introduction!$B$6:$C$14,2)</f>
        <v>London</v>
      </c>
      <c r="L397" s="10">
        <v>259</v>
      </c>
      <c r="M397" s="8" t="s">
        <v>425</v>
      </c>
    </row>
    <row r="398" spans="1:13" ht="19.95" customHeight="1" x14ac:dyDescent="0.25">
      <c r="A398" s="41">
        <v>45444</v>
      </c>
      <c r="B398" s="47">
        <f>MONTH(Table13[[#This Row],[YearMonth]])</f>
        <v>6</v>
      </c>
      <c r="C398" s="9" t="s">
        <v>197</v>
      </c>
      <c r="D398" s="6" t="s">
        <v>341</v>
      </c>
      <c r="E398" s="6">
        <f>IF(Table13[[#This Row],[Quartile]]="TopQuartile", 1,
 IF(Table13[[#This Row],[Quartile]]="SecondQuartile", 2,
 IF(Table13[[#This Row],[Quartile]]="ThirdQuartile", 3,
 IF(Table13[[#This Row],[Quartile]]="FourthQuartile", 4, ""))))</f>
        <v>3</v>
      </c>
      <c r="F398" s="9" t="s">
        <v>453</v>
      </c>
      <c r="G398" s="9" t="str" cm="1">
        <f t="array" ref="G398">IFERROR(
  INDEX(Table13[Quartile],
    MATCH(1,
      (Table13[[#This Row],[OrgName]]=Table13[OrgName]) *
      (Table13[[#This Row],[Month Number]]-1=Table13[Month Number]),
    0)
  ),
"")</f>
        <v>ThirdQuartile</v>
      </c>
      <c r="H398" s="9">
        <f>IF(Table13[[#This Row],[Previous Quartile]]="TopQuartile", 1,
 IF(Table13[[#This Row],[Previous Quartile]]="SecondQuartile", 2,
 IF(Table13[[#This Row],[Previous Quartile]]="ThirdQuartile", 3,
 IF(Table13[[#This Row],[Previous Quartile]]="FourthQuartile", 4, ""))))</f>
        <v>3</v>
      </c>
      <c r="I398" s="9" t="str">
        <f>IF(Table13[[#This Row],[Previous Quartile Value]]="", "",
   IF(Table13[[#This Row],[Quartile Value]] &lt; Table13[[#This Row],[Previous Quartile Value]], "Improved",
   IF(Table13[[#This Row],[Quartile Value]] &gt; Table13[[#This Row],[Previous Quartile Value]], "Dropped", "Same")))</f>
        <v>Same</v>
      </c>
      <c r="J398" s="10" t="s">
        <v>24</v>
      </c>
      <c r="K398" s="7" t="str">
        <f>VLOOKUP(J398,Introduction!$B$6:$C$14,2)</f>
        <v>North East and Yorkshire</v>
      </c>
      <c r="L398" s="10">
        <v>328</v>
      </c>
      <c r="M398" s="8" t="s">
        <v>425</v>
      </c>
    </row>
    <row r="399" spans="1:13" ht="19.95" customHeight="1" x14ac:dyDescent="0.25">
      <c r="A399" s="41">
        <v>45444</v>
      </c>
      <c r="B399" s="47">
        <f>MONTH(Table13[[#This Row],[YearMonth]])</f>
        <v>6</v>
      </c>
      <c r="C399" s="9" t="s">
        <v>194</v>
      </c>
      <c r="D399" s="6" t="s">
        <v>341</v>
      </c>
      <c r="E399" s="6">
        <f>IF(Table13[[#This Row],[Quartile]]="TopQuartile", 1,
 IF(Table13[[#This Row],[Quartile]]="SecondQuartile", 2,
 IF(Table13[[#This Row],[Quartile]]="ThirdQuartile", 3,
 IF(Table13[[#This Row],[Quartile]]="FourthQuartile", 4, ""))))</f>
        <v>3</v>
      </c>
      <c r="F399" s="9" t="s">
        <v>451</v>
      </c>
      <c r="G399" s="9" t="str" cm="1">
        <f t="array" ref="G399">IFERROR(
  INDEX(Table13[Quartile],
    MATCH(1,
      (Table13[[#This Row],[OrgName]]=Table13[OrgName]) *
      (Table13[[#This Row],[Month Number]]-1=Table13[Month Number]),
    0)
  ),
"")</f>
        <v>ThirdQuartile</v>
      </c>
      <c r="H399" s="9">
        <f>IF(Table13[[#This Row],[Previous Quartile]]="TopQuartile", 1,
 IF(Table13[[#This Row],[Previous Quartile]]="SecondQuartile", 2,
 IF(Table13[[#This Row],[Previous Quartile]]="ThirdQuartile", 3,
 IF(Table13[[#This Row],[Previous Quartile]]="FourthQuartile", 4, ""))))</f>
        <v>3</v>
      </c>
      <c r="I399" s="9" t="str">
        <f>IF(Table13[[#This Row],[Previous Quartile Value]]="", "",
   IF(Table13[[#This Row],[Quartile Value]] &lt; Table13[[#This Row],[Previous Quartile Value]], "Improved",
   IF(Table13[[#This Row],[Quartile Value]] &gt; Table13[[#This Row],[Previous Quartile Value]], "Dropped", "Same")))</f>
        <v>Same</v>
      </c>
      <c r="J399" s="10" t="s">
        <v>12</v>
      </c>
      <c r="K399" s="7" t="str">
        <f>VLOOKUP(J399,Introduction!$B$6:$C$14,2)</f>
        <v>London</v>
      </c>
      <c r="L399" s="10">
        <v>393</v>
      </c>
      <c r="M399" s="8" t="s">
        <v>425</v>
      </c>
    </row>
    <row r="400" spans="1:13" ht="19.95" customHeight="1" x14ac:dyDescent="0.25">
      <c r="A400" s="41">
        <v>45444</v>
      </c>
      <c r="B400" s="47">
        <f>MONTH(Table13[[#This Row],[YearMonth]])</f>
        <v>6</v>
      </c>
      <c r="C400" s="9" t="s">
        <v>198</v>
      </c>
      <c r="D400" s="6" t="s">
        <v>341</v>
      </c>
      <c r="E400" s="6">
        <f>IF(Table13[[#This Row],[Quartile]]="TopQuartile", 1,
 IF(Table13[[#This Row],[Quartile]]="SecondQuartile", 2,
 IF(Table13[[#This Row],[Quartile]]="ThirdQuartile", 3,
 IF(Table13[[#This Row],[Quartile]]="FourthQuartile", 4, ""))))</f>
        <v>3</v>
      </c>
      <c r="F400" s="9" t="s">
        <v>454</v>
      </c>
      <c r="G400" s="9" t="str" cm="1">
        <f t="array" ref="G400">IFERROR(
  INDEX(Table13[Quartile],
    MATCH(1,
      (Table13[[#This Row],[OrgName]]=Table13[OrgName]) *
      (Table13[[#This Row],[Month Number]]-1=Table13[Month Number]),
    0)
  ),
"")</f>
        <v>ThirdQuartile</v>
      </c>
      <c r="H400" s="9">
        <f>IF(Table13[[#This Row],[Previous Quartile]]="TopQuartile", 1,
 IF(Table13[[#This Row],[Previous Quartile]]="SecondQuartile", 2,
 IF(Table13[[#This Row],[Previous Quartile]]="ThirdQuartile", 3,
 IF(Table13[[#This Row],[Previous Quartile]]="FourthQuartile", 4, ""))))</f>
        <v>3</v>
      </c>
      <c r="I400" s="9" t="str">
        <f>IF(Table13[[#This Row],[Previous Quartile Value]]="", "",
   IF(Table13[[#This Row],[Quartile Value]] &lt; Table13[[#This Row],[Previous Quartile Value]], "Improved",
   IF(Table13[[#This Row],[Quartile Value]] &gt; Table13[[#This Row],[Previous Quartile Value]], "Dropped", "Same")))</f>
        <v>Same</v>
      </c>
      <c r="J400" s="10" t="s">
        <v>22</v>
      </c>
      <c r="K400" s="7" t="str">
        <f>VLOOKUP(J400,Introduction!$B$6:$C$14,2)</f>
        <v>North West</v>
      </c>
      <c r="L400" s="10">
        <v>370</v>
      </c>
      <c r="M400" s="8" t="s">
        <v>425</v>
      </c>
    </row>
    <row r="401" spans="1:13" ht="19.95" customHeight="1" x14ac:dyDescent="0.25">
      <c r="A401" s="41">
        <v>45444</v>
      </c>
      <c r="B401" s="47">
        <f>MONTH(Table13[[#This Row],[YearMonth]])</f>
        <v>6</v>
      </c>
      <c r="C401" s="9" t="s">
        <v>195</v>
      </c>
      <c r="D401" s="6" t="s">
        <v>341</v>
      </c>
      <c r="E401" s="6">
        <f>IF(Table13[[#This Row],[Quartile]]="TopQuartile", 1,
 IF(Table13[[#This Row],[Quartile]]="SecondQuartile", 2,
 IF(Table13[[#This Row],[Quartile]]="ThirdQuartile", 3,
 IF(Table13[[#This Row],[Quartile]]="FourthQuartile", 4, ""))))</f>
        <v>3</v>
      </c>
      <c r="F401" s="9" t="s">
        <v>452</v>
      </c>
      <c r="G401" s="9" t="str" cm="1">
        <f t="array" ref="G401">IFERROR(
  INDEX(Table13[Quartile],
    MATCH(1,
      (Table13[[#This Row],[OrgName]]=Table13[OrgName]) *
      (Table13[[#This Row],[Month Number]]-1=Table13[Month Number]),
    0)
  ),
"")</f>
        <v>ThirdQuartile</v>
      </c>
      <c r="H401" s="9">
        <f>IF(Table13[[#This Row],[Previous Quartile]]="TopQuartile", 1,
 IF(Table13[[#This Row],[Previous Quartile]]="SecondQuartile", 2,
 IF(Table13[[#This Row],[Previous Quartile]]="ThirdQuartile", 3,
 IF(Table13[[#This Row],[Previous Quartile]]="FourthQuartile", 4, ""))))</f>
        <v>3</v>
      </c>
      <c r="I401" s="9" t="str">
        <f>IF(Table13[[#This Row],[Previous Quartile Value]]="", "",
   IF(Table13[[#This Row],[Quartile Value]] &lt; Table13[[#This Row],[Previous Quartile Value]], "Improved",
   IF(Table13[[#This Row],[Quartile Value]] &gt; Table13[[#This Row],[Previous Quartile Value]], "Dropped", "Same")))</f>
        <v>Same</v>
      </c>
      <c r="J401" s="10" t="s">
        <v>24</v>
      </c>
      <c r="K401" s="7" t="str">
        <f>VLOOKUP(J401,Introduction!$B$6:$C$14,2)</f>
        <v>North East and Yorkshire</v>
      </c>
      <c r="L401" s="10">
        <v>377</v>
      </c>
      <c r="M401" s="8" t="s">
        <v>425</v>
      </c>
    </row>
    <row r="402" spans="1:13" ht="19.95" customHeight="1" x14ac:dyDescent="0.25">
      <c r="A402" s="41">
        <v>45444</v>
      </c>
      <c r="B402" s="47">
        <f>MONTH(Table13[[#This Row],[YearMonth]])</f>
        <v>6</v>
      </c>
      <c r="C402" s="9" t="s">
        <v>179</v>
      </c>
      <c r="D402" s="6" t="s">
        <v>341</v>
      </c>
      <c r="E402" s="6">
        <f>IF(Table13[[#This Row],[Quartile]]="TopQuartile", 1,
 IF(Table13[[#This Row],[Quartile]]="SecondQuartile", 2,
 IF(Table13[[#This Row],[Quartile]]="ThirdQuartile", 3,
 IF(Table13[[#This Row],[Quartile]]="FourthQuartile", 4, ""))))</f>
        <v>3</v>
      </c>
      <c r="F402" s="9" t="s">
        <v>447</v>
      </c>
      <c r="G402" s="9" t="str" cm="1">
        <f t="array" ref="G402">IFERROR(
  INDEX(Table13[Quartile],
    MATCH(1,
      (Table13[[#This Row],[OrgName]]=Table13[OrgName]) *
      (Table13[[#This Row],[Month Number]]-1=Table13[Month Number]),
    0)
  ),
"")</f>
        <v>ThirdQuartile</v>
      </c>
      <c r="H402" s="9">
        <f>IF(Table13[[#This Row],[Previous Quartile]]="TopQuartile", 1,
 IF(Table13[[#This Row],[Previous Quartile]]="SecondQuartile", 2,
 IF(Table13[[#This Row],[Previous Quartile]]="ThirdQuartile", 3,
 IF(Table13[[#This Row],[Previous Quartile]]="FourthQuartile", 4, ""))))</f>
        <v>3</v>
      </c>
      <c r="I402" s="9" t="str">
        <f>IF(Table13[[#This Row],[Previous Quartile Value]]="", "",
   IF(Table13[[#This Row],[Quartile Value]] &lt; Table13[[#This Row],[Previous Quartile Value]], "Improved",
   IF(Table13[[#This Row],[Quartile Value]] &gt; Table13[[#This Row],[Previous Quartile Value]], "Dropped", "Same")))</f>
        <v>Same</v>
      </c>
      <c r="J402" s="10" t="s">
        <v>20</v>
      </c>
      <c r="K402" s="7" t="str">
        <f>VLOOKUP(J402,Introduction!$B$6:$C$14,2)</f>
        <v>East of England</v>
      </c>
      <c r="L402" s="10">
        <v>430</v>
      </c>
      <c r="M402" s="8" t="s">
        <v>425</v>
      </c>
    </row>
    <row r="403" spans="1:13" ht="19.95" customHeight="1" x14ac:dyDescent="0.25">
      <c r="A403" s="41">
        <v>45444</v>
      </c>
      <c r="B403" s="47">
        <f>MONTH(Table13[[#This Row],[YearMonth]])</f>
        <v>6</v>
      </c>
      <c r="C403" s="9" t="s">
        <v>207</v>
      </c>
      <c r="D403" s="6" t="s">
        <v>341</v>
      </c>
      <c r="E403" s="6">
        <f>IF(Table13[[#This Row],[Quartile]]="TopQuartile", 1,
 IF(Table13[[#This Row],[Quartile]]="SecondQuartile", 2,
 IF(Table13[[#This Row],[Quartile]]="ThirdQuartile", 3,
 IF(Table13[[#This Row],[Quartile]]="FourthQuartile", 4, ""))))</f>
        <v>3</v>
      </c>
      <c r="F403" s="9" t="s">
        <v>455</v>
      </c>
      <c r="G403" s="9" t="str" cm="1">
        <f t="array" ref="G403">IFERROR(
  INDEX(Table13[Quartile],
    MATCH(1,
      (Table13[[#This Row],[OrgName]]=Table13[OrgName]) *
      (Table13[[#This Row],[Month Number]]-1=Table13[Month Number]),
    0)
  ),
"")</f>
        <v>ThirdQuartile</v>
      </c>
      <c r="H403" s="9">
        <f>IF(Table13[[#This Row],[Previous Quartile]]="TopQuartile", 1,
 IF(Table13[[#This Row],[Previous Quartile]]="SecondQuartile", 2,
 IF(Table13[[#This Row],[Previous Quartile]]="ThirdQuartile", 3,
 IF(Table13[[#This Row],[Previous Quartile]]="FourthQuartile", 4, ""))))</f>
        <v>3</v>
      </c>
      <c r="I403" s="9" t="str">
        <f>IF(Table13[[#This Row],[Previous Quartile Value]]="", "",
   IF(Table13[[#This Row],[Quartile Value]] &lt; Table13[[#This Row],[Previous Quartile Value]], "Improved",
   IF(Table13[[#This Row],[Quartile Value]] &gt; Table13[[#This Row],[Previous Quartile Value]], "Dropped", "Same")))</f>
        <v>Same</v>
      </c>
      <c r="J403" s="10" t="s">
        <v>20</v>
      </c>
      <c r="K403" s="7" t="str">
        <f>VLOOKUP(J403,Introduction!$B$6:$C$14,2)</f>
        <v>East of England</v>
      </c>
      <c r="L403" s="10">
        <v>177</v>
      </c>
      <c r="M403" s="8" t="s">
        <v>425</v>
      </c>
    </row>
    <row r="404" spans="1:13" ht="19.95" customHeight="1" x14ac:dyDescent="0.25">
      <c r="A404" s="41">
        <v>45444</v>
      </c>
      <c r="B404" s="47">
        <f>MONTH(Table13[[#This Row],[YearMonth]])</f>
        <v>6</v>
      </c>
      <c r="C404" s="9" t="s">
        <v>211</v>
      </c>
      <c r="D404" s="6" t="s">
        <v>341</v>
      </c>
      <c r="E404" s="6">
        <f>IF(Table13[[#This Row],[Quartile]]="TopQuartile", 1,
 IF(Table13[[#This Row],[Quartile]]="SecondQuartile", 2,
 IF(Table13[[#This Row],[Quartile]]="ThirdQuartile", 3,
 IF(Table13[[#This Row],[Quartile]]="FourthQuartile", 4, ""))))</f>
        <v>3</v>
      </c>
      <c r="F404" s="9" t="s">
        <v>457</v>
      </c>
      <c r="G404" s="9" t="str" cm="1">
        <f t="array" ref="G404">IFERROR(
  INDEX(Table13[Quartile],
    MATCH(1,
      (Table13[[#This Row],[OrgName]]=Table13[OrgName]) *
      (Table13[[#This Row],[Month Number]]-1=Table13[Month Number]),
    0)
  ),
"")</f>
        <v>FourthQuartile</v>
      </c>
      <c r="H404" s="9">
        <f>IF(Table13[[#This Row],[Previous Quartile]]="TopQuartile", 1,
 IF(Table13[[#This Row],[Previous Quartile]]="SecondQuartile", 2,
 IF(Table13[[#This Row],[Previous Quartile]]="ThirdQuartile", 3,
 IF(Table13[[#This Row],[Previous Quartile]]="FourthQuartile", 4, ""))))</f>
        <v>4</v>
      </c>
      <c r="I404" s="9" t="str">
        <f>IF(Table13[[#This Row],[Previous Quartile Value]]="", "",
   IF(Table13[[#This Row],[Quartile Value]] &lt; Table13[[#This Row],[Previous Quartile Value]], "Improved",
   IF(Table13[[#This Row],[Quartile Value]] &gt; Table13[[#This Row],[Previous Quartile Value]], "Dropped", "Same")))</f>
        <v>Improved</v>
      </c>
      <c r="J404" s="10" t="s">
        <v>12</v>
      </c>
      <c r="K404" s="7" t="str">
        <f>VLOOKUP(J404,Introduction!$B$6:$C$14,2)</f>
        <v>London</v>
      </c>
      <c r="L404" s="10">
        <v>213</v>
      </c>
      <c r="M404" s="8" t="s">
        <v>425</v>
      </c>
    </row>
    <row r="405" spans="1:13" ht="19.95" customHeight="1" x14ac:dyDescent="0.25">
      <c r="A405" s="41">
        <v>45444</v>
      </c>
      <c r="B405" s="47">
        <f>MONTH(Table13[[#This Row],[YearMonth]])</f>
        <v>6</v>
      </c>
      <c r="C405" s="9" t="s">
        <v>210</v>
      </c>
      <c r="D405" s="6" t="s">
        <v>341</v>
      </c>
      <c r="E405" s="6">
        <f>IF(Table13[[#This Row],[Quartile]]="TopQuartile", 1,
 IF(Table13[[#This Row],[Quartile]]="SecondQuartile", 2,
 IF(Table13[[#This Row],[Quartile]]="ThirdQuartile", 3,
 IF(Table13[[#This Row],[Quartile]]="FourthQuartile", 4, ""))))</f>
        <v>3</v>
      </c>
      <c r="F405" s="9" t="s">
        <v>456</v>
      </c>
      <c r="G405" s="9" t="str" cm="1">
        <f t="array" ref="G405">IFERROR(
  INDEX(Table13[Quartile],
    MATCH(1,
      (Table13[[#This Row],[OrgName]]=Table13[OrgName]) *
      (Table13[[#This Row],[Month Number]]-1=Table13[Month Number]),
    0)
  ),
"")</f>
        <v>ThirdQuartile</v>
      </c>
      <c r="H405" s="9">
        <f>IF(Table13[[#This Row],[Previous Quartile]]="TopQuartile", 1,
 IF(Table13[[#This Row],[Previous Quartile]]="SecondQuartile", 2,
 IF(Table13[[#This Row],[Previous Quartile]]="ThirdQuartile", 3,
 IF(Table13[[#This Row],[Previous Quartile]]="FourthQuartile", 4, ""))))</f>
        <v>3</v>
      </c>
      <c r="I405" s="9" t="str">
        <f>IF(Table13[[#This Row],[Previous Quartile Value]]="", "",
   IF(Table13[[#This Row],[Quartile Value]] &lt; Table13[[#This Row],[Previous Quartile Value]], "Improved",
   IF(Table13[[#This Row],[Quartile Value]] &gt; Table13[[#This Row],[Previous Quartile Value]], "Dropped", "Same")))</f>
        <v>Same</v>
      </c>
      <c r="J405" s="10" t="s">
        <v>20</v>
      </c>
      <c r="K405" s="7" t="str">
        <f>VLOOKUP(J405,Introduction!$B$6:$C$14,2)</f>
        <v>East of England</v>
      </c>
      <c r="L405" s="10">
        <v>360</v>
      </c>
      <c r="M405" s="8" t="s">
        <v>425</v>
      </c>
    </row>
    <row r="406" spans="1:13" ht="19.95" customHeight="1" x14ac:dyDescent="0.25">
      <c r="A406" s="41">
        <v>45444</v>
      </c>
      <c r="B406" s="47">
        <f>MONTH(Table13[[#This Row],[YearMonth]])</f>
        <v>6</v>
      </c>
      <c r="C406" s="9" t="s">
        <v>168</v>
      </c>
      <c r="D406" s="6" t="s">
        <v>341</v>
      </c>
      <c r="E406" s="6">
        <f>IF(Table13[[#This Row],[Quartile]]="TopQuartile", 1,
 IF(Table13[[#This Row],[Quartile]]="SecondQuartile", 2,
 IF(Table13[[#This Row],[Quartile]]="ThirdQuartile", 3,
 IF(Table13[[#This Row],[Quartile]]="FourthQuartile", 4, ""))))</f>
        <v>3</v>
      </c>
      <c r="F406" s="9" t="s">
        <v>444</v>
      </c>
      <c r="G406" s="9" t="str" cm="1">
        <f t="array" ref="G406">IFERROR(
  INDEX(Table13[Quartile],
    MATCH(1,
      (Table13[[#This Row],[OrgName]]=Table13[OrgName]) *
      (Table13[[#This Row],[Month Number]]-1=Table13[Month Number]),
    0)
  ),
"")</f>
        <v>FourthQuartile</v>
      </c>
      <c r="H406" s="9">
        <f>IF(Table13[[#This Row],[Previous Quartile]]="TopQuartile", 1,
 IF(Table13[[#This Row],[Previous Quartile]]="SecondQuartile", 2,
 IF(Table13[[#This Row],[Previous Quartile]]="ThirdQuartile", 3,
 IF(Table13[[#This Row],[Previous Quartile]]="FourthQuartile", 4, ""))))</f>
        <v>4</v>
      </c>
      <c r="I406" s="9" t="str">
        <f>IF(Table13[[#This Row],[Previous Quartile Value]]="", "",
   IF(Table13[[#This Row],[Quartile Value]] &lt; Table13[[#This Row],[Previous Quartile Value]], "Improved",
   IF(Table13[[#This Row],[Quartile Value]] &gt; Table13[[#This Row],[Previous Quartile Value]], "Dropped", "Same")))</f>
        <v>Improved</v>
      </c>
      <c r="J406" s="10" t="s">
        <v>12</v>
      </c>
      <c r="K406" s="7" t="str">
        <f>VLOOKUP(J406,Introduction!$B$6:$C$14,2)</f>
        <v>London</v>
      </c>
      <c r="L406" s="10">
        <v>309</v>
      </c>
      <c r="M406" s="8" t="s">
        <v>425</v>
      </c>
    </row>
    <row r="407" spans="1:13" ht="19.95" customHeight="1" x14ac:dyDescent="0.25">
      <c r="A407" s="41">
        <v>45444</v>
      </c>
      <c r="B407" s="47">
        <f>MONTH(Table13[[#This Row],[YearMonth]])</f>
        <v>6</v>
      </c>
      <c r="C407" s="9" t="s">
        <v>223</v>
      </c>
      <c r="D407" s="6" t="s">
        <v>341</v>
      </c>
      <c r="E407" s="6">
        <f>IF(Table13[[#This Row],[Quartile]]="TopQuartile", 1,
 IF(Table13[[#This Row],[Quartile]]="SecondQuartile", 2,
 IF(Table13[[#This Row],[Quartile]]="ThirdQuartile", 3,
 IF(Table13[[#This Row],[Quartile]]="FourthQuartile", 4, ""))))</f>
        <v>3</v>
      </c>
      <c r="F407" s="9" t="s">
        <v>459</v>
      </c>
      <c r="G407" s="9" t="str" cm="1">
        <f t="array" ref="G407">IFERROR(
  INDEX(Table13[Quartile],
    MATCH(1,
      (Table13[[#This Row],[OrgName]]=Table13[OrgName]) *
      (Table13[[#This Row],[Month Number]]-1=Table13[Month Number]),
    0)
  ),
"")</f>
        <v>FourthQuartile</v>
      </c>
      <c r="H407" s="9">
        <f>IF(Table13[[#This Row],[Previous Quartile]]="TopQuartile", 1,
 IF(Table13[[#This Row],[Previous Quartile]]="SecondQuartile", 2,
 IF(Table13[[#This Row],[Previous Quartile]]="ThirdQuartile", 3,
 IF(Table13[[#This Row],[Previous Quartile]]="FourthQuartile", 4, ""))))</f>
        <v>4</v>
      </c>
      <c r="I407" s="9" t="str">
        <f>IF(Table13[[#This Row],[Previous Quartile Value]]="", "",
   IF(Table13[[#This Row],[Quartile Value]] &lt; Table13[[#This Row],[Previous Quartile Value]], "Improved",
   IF(Table13[[#This Row],[Quartile Value]] &gt; Table13[[#This Row],[Previous Quartile Value]], "Dropped", "Same")))</f>
        <v>Improved</v>
      </c>
      <c r="J407" s="10" t="s">
        <v>22</v>
      </c>
      <c r="K407" s="7" t="str">
        <f>VLOOKUP(J407,Introduction!$B$6:$C$14,2)</f>
        <v>North West</v>
      </c>
      <c r="L407" s="10">
        <v>382</v>
      </c>
      <c r="M407" s="8" t="s">
        <v>425</v>
      </c>
    </row>
    <row r="408" spans="1:13" ht="19.95" customHeight="1" x14ac:dyDescent="0.25">
      <c r="A408" s="41">
        <v>45444</v>
      </c>
      <c r="B408" s="47">
        <f>MONTH(Table13[[#This Row],[YearMonth]])</f>
        <v>6</v>
      </c>
      <c r="C408" s="9" t="s">
        <v>225</v>
      </c>
      <c r="D408" s="6" t="s">
        <v>341</v>
      </c>
      <c r="E408" s="6">
        <f>IF(Table13[[#This Row],[Quartile]]="TopQuartile", 1,
 IF(Table13[[#This Row],[Quartile]]="SecondQuartile", 2,
 IF(Table13[[#This Row],[Quartile]]="ThirdQuartile", 3,
 IF(Table13[[#This Row],[Quartile]]="FourthQuartile", 4, ""))))</f>
        <v>3</v>
      </c>
      <c r="F408" s="9" t="s">
        <v>460</v>
      </c>
      <c r="G408" s="9" t="str" cm="1">
        <f t="array" ref="G408">IFERROR(
  INDEX(Table13[Quartile],
    MATCH(1,
      (Table13[[#This Row],[OrgName]]=Table13[OrgName]) *
      (Table13[[#This Row],[Month Number]]-1=Table13[Month Number]),
    0)
  ),
"")</f>
        <v>FourthQuartile</v>
      </c>
      <c r="H408" s="9">
        <f>IF(Table13[[#This Row],[Previous Quartile]]="TopQuartile", 1,
 IF(Table13[[#This Row],[Previous Quartile]]="SecondQuartile", 2,
 IF(Table13[[#This Row],[Previous Quartile]]="ThirdQuartile", 3,
 IF(Table13[[#This Row],[Previous Quartile]]="FourthQuartile", 4, ""))))</f>
        <v>4</v>
      </c>
      <c r="I408" s="9" t="str">
        <f>IF(Table13[[#This Row],[Previous Quartile Value]]="", "",
   IF(Table13[[#This Row],[Quartile Value]] &lt; Table13[[#This Row],[Previous Quartile Value]], "Improved",
   IF(Table13[[#This Row],[Quartile Value]] &gt; Table13[[#This Row],[Previous Quartile Value]], "Dropped", "Same")))</f>
        <v>Improved</v>
      </c>
      <c r="J408" s="10" t="s">
        <v>14</v>
      </c>
      <c r="K408" s="7" t="str">
        <f>VLOOKUP(J408,Introduction!$B$6:$C$14,2)</f>
        <v>South West</v>
      </c>
      <c r="L408" s="10">
        <v>216</v>
      </c>
      <c r="M408" s="8" t="s">
        <v>425</v>
      </c>
    </row>
    <row r="409" spans="1:13" ht="19.95" customHeight="1" x14ac:dyDescent="0.25">
      <c r="A409" s="41">
        <v>45444</v>
      </c>
      <c r="B409" s="47">
        <f>MONTH(Table13[[#This Row],[YearMonth]])</f>
        <v>6</v>
      </c>
      <c r="C409" s="9" t="s">
        <v>222</v>
      </c>
      <c r="D409" s="6" t="s">
        <v>341</v>
      </c>
      <c r="E409" s="6">
        <f>IF(Table13[[#This Row],[Quartile]]="TopQuartile", 1,
 IF(Table13[[#This Row],[Quartile]]="SecondQuartile", 2,
 IF(Table13[[#This Row],[Quartile]]="ThirdQuartile", 3,
 IF(Table13[[#This Row],[Quartile]]="FourthQuartile", 4, ""))))</f>
        <v>3</v>
      </c>
      <c r="F409" s="9" t="s">
        <v>458</v>
      </c>
      <c r="G409" s="9" t="str" cm="1">
        <f t="array" ref="G409">IFERROR(
  INDEX(Table13[Quartile],
    MATCH(1,
      (Table13[[#This Row],[OrgName]]=Table13[OrgName]) *
      (Table13[[#This Row],[Month Number]]-1=Table13[Month Number]),
    0)
  ),
"")</f>
        <v>FourthQuartile</v>
      </c>
      <c r="H409" s="9">
        <f>IF(Table13[[#This Row],[Previous Quartile]]="TopQuartile", 1,
 IF(Table13[[#This Row],[Previous Quartile]]="SecondQuartile", 2,
 IF(Table13[[#This Row],[Previous Quartile]]="ThirdQuartile", 3,
 IF(Table13[[#This Row],[Previous Quartile]]="FourthQuartile", 4, ""))))</f>
        <v>4</v>
      </c>
      <c r="I409" s="9" t="str">
        <f>IF(Table13[[#This Row],[Previous Quartile Value]]="", "",
   IF(Table13[[#This Row],[Quartile Value]] &lt; Table13[[#This Row],[Previous Quartile Value]], "Improved",
   IF(Table13[[#This Row],[Quartile Value]] &gt; Table13[[#This Row],[Previous Quartile Value]], "Dropped", "Same")))</f>
        <v>Improved</v>
      </c>
      <c r="J409" s="10" t="s">
        <v>24</v>
      </c>
      <c r="K409" s="7" t="str">
        <f>VLOOKUP(J409,Introduction!$B$6:$C$14,2)</f>
        <v>North East and Yorkshire</v>
      </c>
      <c r="L409" s="10">
        <v>298</v>
      </c>
      <c r="M409" s="8" t="s">
        <v>425</v>
      </c>
    </row>
    <row r="410" spans="1:13" ht="19.95" customHeight="1" x14ac:dyDescent="0.25">
      <c r="A410" s="41">
        <v>45444</v>
      </c>
      <c r="B410" s="47">
        <f>MONTH(Table13[[#This Row],[YearMonth]])</f>
        <v>6</v>
      </c>
      <c r="C410" s="9" t="s">
        <v>235</v>
      </c>
      <c r="D410" s="6" t="s">
        <v>341</v>
      </c>
      <c r="E410" s="6">
        <f>IF(Table13[[#This Row],[Quartile]]="TopQuartile", 1,
 IF(Table13[[#This Row],[Quartile]]="SecondQuartile", 2,
 IF(Table13[[#This Row],[Quartile]]="ThirdQuartile", 3,
 IF(Table13[[#This Row],[Quartile]]="FourthQuartile", 4, ""))))</f>
        <v>3</v>
      </c>
      <c r="F410" s="9" t="s">
        <v>461</v>
      </c>
      <c r="G410" s="9" t="str" cm="1">
        <f t="array" ref="G410">IFERROR(
  INDEX(Table13[Quartile],
    MATCH(1,
      (Table13[[#This Row],[OrgName]]=Table13[OrgName]) *
      (Table13[[#This Row],[Month Number]]-1=Table13[Month Number]),
    0)
  ),
"")</f>
        <v>FourthQuartile</v>
      </c>
      <c r="H410" s="9">
        <f>IF(Table13[[#This Row],[Previous Quartile]]="TopQuartile", 1,
 IF(Table13[[#This Row],[Previous Quartile]]="SecondQuartile", 2,
 IF(Table13[[#This Row],[Previous Quartile]]="ThirdQuartile", 3,
 IF(Table13[[#This Row],[Previous Quartile]]="FourthQuartile", 4, ""))))</f>
        <v>4</v>
      </c>
      <c r="I410" s="9" t="str">
        <f>IF(Table13[[#This Row],[Previous Quartile Value]]="", "",
   IF(Table13[[#This Row],[Quartile Value]] &lt; Table13[[#This Row],[Previous Quartile Value]], "Improved",
   IF(Table13[[#This Row],[Quartile Value]] &gt; Table13[[#This Row],[Previous Quartile Value]], "Dropped", "Same")))</f>
        <v>Improved</v>
      </c>
      <c r="J410" s="10" t="s">
        <v>12</v>
      </c>
      <c r="K410" s="7" t="str">
        <f>VLOOKUP(J410,Introduction!$B$6:$C$14,2)</f>
        <v>London</v>
      </c>
      <c r="L410" s="10">
        <v>337</v>
      </c>
      <c r="M410" s="8" t="s">
        <v>425</v>
      </c>
    </row>
    <row r="411" spans="1:13" ht="19.95" customHeight="1" x14ac:dyDescent="0.25">
      <c r="A411" s="41">
        <v>45444</v>
      </c>
      <c r="B411" s="47">
        <f>MONTH(Table13[[#This Row],[YearMonth]])</f>
        <v>6</v>
      </c>
      <c r="C411" s="9" t="s">
        <v>241</v>
      </c>
      <c r="D411" s="6" t="s">
        <v>341</v>
      </c>
      <c r="E411" s="6">
        <f>IF(Table13[[#This Row],[Quartile]]="TopQuartile", 1,
 IF(Table13[[#This Row],[Quartile]]="SecondQuartile", 2,
 IF(Table13[[#This Row],[Quartile]]="ThirdQuartile", 3,
 IF(Table13[[#This Row],[Quartile]]="FourthQuartile", 4, ""))))</f>
        <v>3</v>
      </c>
      <c r="F411" s="9" t="s">
        <v>462</v>
      </c>
      <c r="G411" s="9" t="str" cm="1">
        <f t="array" ref="G411">IFERROR(
  INDEX(Table13[Quartile],
    MATCH(1,
      (Table13[[#This Row],[OrgName]]=Table13[OrgName]) *
      (Table13[[#This Row],[Month Number]]-1=Table13[Month Number]),
    0)
  ),
"")</f>
        <v>FourthQuartile</v>
      </c>
      <c r="H411" s="9">
        <f>IF(Table13[[#This Row],[Previous Quartile]]="TopQuartile", 1,
 IF(Table13[[#This Row],[Previous Quartile]]="SecondQuartile", 2,
 IF(Table13[[#This Row],[Previous Quartile]]="ThirdQuartile", 3,
 IF(Table13[[#This Row],[Previous Quartile]]="FourthQuartile", 4, ""))))</f>
        <v>4</v>
      </c>
      <c r="I411" s="9" t="str">
        <f>IF(Table13[[#This Row],[Previous Quartile Value]]="", "",
   IF(Table13[[#This Row],[Quartile Value]] &lt; Table13[[#This Row],[Previous Quartile Value]], "Improved",
   IF(Table13[[#This Row],[Quartile Value]] &gt; Table13[[#This Row],[Previous Quartile Value]], "Dropped", "Same")))</f>
        <v>Improved</v>
      </c>
      <c r="J411" s="10" t="s">
        <v>22</v>
      </c>
      <c r="K411" s="7" t="str">
        <f>VLOOKUP(J411,Introduction!$B$6:$C$14,2)</f>
        <v>North West</v>
      </c>
      <c r="L411" s="10">
        <v>287</v>
      </c>
      <c r="M411" s="8" t="s">
        <v>425</v>
      </c>
    </row>
    <row r="412" spans="1:13" ht="19.95" customHeight="1" x14ac:dyDescent="0.25">
      <c r="A412" s="41">
        <v>45444</v>
      </c>
      <c r="B412" s="47">
        <f>MONTH(Table13[[#This Row],[YearMonth]])</f>
        <v>6</v>
      </c>
      <c r="C412" s="9" t="s">
        <v>251</v>
      </c>
      <c r="D412" s="6" t="s">
        <v>350</v>
      </c>
      <c r="E412" s="6">
        <f>IF(Table13[[#This Row],[Quartile]]="TopQuartile", 1,
 IF(Table13[[#This Row],[Quartile]]="SecondQuartile", 2,
 IF(Table13[[#This Row],[Quartile]]="ThirdQuartile", 3,
 IF(Table13[[#This Row],[Quartile]]="FourthQuartile", 4, ""))))</f>
        <v>4</v>
      </c>
      <c r="F412" s="9" t="s">
        <v>463</v>
      </c>
      <c r="G412" s="9" t="str" cm="1">
        <f t="array" ref="G412">IFERROR(
  INDEX(Table13[Quartile],
    MATCH(1,
      (Table13[[#This Row],[OrgName]]=Table13[OrgName]) *
      (Table13[[#This Row],[Month Number]]-1=Table13[Month Number]),
    0)
  ),
"")</f>
        <v>FourthQuartile</v>
      </c>
      <c r="H412" s="9">
        <f>IF(Table13[[#This Row],[Previous Quartile]]="TopQuartile", 1,
 IF(Table13[[#This Row],[Previous Quartile]]="SecondQuartile", 2,
 IF(Table13[[#This Row],[Previous Quartile]]="ThirdQuartile", 3,
 IF(Table13[[#This Row],[Previous Quartile]]="FourthQuartile", 4, ""))))</f>
        <v>4</v>
      </c>
      <c r="I412" s="9" t="str">
        <f>IF(Table13[[#This Row],[Previous Quartile Value]]="", "",
   IF(Table13[[#This Row],[Quartile Value]] &lt; Table13[[#This Row],[Previous Quartile Value]], "Improved",
   IF(Table13[[#This Row],[Quartile Value]] &gt; Table13[[#This Row],[Previous Quartile Value]], "Dropped", "Same")))</f>
        <v>Same</v>
      </c>
      <c r="J412" s="10" t="s">
        <v>22</v>
      </c>
      <c r="K412" s="7" t="str">
        <f>VLOOKUP(J412,Introduction!$B$6:$C$14,2)</f>
        <v>North West</v>
      </c>
      <c r="L412" s="10">
        <v>349</v>
      </c>
      <c r="M412" s="8" t="s">
        <v>425</v>
      </c>
    </row>
    <row r="413" spans="1:13" ht="19.95" customHeight="1" x14ac:dyDescent="0.25">
      <c r="A413" s="41">
        <v>45444</v>
      </c>
      <c r="B413" s="47">
        <f>MONTH(Table13[[#This Row],[YearMonth]])</f>
        <v>6</v>
      </c>
      <c r="C413" s="9" t="s">
        <v>269</v>
      </c>
      <c r="D413" s="6" t="s">
        <v>350</v>
      </c>
      <c r="E413" s="6">
        <f>IF(Table13[[#This Row],[Quartile]]="TopQuartile", 1,
 IF(Table13[[#This Row],[Quartile]]="SecondQuartile", 2,
 IF(Table13[[#This Row],[Quartile]]="ThirdQuartile", 3,
 IF(Table13[[#This Row],[Quartile]]="FourthQuartile", 4, ""))))</f>
        <v>4</v>
      </c>
      <c r="F413" s="9" t="s">
        <v>467</v>
      </c>
      <c r="G413" s="9" t="str" cm="1">
        <f t="array" ref="G413">IFERROR(
  INDEX(Table13[Quartile],
    MATCH(1,
      (Table13[[#This Row],[OrgName]]=Table13[OrgName]) *
      (Table13[[#This Row],[Month Number]]-1=Table13[Month Number]),
    0)
  ),
"")</f>
        <v>FourthQuartile</v>
      </c>
      <c r="H413" s="9">
        <f>IF(Table13[[#This Row],[Previous Quartile]]="TopQuartile", 1,
 IF(Table13[[#This Row],[Previous Quartile]]="SecondQuartile", 2,
 IF(Table13[[#This Row],[Previous Quartile]]="ThirdQuartile", 3,
 IF(Table13[[#This Row],[Previous Quartile]]="FourthQuartile", 4, ""))))</f>
        <v>4</v>
      </c>
      <c r="I413" s="9" t="str">
        <f>IF(Table13[[#This Row],[Previous Quartile Value]]="", "",
   IF(Table13[[#This Row],[Quartile Value]] &lt; Table13[[#This Row],[Previous Quartile Value]], "Improved",
   IF(Table13[[#This Row],[Quartile Value]] &gt; Table13[[#This Row],[Previous Quartile Value]], "Dropped", "Same")))</f>
        <v>Same</v>
      </c>
      <c r="J413" s="10" t="s">
        <v>14</v>
      </c>
      <c r="K413" s="7" t="str">
        <f>VLOOKUP(J413,Introduction!$B$6:$C$14,2)</f>
        <v>South West</v>
      </c>
      <c r="L413" s="10">
        <v>387</v>
      </c>
      <c r="M413" s="8" t="s">
        <v>425</v>
      </c>
    </row>
    <row r="414" spans="1:13" ht="19.95" customHeight="1" x14ac:dyDescent="0.25">
      <c r="A414" s="41">
        <v>45444</v>
      </c>
      <c r="B414" s="47">
        <f>MONTH(Table13[[#This Row],[YearMonth]])</f>
        <v>6</v>
      </c>
      <c r="C414" s="9" t="s">
        <v>253</v>
      </c>
      <c r="D414" s="6" t="s">
        <v>350</v>
      </c>
      <c r="E414" s="6">
        <f>IF(Table13[[#This Row],[Quartile]]="TopQuartile", 1,
 IF(Table13[[#This Row],[Quartile]]="SecondQuartile", 2,
 IF(Table13[[#This Row],[Quartile]]="ThirdQuartile", 3,
 IF(Table13[[#This Row],[Quartile]]="FourthQuartile", 4, ""))))</f>
        <v>4</v>
      </c>
      <c r="F414" s="9" t="s">
        <v>464</v>
      </c>
      <c r="G414" s="9" t="str" cm="1">
        <f t="array" ref="G414">IFERROR(
  INDEX(Table13[Quartile],
    MATCH(1,
      (Table13[[#This Row],[OrgName]]=Table13[OrgName]) *
      (Table13[[#This Row],[Month Number]]-1=Table13[Month Number]),
    0)
  ),
"")</f>
        <v>FourthQuartile</v>
      </c>
      <c r="H414" s="9">
        <f>IF(Table13[[#This Row],[Previous Quartile]]="TopQuartile", 1,
 IF(Table13[[#This Row],[Previous Quartile]]="SecondQuartile", 2,
 IF(Table13[[#This Row],[Previous Quartile]]="ThirdQuartile", 3,
 IF(Table13[[#This Row],[Previous Quartile]]="FourthQuartile", 4, ""))))</f>
        <v>4</v>
      </c>
      <c r="I414" s="9" t="str">
        <f>IF(Table13[[#This Row],[Previous Quartile Value]]="", "",
   IF(Table13[[#This Row],[Quartile Value]] &lt; Table13[[#This Row],[Previous Quartile Value]], "Improved",
   IF(Table13[[#This Row],[Quartile Value]] &gt; Table13[[#This Row],[Previous Quartile Value]], "Dropped", "Same")))</f>
        <v>Same</v>
      </c>
      <c r="J414" s="10" t="s">
        <v>12</v>
      </c>
      <c r="K414" s="7" t="str">
        <f>VLOOKUP(J414,Introduction!$B$6:$C$14,2)</f>
        <v>London</v>
      </c>
      <c r="L414" s="10">
        <v>196</v>
      </c>
      <c r="M414" s="8" t="s">
        <v>425</v>
      </c>
    </row>
    <row r="415" spans="1:13" ht="19.95" customHeight="1" x14ac:dyDescent="0.25">
      <c r="A415" s="41">
        <v>45444</v>
      </c>
      <c r="B415" s="47">
        <f>MONTH(Table13[[#This Row],[YearMonth]])</f>
        <v>6</v>
      </c>
      <c r="C415" s="9" t="s">
        <v>267</v>
      </c>
      <c r="D415" s="6" t="s">
        <v>350</v>
      </c>
      <c r="E415" s="6">
        <f>IF(Table13[[#This Row],[Quartile]]="TopQuartile", 1,
 IF(Table13[[#This Row],[Quartile]]="SecondQuartile", 2,
 IF(Table13[[#This Row],[Quartile]]="ThirdQuartile", 3,
 IF(Table13[[#This Row],[Quartile]]="FourthQuartile", 4, ""))))</f>
        <v>4</v>
      </c>
      <c r="F415" s="9" t="s">
        <v>466</v>
      </c>
      <c r="G415" s="9" t="str" cm="1">
        <f t="array" ref="G415">IFERROR(
  INDEX(Table13[Quartile],
    MATCH(1,
      (Table13[[#This Row],[OrgName]]=Table13[OrgName]) *
      (Table13[[#This Row],[Month Number]]-1=Table13[Month Number]),
    0)
  ),
"")</f>
        <v>FourthQuartile</v>
      </c>
      <c r="H415" s="9">
        <f>IF(Table13[[#This Row],[Previous Quartile]]="TopQuartile", 1,
 IF(Table13[[#This Row],[Previous Quartile]]="SecondQuartile", 2,
 IF(Table13[[#This Row],[Previous Quartile]]="ThirdQuartile", 3,
 IF(Table13[[#This Row],[Previous Quartile]]="FourthQuartile", 4, ""))))</f>
        <v>4</v>
      </c>
      <c r="I415" s="9" t="str">
        <f>IF(Table13[[#This Row],[Previous Quartile Value]]="", "",
   IF(Table13[[#This Row],[Quartile Value]] &lt; Table13[[#This Row],[Previous Quartile Value]], "Improved",
   IF(Table13[[#This Row],[Quartile Value]] &gt; Table13[[#This Row],[Previous Quartile Value]], "Dropped", "Same")))</f>
        <v>Same</v>
      </c>
      <c r="J415" s="10" t="s">
        <v>18</v>
      </c>
      <c r="K415" s="7" t="str">
        <f>VLOOKUP(J415,Introduction!$B$6:$C$14,2)</f>
        <v>Midlands</v>
      </c>
      <c r="L415" s="10">
        <v>304</v>
      </c>
      <c r="M415" s="8" t="s">
        <v>425</v>
      </c>
    </row>
    <row r="416" spans="1:13" ht="19.95" customHeight="1" x14ac:dyDescent="0.25">
      <c r="A416" s="41">
        <v>45444</v>
      </c>
      <c r="B416" s="47">
        <f>MONTH(Table13[[#This Row],[YearMonth]])</f>
        <v>6</v>
      </c>
      <c r="C416" s="9" t="s">
        <v>258</v>
      </c>
      <c r="D416" s="6" t="s">
        <v>350</v>
      </c>
      <c r="E416" s="6">
        <f>IF(Table13[[#This Row],[Quartile]]="TopQuartile", 1,
 IF(Table13[[#This Row],[Quartile]]="SecondQuartile", 2,
 IF(Table13[[#This Row],[Quartile]]="ThirdQuartile", 3,
 IF(Table13[[#This Row],[Quartile]]="FourthQuartile", 4, ""))))</f>
        <v>4</v>
      </c>
      <c r="F416" s="9" t="s">
        <v>465</v>
      </c>
      <c r="G416" s="9" t="str" cm="1">
        <f t="array" ref="G416">IFERROR(
  INDEX(Table13[Quartile],
    MATCH(1,
      (Table13[[#This Row],[OrgName]]=Table13[OrgName]) *
      (Table13[[#This Row],[Month Number]]-1=Table13[Month Number]),
    0)
  ),
"")</f>
        <v>FourthQuartile</v>
      </c>
      <c r="H416" s="9">
        <f>IF(Table13[[#This Row],[Previous Quartile]]="TopQuartile", 1,
 IF(Table13[[#This Row],[Previous Quartile]]="SecondQuartile", 2,
 IF(Table13[[#This Row],[Previous Quartile]]="ThirdQuartile", 3,
 IF(Table13[[#This Row],[Previous Quartile]]="FourthQuartile", 4, ""))))</f>
        <v>4</v>
      </c>
      <c r="I416" s="9" t="str">
        <f>IF(Table13[[#This Row],[Previous Quartile Value]]="", "",
   IF(Table13[[#This Row],[Quartile Value]] &lt; Table13[[#This Row],[Previous Quartile Value]], "Improved",
   IF(Table13[[#This Row],[Quartile Value]] &gt; Table13[[#This Row],[Previous Quartile Value]], "Dropped", "Same")))</f>
        <v>Same</v>
      </c>
      <c r="J416" s="10" t="s">
        <v>16</v>
      </c>
      <c r="K416" s="7" t="str">
        <f>VLOOKUP(J416,Introduction!$B$6:$C$14,2)</f>
        <v>South East</v>
      </c>
      <c r="L416" s="10">
        <v>321</v>
      </c>
      <c r="M416" s="8" t="s">
        <v>425</v>
      </c>
    </row>
    <row r="417" spans="1:13" ht="19.95" customHeight="1" x14ac:dyDescent="0.25">
      <c r="A417" s="41">
        <v>45444</v>
      </c>
      <c r="B417" s="47">
        <f>MONTH(Table13[[#This Row],[YearMonth]])</f>
        <v>6</v>
      </c>
      <c r="C417" s="9" t="s">
        <v>277</v>
      </c>
      <c r="D417" s="6" t="s">
        <v>350</v>
      </c>
      <c r="E417" s="6">
        <f>IF(Table13[[#This Row],[Quartile]]="TopQuartile", 1,
 IF(Table13[[#This Row],[Quartile]]="SecondQuartile", 2,
 IF(Table13[[#This Row],[Quartile]]="ThirdQuartile", 3,
 IF(Table13[[#This Row],[Quartile]]="FourthQuartile", 4, ""))))</f>
        <v>4</v>
      </c>
      <c r="F417" s="9" t="s">
        <v>468</v>
      </c>
      <c r="G417" s="9" t="str" cm="1">
        <f t="array" ref="G417">IFERROR(
  INDEX(Table13[Quartile],
    MATCH(1,
      (Table13[[#This Row],[OrgName]]=Table13[OrgName]) *
      (Table13[[#This Row],[Month Number]]-1=Table13[Month Number]),
    0)
  ),
"")</f>
        <v>FourthQuartile</v>
      </c>
      <c r="H417" s="9">
        <f>IF(Table13[[#This Row],[Previous Quartile]]="TopQuartile", 1,
 IF(Table13[[#This Row],[Previous Quartile]]="SecondQuartile", 2,
 IF(Table13[[#This Row],[Previous Quartile]]="ThirdQuartile", 3,
 IF(Table13[[#This Row],[Previous Quartile]]="FourthQuartile", 4, ""))))</f>
        <v>4</v>
      </c>
      <c r="I417" s="9" t="str">
        <f>IF(Table13[[#This Row],[Previous Quartile Value]]="", "",
   IF(Table13[[#This Row],[Quartile Value]] &lt; Table13[[#This Row],[Previous Quartile Value]], "Improved",
   IF(Table13[[#This Row],[Quartile Value]] &gt; Table13[[#This Row],[Previous Quartile Value]], "Dropped", "Same")))</f>
        <v>Same</v>
      </c>
      <c r="J417" s="10" t="s">
        <v>24</v>
      </c>
      <c r="K417" s="7" t="str">
        <f>VLOOKUP(J417,Introduction!$B$6:$C$14,2)</f>
        <v>North East and Yorkshire</v>
      </c>
      <c r="L417" s="10">
        <v>419</v>
      </c>
      <c r="M417" s="8" t="s">
        <v>425</v>
      </c>
    </row>
    <row r="418" spans="1:13" ht="19.95" customHeight="1" x14ac:dyDescent="0.25">
      <c r="A418" s="41">
        <v>45444</v>
      </c>
      <c r="B418" s="47">
        <f>MONTH(Table13[[#This Row],[YearMonth]])</f>
        <v>6</v>
      </c>
      <c r="C418" s="9" t="s">
        <v>281</v>
      </c>
      <c r="D418" s="6" t="s">
        <v>350</v>
      </c>
      <c r="E418" s="6">
        <f>IF(Table13[[#This Row],[Quartile]]="TopQuartile", 1,
 IF(Table13[[#This Row],[Quartile]]="SecondQuartile", 2,
 IF(Table13[[#This Row],[Quartile]]="ThirdQuartile", 3,
 IF(Table13[[#This Row],[Quartile]]="FourthQuartile", 4, ""))))</f>
        <v>4</v>
      </c>
      <c r="F418" s="9" t="s">
        <v>469</v>
      </c>
      <c r="G418" s="9" t="str" cm="1">
        <f t="array" ref="G418">IFERROR(
  INDEX(Table13[Quartile],
    MATCH(1,
      (Table13[[#This Row],[OrgName]]=Table13[OrgName]) *
      (Table13[[#This Row],[Month Number]]-1=Table13[Month Number]),
    0)
  ),
"")</f>
        <v>FourthQuartile</v>
      </c>
      <c r="H418" s="9">
        <f>IF(Table13[[#This Row],[Previous Quartile]]="TopQuartile", 1,
 IF(Table13[[#This Row],[Previous Quartile]]="SecondQuartile", 2,
 IF(Table13[[#This Row],[Previous Quartile]]="ThirdQuartile", 3,
 IF(Table13[[#This Row],[Previous Quartile]]="FourthQuartile", 4, ""))))</f>
        <v>4</v>
      </c>
      <c r="I418" s="9" t="str">
        <f>IF(Table13[[#This Row],[Previous Quartile Value]]="", "",
   IF(Table13[[#This Row],[Quartile Value]] &lt; Table13[[#This Row],[Previous Quartile Value]], "Improved",
   IF(Table13[[#This Row],[Quartile Value]] &gt; Table13[[#This Row],[Previous Quartile Value]], "Dropped", "Same")))</f>
        <v>Same</v>
      </c>
      <c r="J418" s="10" t="s">
        <v>18</v>
      </c>
      <c r="K418" s="7" t="str">
        <f>VLOOKUP(J418,Introduction!$B$6:$C$14,2)</f>
        <v>Midlands</v>
      </c>
      <c r="L418" s="10">
        <v>205</v>
      </c>
      <c r="M418" s="8" t="s">
        <v>425</v>
      </c>
    </row>
    <row r="419" spans="1:13" ht="19.95" customHeight="1" x14ac:dyDescent="0.25">
      <c r="A419" s="41">
        <v>45444</v>
      </c>
      <c r="B419" s="47">
        <f>MONTH(Table13[[#This Row],[YearMonth]])</f>
        <v>6</v>
      </c>
      <c r="C419" s="9" t="s">
        <v>287</v>
      </c>
      <c r="D419" s="6" t="s">
        <v>350</v>
      </c>
      <c r="E419" s="6">
        <f>IF(Table13[[#This Row],[Quartile]]="TopQuartile", 1,
 IF(Table13[[#This Row],[Quartile]]="SecondQuartile", 2,
 IF(Table13[[#This Row],[Quartile]]="ThirdQuartile", 3,
 IF(Table13[[#This Row],[Quartile]]="FourthQuartile", 4, ""))))</f>
        <v>4</v>
      </c>
      <c r="F419" s="9" t="s">
        <v>471</v>
      </c>
      <c r="G419" s="9" t="str" cm="1">
        <f t="array" ref="G419">IFERROR(
  INDEX(Table13[Quartile],
    MATCH(1,
      (Table13[[#This Row],[OrgName]]=Table13[OrgName]) *
      (Table13[[#This Row],[Month Number]]-1=Table13[Month Number]),
    0)
  ),
"")</f>
        <v>FourthQuartile</v>
      </c>
      <c r="H419" s="9">
        <f>IF(Table13[[#This Row],[Previous Quartile]]="TopQuartile", 1,
 IF(Table13[[#This Row],[Previous Quartile]]="SecondQuartile", 2,
 IF(Table13[[#This Row],[Previous Quartile]]="ThirdQuartile", 3,
 IF(Table13[[#This Row],[Previous Quartile]]="FourthQuartile", 4, ""))))</f>
        <v>4</v>
      </c>
      <c r="I419" s="9" t="str">
        <f>IF(Table13[[#This Row],[Previous Quartile Value]]="", "",
   IF(Table13[[#This Row],[Quartile Value]] &lt; Table13[[#This Row],[Previous Quartile Value]], "Improved",
   IF(Table13[[#This Row],[Quartile Value]] &gt; Table13[[#This Row],[Previous Quartile Value]], "Dropped", "Same")))</f>
        <v>Same</v>
      </c>
      <c r="J419" s="10" t="s">
        <v>12</v>
      </c>
      <c r="K419" s="7" t="str">
        <f>VLOOKUP(J419,Introduction!$B$6:$C$14,2)</f>
        <v>London</v>
      </c>
      <c r="L419" s="10">
        <v>289</v>
      </c>
      <c r="M419" s="8" t="s">
        <v>425</v>
      </c>
    </row>
    <row r="420" spans="1:13" ht="19.95" customHeight="1" x14ac:dyDescent="0.25">
      <c r="A420" s="41">
        <v>45444</v>
      </c>
      <c r="B420" s="47">
        <f>MONTH(Table13[[#This Row],[YearMonth]])</f>
        <v>6</v>
      </c>
      <c r="C420" s="9" t="s">
        <v>282</v>
      </c>
      <c r="D420" s="6" t="s">
        <v>350</v>
      </c>
      <c r="E420" s="6">
        <f>IF(Table13[[#This Row],[Quartile]]="TopQuartile", 1,
 IF(Table13[[#This Row],[Quartile]]="SecondQuartile", 2,
 IF(Table13[[#This Row],[Quartile]]="ThirdQuartile", 3,
 IF(Table13[[#This Row],[Quartile]]="FourthQuartile", 4, ""))))</f>
        <v>4</v>
      </c>
      <c r="F420" s="9" t="s">
        <v>470</v>
      </c>
      <c r="G420" s="9" t="str" cm="1">
        <f t="array" ref="G420">IFERROR(
  INDEX(Table13[Quartile],
    MATCH(1,
      (Table13[[#This Row],[OrgName]]=Table13[OrgName]) *
      (Table13[[#This Row],[Month Number]]-1=Table13[Month Number]),
    0)
  ),
"")</f>
        <v>FourthQuartile</v>
      </c>
      <c r="H420" s="9">
        <f>IF(Table13[[#This Row],[Previous Quartile]]="TopQuartile", 1,
 IF(Table13[[#This Row],[Previous Quartile]]="SecondQuartile", 2,
 IF(Table13[[#This Row],[Previous Quartile]]="ThirdQuartile", 3,
 IF(Table13[[#This Row],[Previous Quartile]]="FourthQuartile", 4, ""))))</f>
        <v>4</v>
      </c>
      <c r="I420" s="9" t="str">
        <f>IF(Table13[[#This Row],[Previous Quartile Value]]="", "",
   IF(Table13[[#This Row],[Quartile Value]] &lt; Table13[[#This Row],[Previous Quartile Value]], "Improved",
   IF(Table13[[#This Row],[Quartile Value]] &gt; Table13[[#This Row],[Previous Quartile Value]], "Dropped", "Same")))</f>
        <v>Same</v>
      </c>
      <c r="J420" s="10" t="s">
        <v>12</v>
      </c>
      <c r="K420" s="7" t="str">
        <f>VLOOKUP(J420,Introduction!$B$6:$C$14,2)</f>
        <v>London</v>
      </c>
      <c r="L420" s="10">
        <v>290</v>
      </c>
      <c r="M420" s="8" t="s">
        <v>425</v>
      </c>
    </row>
    <row r="421" spans="1:13" ht="19.95" customHeight="1" x14ac:dyDescent="0.25">
      <c r="A421" s="41">
        <v>45444</v>
      </c>
      <c r="B421" s="47">
        <f>MONTH(Table13[[#This Row],[YearMonth]])</f>
        <v>6</v>
      </c>
      <c r="C421" s="9" t="s">
        <v>301</v>
      </c>
      <c r="D421" s="6" t="s">
        <v>350</v>
      </c>
      <c r="E421" s="6">
        <f>IF(Table13[[#This Row],[Quartile]]="TopQuartile", 1,
 IF(Table13[[#This Row],[Quartile]]="SecondQuartile", 2,
 IF(Table13[[#This Row],[Quartile]]="ThirdQuartile", 3,
 IF(Table13[[#This Row],[Quartile]]="FourthQuartile", 4, ""))))</f>
        <v>4</v>
      </c>
      <c r="F421" s="9" t="s">
        <v>472</v>
      </c>
      <c r="G421" s="9" t="str" cm="1">
        <f t="array" ref="G421">IFERROR(
  INDEX(Table13[Quartile],
    MATCH(1,
      (Table13[[#This Row],[OrgName]]=Table13[OrgName]) *
      (Table13[[#This Row],[Month Number]]-1=Table13[Month Number]),
    0)
  ),
"")</f>
        <v>FourthQuartile</v>
      </c>
      <c r="H421" s="9">
        <f>IF(Table13[[#This Row],[Previous Quartile]]="TopQuartile", 1,
 IF(Table13[[#This Row],[Previous Quartile]]="SecondQuartile", 2,
 IF(Table13[[#This Row],[Previous Quartile]]="ThirdQuartile", 3,
 IF(Table13[[#This Row],[Previous Quartile]]="FourthQuartile", 4, ""))))</f>
        <v>4</v>
      </c>
      <c r="I421" s="9" t="str">
        <f>IF(Table13[[#This Row],[Previous Quartile Value]]="", "",
   IF(Table13[[#This Row],[Quartile Value]] &lt; Table13[[#This Row],[Previous Quartile Value]], "Improved",
   IF(Table13[[#This Row],[Quartile Value]] &gt; Table13[[#This Row],[Previous Quartile Value]], "Dropped", "Same")))</f>
        <v>Same</v>
      </c>
      <c r="J421" s="10" t="s">
        <v>14</v>
      </c>
      <c r="K421" s="7" t="str">
        <f>VLOOKUP(J421,Introduction!$B$6:$C$14,2)</f>
        <v>South West</v>
      </c>
      <c r="L421" s="10">
        <v>153</v>
      </c>
      <c r="M421" s="8" t="s">
        <v>425</v>
      </c>
    </row>
    <row r="422" spans="1:13" ht="19.95" customHeight="1" x14ac:dyDescent="0.25">
      <c r="A422" s="41">
        <v>45444</v>
      </c>
      <c r="B422" s="47">
        <f>MONTH(Table13[[#This Row],[YearMonth]])</f>
        <v>6</v>
      </c>
      <c r="C422" s="9" t="s">
        <v>309</v>
      </c>
      <c r="D422" s="6" t="s">
        <v>350</v>
      </c>
      <c r="E422" s="6">
        <f>IF(Table13[[#This Row],[Quartile]]="TopQuartile", 1,
 IF(Table13[[#This Row],[Quartile]]="SecondQuartile", 2,
 IF(Table13[[#This Row],[Quartile]]="ThirdQuartile", 3,
 IF(Table13[[#This Row],[Quartile]]="FourthQuartile", 4, ""))))</f>
        <v>4</v>
      </c>
      <c r="F422" s="9" t="s">
        <v>474</v>
      </c>
      <c r="G422" s="9" t="str" cm="1">
        <f t="array" ref="G422">IFERROR(
  INDEX(Table13[Quartile],
    MATCH(1,
      (Table13[[#This Row],[OrgName]]=Table13[OrgName]) *
      (Table13[[#This Row],[Month Number]]-1=Table13[Month Number]),
    0)
  ),
"")</f>
        <v>FourthQuartile</v>
      </c>
      <c r="H422" s="9">
        <f>IF(Table13[[#This Row],[Previous Quartile]]="TopQuartile", 1,
 IF(Table13[[#This Row],[Previous Quartile]]="SecondQuartile", 2,
 IF(Table13[[#This Row],[Previous Quartile]]="ThirdQuartile", 3,
 IF(Table13[[#This Row],[Previous Quartile]]="FourthQuartile", 4, ""))))</f>
        <v>4</v>
      </c>
      <c r="I422" s="9" t="str">
        <f>IF(Table13[[#This Row],[Previous Quartile Value]]="", "",
   IF(Table13[[#This Row],[Quartile Value]] &lt; Table13[[#This Row],[Previous Quartile Value]], "Improved",
   IF(Table13[[#This Row],[Quartile Value]] &gt; Table13[[#This Row],[Previous Quartile Value]], "Dropped", "Same")))</f>
        <v>Same</v>
      </c>
      <c r="J422" s="10" t="s">
        <v>20</v>
      </c>
      <c r="K422" s="7" t="str">
        <f>VLOOKUP(J422,Introduction!$B$6:$C$14,2)</f>
        <v>East of England</v>
      </c>
      <c r="L422" s="10">
        <v>234</v>
      </c>
      <c r="M422" s="8" t="s">
        <v>425</v>
      </c>
    </row>
    <row r="423" spans="1:13" ht="19.95" customHeight="1" x14ac:dyDescent="0.25">
      <c r="A423" s="41">
        <v>45444</v>
      </c>
      <c r="B423" s="47">
        <f>MONTH(Table13[[#This Row],[YearMonth]])</f>
        <v>6</v>
      </c>
      <c r="C423" s="9" t="s">
        <v>307</v>
      </c>
      <c r="D423" s="6" t="s">
        <v>350</v>
      </c>
      <c r="E423" s="6">
        <f>IF(Table13[[#This Row],[Quartile]]="TopQuartile", 1,
 IF(Table13[[#This Row],[Quartile]]="SecondQuartile", 2,
 IF(Table13[[#This Row],[Quartile]]="ThirdQuartile", 3,
 IF(Table13[[#This Row],[Quartile]]="FourthQuartile", 4, ""))))</f>
        <v>4</v>
      </c>
      <c r="F423" s="9" t="s">
        <v>473</v>
      </c>
      <c r="G423" s="9" t="str" cm="1">
        <f t="array" ref="G423">IFERROR(
  INDEX(Table13[Quartile],
    MATCH(1,
      (Table13[[#This Row],[OrgName]]=Table13[OrgName]) *
      (Table13[[#This Row],[Month Number]]-1=Table13[Month Number]),
    0)
  ),
"")</f>
        <v>FourthQuartile</v>
      </c>
      <c r="H423" s="9">
        <f>IF(Table13[[#This Row],[Previous Quartile]]="TopQuartile", 1,
 IF(Table13[[#This Row],[Previous Quartile]]="SecondQuartile", 2,
 IF(Table13[[#This Row],[Previous Quartile]]="ThirdQuartile", 3,
 IF(Table13[[#This Row],[Previous Quartile]]="FourthQuartile", 4, ""))))</f>
        <v>4</v>
      </c>
      <c r="I423" s="9" t="str">
        <f>IF(Table13[[#This Row],[Previous Quartile Value]]="", "",
   IF(Table13[[#This Row],[Quartile Value]] &lt; Table13[[#This Row],[Previous Quartile Value]], "Improved",
   IF(Table13[[#This Row],[Quartile Value]] &gt; Table13[[#This Row],[Previous Quartile Value]], "Dropped", "Same")))</f>
        <v>Same</v>
      </c>
      <c r="J423" s="10" t="s">
        <v>18</v>
      </c>
      <c r="K423" s="7" t="str">
        <f>VLOOKUP(J423,Introduction!$B$6:$C$14,2)</f>
        <v>Midlands</v>
      </c>
      <c r="L423" s="10">
        <v>164</v>
      </c>
      <c r="M423" s="8" t="s">
        <v>425</v>
      </c>
    </row>
    <row r="424" spans="1:13" ht="19.95" customHeight="1" x14ac:dyDescent="0.25">
      <c r="A424" s="41">
        <v>45444</v>
      </c>
      <c r="B424" s="47">
        <f>MONTH(Table13[[#This Row],[YearMonth]])</f>
        <v>6</v>
      </c>
      <c r="C424" s="9" t="s">
        <v>180</v>
      </c>
      <c r="D424" s="6" t="s">
        <v>338</v>
      </c>
      <c r="E424" s="6">
        <f>IF(Table13[[#This Row],[Quartile]]="TopQuartile", 1,
 IF(Table13[[#This Row],[Quartile]]="SecondQuartile", 2,
 IF(Table13[[#This Row],[Quartile]]="ThirdQuartile", 3,
 IF(Table13[[#This Row],[Quartile]]="FourthQuartile", 4, ""))))</f>
        <v>2</v>
      </c>
      <c r="F424" s="9" t="s">
        <v>475</v>
      </c>
      <c r="G424" s="9" t="str" cm="1">
        <f t="array" ref="G424">IFERROR(
  INDEX(Table13[Quartile],
    MATCH(1,
      (Table13[[#This Row],[OrgName]]=Table13[OrgName]) *
      (Table13[[#This Row],[Month Number]]-1=Table13[Month Number]),
    0)
  ),
"")</f>
        <v>SecondQuartile</v>
      </c>
      <c r="H424" s="9">
        <f>IF(Table13[[#This Row],[Previous Quartile]]="TopQuartile", 1,
 IF(Table13[[#This Row],[Previous Quartile]]="SecondQuartile", 2,
 IF(Table13[[#This Row],[Previous Quartile]]="ThirdQuartile", 3,
 IF(Table13[[#This Row],[Previous Quartile]]="FourthQuartile", 4, ""))))</f>
        <v>2</v>
      </c>
      <c r="I424" s="9" t="str">
        <f>IF(Table13[[#This Row],[Previous Quartile Value]]="", "",
   IF(Table13[[#This Row],[Quartile Value]] &lt; Table13[[#This Row],[Previous Quartile Value]], "Improved",
   IF(Table13[[#This Row],[Quartile Value]] &gt; Table13[[#This Row],[Previous Quartile Value]], "Dropped", "Same")))</f>
        <v>Same</v>
      </c>
      <c r="J424" s="10" t="s">
        <v>16</v>
      </c>
      <c r="K424" s="7" t="str">
        <f>VLOOKUP(J424,Introduction!$B$6:$C$14,2)</f>
        <v>South East</v>
      </c>
      <c r="L424" s="10">
        <v>278</v>
      </c>
      <c r="M424" s="8" t="s">
        <v>476</v>
      </c>
    </row>
    <row r="425" spans="1:13" ht="19.95" customHeight="1" x14ac:dyDescent="0.25">
      <c r="A425" s="41">
        <v>45444</v>
      </c>
      <c r="B425" s="47">
        <f>MONTH(Table13[[#This Row],[YearMonth]])</f>
        <v>6</v>
      </c>
      <c r="C425" s="9" t="s">
        <v>183</v>
      </c>
      <c r="D425" s="6" t="s">
        <v>341</v>
      </c>
      <c r="E425" s="6">
        <f>IF(Table13[[#This Row],[Quartile]]="TopQuartile", 1,
 IF(Table13[[#This Row],[Quartile]]="SecondQuartile", 2,
 IF(Table13[[#This Row],[Quartile]]="ThirdQuartile", 3,
 IF(Table13[[#This Row],[Quartile]]="FourthQuartile", 4, ""))))</f>
        <v>3</v>
      </c>
      <c r="F425" s="9" t="s">
        <v>477</v>
      </c>
      <c r="G425" s="9" t="str" cm="1">
        <f t="array" ref="G425">IFERROR(
  INDEX(Table13[Quartile],
    MATCH(1,
      (Table13[[#This Row],[OrgName]]=Table13[OrgName]) *
      (Table13[[#This Row],[Month Number]]-1=Table13[Month Number]),
    0)
  ),
"")</f>
        <v>SecondQuartile</v>
      </c>
      <c r="H425" s="9">
        <f>IF(Table13[[#This Row],[Previous Quartile]]="TopQuartile", 1,
 IF(Table13[[#This Row],[Previous Quartile]]="SecondQuartile", 2,
 IF(Table13[[#This Row],[Previous Quartile]]="ThirdQuartile", 3,
 IF(Table13[[#This Row],[Previous Quartile]]="FourthQuartile", 4, ""))))</f>
        <v>2</v>
      </c>
      <c r="I425" s="9" t="str">
        <f>IF(Table13[[#This Row],[Previous Quartile Value]]="", "",
   IF(Table13[[#This Row],[Quartile Value]] &lt; Table13[[#This Row],[Previous Quartile Value]], "Improved",
   IF(Table13[[#This Row],[Quartile Value]] &gt; Table13[[#This Row],[Previous Quartile Value]], "Dropped", "Same")))</f>
        <v>Dropped</v>
      </c>
      <c r="J425" s="10" t="s">
        <v>18</v>
      </c>
      <c r="K425" s="7" t="str">
        <f>VLOOKUP(J425,Introduction!$B$6:$C$14,2)</f>
        <v>Midlands</v>
      </c>
      <c r="L425" s="10">
        <v>217</v>
      </c>
      <c r="M425" s="8" t="s">
        <v>476</v>
      </c>
    </row>
    <row r="426" spans="1:13" ht="19.95" customHeight="1" x14ac:dyDescent="0.25">
      <c r="A426" s="41">
        <v>45444</v>
      </c>
      <c r="B426" s="47">
        <f>MONTH(Table13[[#This Row],[YearMonth]])</f>
        <v>6</v>
      </c>
      <c r="C426" s="9" t="s">
        <v>201</v>
      </c>
      <c r="D426" s="6" t="s">
        <v>341</v>
      </c>
      <c r="E426" s="6">
        <f>IF(Table13[[#This Row],[Quartile]]="TopQuartile", 1,
 IF(Table13[[#This Row],[Quartile]]="SecondQuartile", 2,
 IF(Table13[[#This Row],[Quartile]]="ThirdQuartile", 3,
 IF(Table13[[#This Row],[Quartile]]="FourthQuartile", 4, ""))))</f>
        <v>3</v>
      </c>
      <c r="F426" s="9" t="s">
        <v>478</v>
      </c>
      <c r="G426" s="9" t="str" cm="1">
        <f t="array" ref="G426">IFERROR(
  INDEX(Table13[Quartile],
    MATCH(1,
      (Table13[[#This Row],[OrgName]]=Table13[OrgName]) *
      (Table13[[#This Row],[Month Number]]-1=Table13[Month Number]),
    0)
  ),
"")</f>
        <v>FourthQuartile</v>
      </c>
      <c r="H426" s="9">
        <f>IF(Table13[[#This Row],[Previous Quartile]]="TopQuartile", 1,
 IF(Table13[[#This Row],[Previous Quartile]]="SecondQuartile", 2,
 IF(Table13[[#This Row],[Previous Quartile]]="ThirdQuartile", 3,
 IF(Table13[[#This Row],[Previous Quartile]]="FourthQuartile", 4, ""))))</f>
        <v>4</v>
      </c>
      <c r="I426" s="9" t="str">
        <f>IF(Table13[[#This Row],[Previous Quartile Value]]="", "",
   IF(Table13[[#This Row],[Quartile Value]] &lt; Table13[[#This Row],[Previous Quartile Value]], "Improved",
   IF(Table13[[#This Row],[Quartile Value]] &gt; Table13[[#This Row],[Previous Quartile Value]], "Dropped", "Same")))</f>
        <v>Improved</v>
      </c>
      <c r="J426" s="10" t="s">
        <v>16</v>
      </c>
      <c r="K426" s="7" t="str">
        <f>VLOOKUP(J426,Introduction!$B$6:$C$14,2)</f>
        <v>South East</v>
      </c>
      <c r="L426" s="10">
        <v>195</v>
      </c>
      <c r="M426" s="8" t="s">
        <v>476</v>
      </c>
    </row>
    <row r="427" spans="1:13" ht="19.95" customHeight="1" x14ac:dyDescent="0.25">
      <c r="A427" s="41">
        <v>45444</v>
      </c>
      <c r="B427" s="47">
        <f>MONTH(Table13[[#This Row],[YearMonth]])</f>
        <v>6</v>
      </c>
      <c r="C427" s="9" t="s">
        <v>263</v>
      </c>
      <c r="D427" s="6" t="s">
        <v>350</v>
      </c>
      <c r="E427" s="6">
        <f>IF(Table13[[#This Row],[Quartile]]="TopQuartile", 1,
 IF(Table13[[#This Row],[Quartile]]="SecondQuartile", 2,
 IF(Table13[[#This Row],[Quartile]]="ThirdQuartile", 3,
 IF(Table13[[#This Row],[Quartile]]="FourthQuartile", 4, ""))))</f>
        <v>4</v>
      </c>
      <c r="F427" s="9" t="s">
        <v>479</v>
      </c>
      <c r="G427" s="9" t="str" cm="1">
        <f t="array" ref="G427">IFERROR(
  INDEX(Table13[Quartile],
    MATCH(1,
      (Table13[[#This Row],[OrgName]]=Table13[OrgName]) *
      (Table13[[#This Row],[Month Number]]-1=Table13[Month Number]),
    0)
  ),
"")</f>
        <v>FourthQuartile</v>
      </c>
      <c r="H427" s="9">
        <f>IF(Table13[[#This Row],[Previous Quartile]]="TopQuartile", 1,
 IF(Table13[[#This Row],[Previous Quartile]]="SecondQuartile", 2,
 IF(Table13[[#This Row],[Previous Quartile]]="ThirdQuartile", 3,
 IF(Table13[[#This Row],[Previous Quartile]]="FourthQuartile", 4, ""))))</f>
        <v>4</v>
      </c>
      <c r="I427" s="9" t="str">
        <f>IF(Table13[[#This Row],[Previous Quartile Value]]="", "",
   IF(Table13[[#This Row],[Quartile Value]] &lt; Table13[[#This Row],[Previous Quartile Value]], "Improved",
   IF(Table13[[#This Row],[Quartile Value]] &gt; Table13[[#This Row],[Previous Quartile Value]], "Dropped", "Same")))</f>
        <v>Same</v>
      </c>
      <c r="J427" s="10" t="s">
        <v>24</v>
      </c>
      <c r="K427" s="7" t="str">
        <f>VLOOKUP(J427,Introduction!$B$6:$C$14,2)</f>
        <v>North East and Yorkshire</v>
      </c>
      <c r="L427" s="10">
        <v>340</v>
      </c>
      <c r="M427" s="8" t="s">
        <v>476</v>
      </c>
    </row>
    <row r="428" spans="1:13" ht="19.95" customHeight="1" x14ac:dyDescent="0.25">
      <c r="A428" s="41">
        <v>45444</v>
      </c>
      <c r="B428" s="47">
        <f>MONTH(Table13[[#This Row],[YearMonth]])</f>
        <v>6</v>
      </c>
      <c r="C428" s="9" t="s">
        <v>298</v>
      </c>
      <c r="D428" s="6" t="s">
        <v>350</v>
      </c>
      <c r="E428" s="6">
        <f>IF(Table13[[#This Row],[Quartile]]="TopQuartile", 1,
 IF(Table13[[#This Row],[Quartile]]="SecondQuartile", 2,
 IF(Table13[[#This Row],[Quartile]]="ThirdQuartile", 3,
 IF(Table13[[#This Row],[Quartile]]="FourthQuartile", 4, ""))))</f>
        <v>4</v>
      </c>
      <c r="F428" s="9" t="s">
        <v>484</v>
      </c>
      <c r="G428" s="9" t="str" cm="1">
        <f t="array" ref="G428">IFERROR(
  INDEX(Table13[Quartile],
    MATCH(1,
      (Table13[[#This Row],[OrgName]]=Table13[OrgName]) *
      (Table13[[#This Row],[Month Number]]-1=Table13[Month Number]),
    0)
  ),
"")</f>
        <v>FourthQuartile</v>
      </c>
      <c r="H428" s="9">
        <f>IF(Table13[[#This Row],[Previous Quartile]]="TopQuartile", 1,
 IF(Table13[[#This Row],[Previous Quartile]]="SecondQuartile", 2,
 IF(Table13[[#This Row],[Previous Quartile]]="ThirdQuartile", 3,
 IF(Table13[[#This Row],[Previous Quartile]]="FourthQuartile", 4, ""))))</f>
        <v>4</v>
      </c>
      <c r="I428" s="9" t="str">
        <f>IF(Table13[[#This Row],[Previous Quartile Value]]="", "",
   IF(Table13[[#This Row],[Quartile Value]] &lt; Table13[[#This Row],[Previous Quartile Value]], "Improved",
   IF(Table13[[#This Row],[Quartile Value]] &gt; Table13[[#This Row],[Previous Quartile Value]], "Dropped", "Same")))</f>
        <v>Same</v>
      </c>
      <c r="J428" s="10" t="s">
        <v>14</v>
      </c>
      <c r="K428" s="7" t="str">
        <f>VLOOKUP(J428,Introduction!$B$6:$C$14,2)</f>
        <v>South West</v>
      </c>
      <c r="L428" s="10">
        <v>202</v>
      </c>
      <c r="M428" s="8" t="s">
        <v>476</v>
      </c>
    </row>
    <row r="429" spans="1:13" ht="19.95" customHeight="1" x14ac:dyDescent="0.25">
      <c r="A429" s="41">
        <v>45444</v>
      </c>
      <c r="B429" s="47">
        <f>MONTH(Table13[[#This Row],[YearMonth]])</f>
        <v>6</v>
      </c>
      <c r="C429" s="9" t="s">
        <v>274</v>
      </c>
      <c r="D429" s="6" t="s">
        <v>350</v>
      </c>
      <c r="E429" s="6">
        <f>IF(Table13[[#This Row],[Quartile]]="TopQuartile", 1,
 IF(Table13[[#This Row],[Quartile]]="SecondQuartile", 2,
 IF(Table13[[#This Row],[Quartile]]="ThirdQuartile", 3,
 IF(Table13[[#This Row],[Quartile]]="FourthQuartile", 4, ""))))</f>
        <v>4</v>
      </c>
      <c r="F429" s="9" t="s">
        <v>480</v>
      </c>
      <c r="G429" s="9" t="str" cm="1">
        <f t="array" ref="G429">IFERROR(
  INDEX(Table13[Quartile],
    MATCH(1,
      (Table13[[#This Row],[OrgName]]=Table13[OrgName]) *
      (Table13[[#This Row],[Month Number]]-1=Table13[Month Number]),
    0)
  ),
"")</f>
        <v>FourthQuartile</v>
      </c>
      <c r="H429" s="9">
        <f>IF(Table13[[#This Row],[Previous Quartile]]="TopQuartile", 1,
 IF(Table13[[#This Row],[Previous Quartile]]="SecondQuartile", 2,
 IF(Table13[[#This Row],[Previous Quartile]]="ThirdQuartile", 3,
 IF(Table13[[#This Row],[Previous Quartile]]="FourthQuartile", 4, ""))))</f>
        <v>4</v>
      </c>
      <c r="I429" s="9" t="str">
        <f>IF(Table13[[#This Row],[Previous Quartile Value]]="", "",
   IF(Table13[[#This Row],[Quartile Value]] &lt; Table13[[#This Row],[Previous Quartile Value]], "Improved",
   IF(Table13[[#This Row],[Quartile Value]] &gt; Table13[[#This Row],[Previous Quartile Value]], "Dropped", "Same")))</f>
        <v>Same</v>
      </c>
      <c r="J429" s="10" t="s">
        <v>24</v>
      </c>
      <c r="K429" s="7" t="str">
        <f>VLOOKUP(J429,Introduction!$B$6:$C$14,2)</f>
        <v>North East and Yorkshire</v>
      </c>
      <c r="L429" s="10">
        <v>174</v>
      </c>
      <c r="M429" s="8" t="s">
        <v>476</v>
      </c>
    </row>
    <row r="430" spans="1:13" ht="19.95" customHeight="1" x14ac:dyDescent="0.25">
      <c r="A430" s="41">
        <v>45444</v>
      </c>
      <c r="B430" s="47">
        <f>MONTH(Table13[[#This Row],[YearMonth]])</f>
        <v>6</v>
      </c>
      <c r="C430" s="9" t="s">
        <v>278</v>
      </c>
      <c r="D430" s="6" t="s">
        <v>350</v>
      </c>
      <c r="E430" s="6">
        <f>IF(Table13[[#This Row],[Quartile]]="TopQuartile", 1,
 IF(Table13[[#This Row],[Quartile]]="SecondQuartile", 2,
 IF(Table13[[#This Row],[Quartile]]="ThirdQuartile", 3,
 IF(Table13[[#This Row],[Quartile]]="FourthQuartile", 4, ""))))</f>
        <v>4</v>
      </c>
      <c r="F430" s="9" t="s">
        <v>481</v>
      </c>
      <c r="G430" s="9" t="str" cm="1">
        <f t="array" ref="G430">IFERROR(
  INDEX(Table13[Quartile],
    MATCH(1,
      (Table13[[#This Row],[OrgName]]=Table13[OrgName]) *
      (Table13[[#This Row],[Month Number]]-1=Table13[Month Number]),
    0)
  ),
"")</f>
        <v>FourthQuartile</v>
      </c>
      <c r="H430" s="9">
        <f>IF(Table13[[#This Row],[Previous Quartile]]="TopQuartile", 1,
 IF(Table13[[#This Row],[Previous Quartile]]="SecondQuartile", 2,
 IF(Table13[[#This Row],[Previous Quartile]]="ThirdQuartile", 3,
 IF(Table13[[#This Row],[Previous Quartile]]="FourthQuartile", 4, ""))))</f>
        <v>4</v>
      </c>
      <c r="I430" s="9" t="str">
        <f>IF(Table13[[#This Row],[Previous Quartile Value]]="", "",
   IF(Table13[[#This Row],[Quartile Value]] &lt; Table13[[#This Row],[Previous Quartile Value]], "Improved",
   IF(Table13[[#This Row],[Quartile Value]] &gt; Table13[[#This Row],[Previous Quartile Value]], "Dropped", "Same")))</f>
        <v>Same</v>
      </c>
      <c r="J430" s="10" t="s">
        <v>20</v>
      </c>
      <c r="K430" s="7" t="str">
        <f>VLOOKUP(J430,Introduction!$B$6:$C$14,2)</f>
        <v>East of England</v>
      </c>
      <c r="L430" s="10">
        <v>247</v>
      </c>
      <c r="M430" s="8" t="s">
        <v>476</v>
      </c>
    </row>
    <row r="431" spans="1:13" ht="19.95" customHeight="1" x14ac:dyDescent="0.25">
      <c r="A431" s="41">
        <v>45444</v>
      </c>
      <c r="B431" s="47">
        <f>MONTH(Table13[[#This Row],[YearMonth]])</f>
        <v>6</v>
      </c>
      <c r="C431" s="9" t="s">
        <v>285</v>
      </c>
      <c r="D431" s="6" t="s">
        <v>350</v>
      </c>
      <c r="E431" s="6">
        <f>IF(Table13[[#This Row],[Quartile]]="TopQuartile", 1,
 IF(Table13[[#This Row],[Quartile]]="SecondQuartile", 2,
 IF(Table13[[#This Row],[Quartile]]="ThirdQuartile", 3,
 IF(Table13[[#This Row],[Quartile]]="FourthQuartile", 4, ""))))</f>
        <v>4</v>
      </c>
      <c r="F431" s="9" t="s">
        <v>483</v>
      </c>
      <c r="G431" s="9" t="str" cm="1">
        <f t="array" ref="G431">IFERROR(
  INDEX(Table13[Quartile],
    MATCH(1,
      (Table13[[#This Row],[OrgName]]=Table13[OrgName]) *
      (Table13[[#This Row],[Month Number]]-1=Table13[Month Number]),
    0)
  ),
"")</f>
        <v>FourthQuartile</v>
      </c>
      <c r="H431" s="9">
        <f>IF(Table13[[#This Row],[Previous Quartile]]="TopQuartile", 1,
 IF(Table13[[#This Row],[Previous Quartile]]="SecondQuartile", 2,
 IF(Table13[[#This Row],[Previous Quartile]]="ThirdQuartile", 3,
 IF(Table13[[#This Row],[Previous Quartile]]="FourthQuartile", 4, ""))))</f>
        <v>4</v>
      </c>
      <c r="I431" s="9" t="str">
        <f>IF(Table13[[#This Row],[Previous Quartile Value]]="", "",
   IF(Table13[[#This Row],[Quartile Value]] &lt; Table13[[#This Row],[Previous Quartile Value]], "Improved",
   IF(Table13[[#This Row],[Quartile Value]] &gt; Table13[[#This Row],[Previous Quartile Value]], "Dropped", "Same")))</f>
        <v>Same</v>
      </c>
      <c r="J431" s="10" t="s">
        <v>22</v>
      </c>
      <c r="K431" s="7" t="str">
        <f>VLOOKUP(J431,Introduction!$B$6:$C$14,2)</f>
        <v>North West</v>
      </c>
      <c r="L431" s="10">
        <v>242</v>
      </c>
      <c r="M431" s="8" t="s">
        <v>476</v>
      </c>
    </row>
    <row r="432" spans="1:13" ht="19.95" customHeight="1" x14ac:dyDescent="0.25">
      <c r="A432" s="41">
        <v>45444</v>
      </c>
      <c r="B432" s="47">
        <f>MONTH(Table13[[#This Row],[YearMonth]])</f>
        <v>6</v>
      </c>
      <c r="C432" s="9" t="s">
        <v>279</v>
      </c>
      <c r="D432" s="6" t="s">
        <v>350</v>
      </c>
      <c r="E432" s="6">
        <f>IF(Table13[[#This Row],[Quartile]]="TopQuartile", 1,
 IF(Table13[[#This Row],[Quartile]]="SecondQuartile", 2,
 IF(Table13[[#This Row],[Quartile]]="ThirdQuartile", 3,
 IF(Table13[[#This Row],[Quartile]]="FourthQuartile", 4, ""))))</f>
        <v>4</v>
      </c>
      <c r="F432" s="9" t="s">
        <v>482</v>
      </c>
      <c r="G432" s="9" t="str" cm="1">
        <f t="array" ref="G432">IFERROR(
  INDEX(Table13[Quartile],
    MATCH(1,
      (Table13[[#This Row],[OrgName]]=Table13[OrgName]) *
      (Table13[[#This Row],[Month Number]]-1=Table13[Month Number]),
    0)
  ),
"")</f>
        <v>FourthQuartile</v>
      </c>
      <c r="H432" s="9">
        <f>IF(Table13[[#This Row],[Previous Quartile]]="TopQuartile", 1,
 IF(Table13[[#This Row],[Previous Quartile]]="SecondQuartile", 2,
 IF(Table13[[#This Row],[Previous Quartile]]="ThirdQuartile", 3,
 IF(Table13[[#This Row],[Previous Quartile]]="FourthQuartile", 4, ""))))</f>
        <v>4</v>
      </c>
      <c r="I432" s="9" t="str">
        <f>IF(Table13[[#This Row],[Previous Quartile Value]]="", "",
   IF(Table13[[#This Row],[Quartile Value]] &lt; Table13[[#This Row],[Previous Quartile Value]], "Improved",
   IF(Table13[[#This Row],[Quartile Value]] &gt; Table13[[#This Row],[Previous Quartile Value]], "Dropped", "Same")))</f>
        <v>Same</v>
      </c>
      <c r="J432" s="10" t="s">
        <v>12</v>
      </c>
      <c r="K432" s="7" t="str">
        <f>VLOOKUP(J432,Introduction!$B$6:$C$14,2)</f>
        <v>London</v>
      </c>
      <c r="L432" s="10">
        <v>308</v>
      </c>
      <c r="M432" s="8" t="s">
        <v>476</v>
      </c>
    </row>
    <row r="433" spans="1:13" ht="19.95" customHeight="1" x14ac:dyDescent="0.25">
      <c r="A433" s="41">
        <v>45444</v>
      </c>
      <c r="B433" s="47">
        <f>MONTH(Table13[[#This Row],[YearMonth]])</f>
        <v>6</v>
      </c>
      <c r="C433" s="9" t="s">
        <v>308</v>
      </c>
      <c r="D433" s="6" t="s">
        <v>350</v>
      </c>
      <c r="E433" s="6">
        <f>IF(Table13[[#This Row],[Quartile]]="TopQuartile", 1,
 IF(Table13[[#This Row],[Quartile]]="SecondQuartile", 2,
 IF(Table13[[#This Row],[Quartile]]="ThirdQuartile", 3,
 IF(Table13[[#This Row],[Quartile]]="FourthQuartile", 4, ""))))</f>
        <v>4</v>
      </c>
      <c r="F433" s="9" t="s">
        <v>485</v>
      </c>
      <c r="G433" s="9" t="str" cm="1">
        <f t="array" ref="G433">IFERROR(
  INDEX(Table13[Quartile],
    MATCH(1,
      (Table13[[#This Row],[OrgName]]=Table13[OrgName]) *
      (Table13[[#This Row],[Month Number]]-1=Table13[Month Number]),
    0)
  ),
"")</f>
        <v>FourthQuartile</v>
      </c>
      <c r="H433" s="9">
        <f>IF(Table13[[#This Row],[Previous Quartile]]="TopQuartile", 1,
 IF(Table13[[#This Row],[Previous Quartile]]="SecondQuartile", 2,
 IF(Table13[[#This Row],[Previous Quartile]]="ThirdQuartile", 3,
 IF(Table13[[#This Row],[Previous Quartile]]="FourthQuartile", 4, ""))))</f>
        <v>4</v>
      </c>
      <c r="I433" s="9" t="str">
        <f>IF(Table13[[#This Row],[Previous Quartile Value]]="", "",
   IF(Table13[[#This Row],[Quartile Value]] &lt; Table13[[#This Row],[Previous Quartile Value]], "Improved",
   IF(Table13[[#This Row],[Quartile Value]] &gt; Table13[[#This Row],[Previous Quartile Value]], "Dropped", "Same")))</f>
        <v>Same</v>
      </c>
      <c r="J433" s="10" t="s">
        <v>18</v>
      </c>
      <c r="K433" s="7" t="str">
        <f>VLOOKUP(J433,Introduction!$B$6:$C$14,2)</f>
        <v>Midlands</v>
      </c>
      <c r="L433" s="10">
        <v>335</v>
      </c>
      <c r="M433" s="8" t="s">
        <v>476</v>
      </c>
    </row>
    <row r="434" spans="1:13" ht="19.95" customHeight="1" x14ac:dyDescent="0.25">
      <c r="A434" s="41">
        <v>45444</v>
      </c>
      <c r="B434" s="47">
        <f>MONTH(Table13[[#This Row],[YearMonth]])</f>
        <v>6</v>
      </c>
      <c r="C434" s="9" t="s">
        <v>90</v>
      </c>
      <c r="D434" s="6" t="s">
        <v>338</v>
      </c>
      <c r="E434" s="6">
        <f>IF(Table13[[#This Row],[Quartile]]="TopQuartile", 1,
 IF(Table13[[#This Row],[Quartile]]="SecondQuartile", 2,
 IF(Table13[[#This Row],[Quartile]]="ThirdQuartile", 3,
 IF(Table13[[#This Row],[Quartile]]="FourthQuartile", 4, ""))))</f>
        <v>2</v>
      </c>
      <c r="F434" s="9" t="s">
        <v>486</v>
      </c>
      <c r="G434" s="9" t="str" cm="1">
        <f t="array" ref="G434">IFERROR(
  INDEX(Table13[Quartile],
    MATCH(1,
      (Table13[[#This Row],[OrgName]]=Table13[OrgName]) *
      (Table13[[#This Row],[Month Number]]-1=Table13[Month Number]),
    0)
  ),
"")</f>
        <v>TopQuartile</v>
      </c>
      <c r="H434" s="9">
        <f>IF(Table13[[#This Row],[Previous Quartile]]="TopQuartile", 1,
 IF(Table13[[#This Row],[Previous Quartile]]="SecondQuartile", 2,
 IF(Table13[[#This Row],[Previous Quartile]]="ThirdQuartile", 3,
 IF(Table13[[#This Row],[Previous Quartile]]="FourthQuartile", 4, ""))))</f>
        <v>1</v>
      </c>
      <c r="I434" s="9" t="str">
        <f>IF(Table13[[#This Row],[Previous Quartile Value]]="", "",
   IF(Table13[[#This Row],[Quartile Value]] &lt; Table13[[#This Row],[Previous Quartile Value]], "Improved",
   IF(Table13[[#This Row],[Quartile Value]] &gt; Table13[[#This Row],[Previous Quartile Value]], "Dropped", "Same")))</f>
        <v>Dropped</v>
      </c>
      <c r="J434" s="10" t="s">
        <v>24</v>
      </c>
      <c r="K434" s="7" t="str">
        <f>VLOOKUP(J434,Introduction!$B$6:$C$14,2)</f>
        <v>North East and Yorkshire</v>
      </c>
      <c r="L434" s="10">
        <v>453</v>
      </c>
      <c r="M434" s="8" t="s">
        <v>487</v>
      </c>
    </row>
    <row r="435" spans="1:13" ht="19.95" customHeight="1" x14ac:dyDescent="0.25">
      <c r="A435" s="41">
        <v>45444</v>
      </c>
      <c r="B435" s="47">
        <f>MONTH(Table13[[#This Row],[YearMonth]])</f>
        <v>6</v>
      </c>
      <c r="C435" s="9" t="s">
        <v>132</v>
      </c>
      <c r="D435" s="6" t="s">
        <v>338</v>
      </c>
      <c r="E435" s="6">
        <f>IF(Table13[[#This Row],[Quartile]]="TopQuartile", 1,
 IF(Table13[[#This Row],[Quartile]]="SecondQuartile", 2,
 IF(Table13[[#This Row],[Quartile]]="ThirdQuartile", 3,
 IF(Table13[[#This Row],[Quartile]]="FourthQuartile", 4, ""))))</f>
        <v>2</v>
      </c>
      <c r="F435" s="9" t="s">
        <v>488</v>
      </c>
      <c r="G435" s="9" t="str" cm="1">
        <f t="array" ref="G435">IFERROR(
  INDEX(Table13[Quartile],
    MATCH(1,
      (Table13[[#This Row],[OrgName]]=Table13[OrgName]) *
      (Table13[[#This Row],[Month Number]]-1=Table13[Month Number]),
    0)
  ),
"")</f>
        <v>SecondQuartile</v>
      </c>
      <c r="H435" s="9">
        <f>IF(Table13[[#This Row],[Previous Quartile]]="TopQuartile", 1,
 IF(Table13[[#This Row],[Previous Quartile]]="SecondQuartile", 2,
 IF(Table13[[#This Row],[Previous Quartile]]="ThirdQuartile", 3,
 IF(Table13[[#This Row],[Previous Quartile]]="FourthQuartile", 4, ""))))</f>
        <v>2</v>
      </c>
      <c r="I435" s="9" t="str">
        <f>IF(Table13[[#This Row],[Previous Quartile Value]]="", "",
   IF(Table13[[#This Row],[Quartile Value]] &lt; Table13[[#This Row],[Previous Quartile Value]], "Improved",
   IF(Table13[[#This Row],[Quartile Value]] &gt; Table13[[#This Row],[Previous Quartile Value]], "Dropped", "Same")))</f>
        <v>Same</v>
      </c>
      <c r="J435" s="10" t="s">
        <v>24</v>
      </c>
      <c r="K435" s="7" t="str">
        <f>VLOOKUP(J435,Introduction!$B$6:$C$14,2)</f>
        <v>North East and Yorkshire</v>
      </c>
      <c r="L435" s="10">
        <v>457</v>
      </c>
      <c r="M435" s="8" t="s">
        <v>487</v>
      </c>
    </row>
    <row r="436" spans="1:13" ht="19.95" customHeight="1" x14ac:dyDescent="0.25">
      <c r="A436" s="41">
        <v>45444</v>
      </c>
      <c r="B436" s="47">
        <f>MONTH(Table13[[#This Row],[YearMonth]])</f>
        <v>6</v>
      </c>
      <c r="C436" s="9" t="s">
        <v>181</v>
      </c>
      <c r="D436" s="6" t="s">
        <v>350</v>
      </c>
      <c r="E436" s="6">
        <f>IF(Table13[[#This Row],[Quartile]]="TopQuartile", 1,
 IF(Table13[[#This Row],[Quartile]]="SecondQuartile", 2,
 IF(Table13[[#This Row],[Quartile]]="ThirdQuartile", 3,
 IF(Table13[[#This Row],[Quartile]]="FourthQuartile", 4, ""))))</f>
        <v>4</v>
      </c>
      <c r="F436" s="9" t="s">
        <v>489</v>
      </c>
      <c r="G436" s="9" t="str" cm="1">
        <f t="array" ref="G436">IFERROR(
  INDEX(Table13[Quartile],
    MATCH(1,
      (Table13[[#This Row],[OrgName]]=Table13[OrgName]) *
      (Table13[[#This Row],[Month Number]]-1=Table13[Month Number]),
    0)
  ),
"")</f>
        <v>FourthQuartile</v>
      </c>
      <c r="H436" s="9">
        <f>IF(Table13[[#This Row],[Previous Quartile]]="TopQuartile", 1,
 IF(Table13[[#This Row],[Previous Quartile]]="SecondQuartile", 2,
 IF(Table13[[#This Row],[Previous Quartile]]="ThirdQuartile", 3,
 IF(Table13[[#This Row],[Previous Quartile]]="FourthQuartile", 4, ""))))</f>
        <v>4</v>
      </c>
      <c r="I436" s="9" t="str">
        <f>IF(Table13[[#This Row],[Previous Quartile Value]]="", "",
   IF(Table13[[#This Row],[Quartile Value]] &lt; Table13[[#This Row],[Previous Quartile Value]], "Improved",
   IF(Table13[[#This Row],[Quartile Value]] &gt; Table13[[#This Row],[Previous Quartile Value]], "Dropped", "Same")))</f>
        <v>Same</v>
      </c>
      <c r="J436" s="10" t="s">
        <v>12</v>
      </c>
      <c r="K436" s="7" t="str">
        <f>VLOOKUP(J436,Introduction!$B$6:$C$14,2)</f>
        <v>London</v>
      </c>
      <c r="L436" s="10">
        <v>455</v>
      </c>
      <c r="M436" s="8" t="s">
        <v>487</v>
      </c>
    </row>
    <row r="437" spans="1:13" ht="19.95" customHeight="1" x14ac:dyDescent="0.25">
      <c r="A437" s="41">
        <v>45444</v>
      </c>
      <c r="B437" s="47">
        <f>MONTH(Table13[[#This Row],[YearMonth]])</f>
        <v>6</v>
      </c>
      <c r="C437" s="9" t="s">
        <v>35</v>
      </c>
      <c r="D437" s="6" t="s">
        <v>330</v>
      </c>
      <c r="E437" s="6">
        <f>IF(Table13[[#This Row],[Quartile]]="TopQuartile", 1,
 IF(Table13[[#This Row],[Quartile]]="SecondQuartile", 2,
 IF(Table13[[#This Row],[Quartile]]="ThirdQuartile", 3,
 IF(Table13[[#This Row],[Quartile]]="FourthQuartile", 4, ""))))</f>
        <v>1</v>
      </c>
      <c r="F437" s="9" t="s">
        <v>492</v>
      </c>
      <c r="G437" s="9" t="str" cm="1">
        <f t="array" ref="G437">IFERROR(
  INDEX(Table13[Quartile],
    MATCH(1,
      (Table13[[#This Row],[OrgName]]=Table13[OrgName]) *
      (Table13[[#This Row],[Month Number]]-1=Table13[Month Number]),
    0)
  ),
"")</f>
        <v>TopQuartile</v>
      </c>
      <c r="H437" s="9">
        <f>IF(Table13[[#This Row],[Previous Quartile]]="TopQuartile", 1,
 IF(Table13[[#This Row],[Previous Quartile]]="SecondQuartile", 2,
 IF(Table13[[#This Row],[Previous Quartile]]="ThirdQuartile", 3,
 IF(Table13[[#This Row],[Previous Quartile]]="FourthQuartile", 4, ""))))</f>
        <v>1</v>
      </c>
      <c r="I437" s="9" t="str">
        <f>IF(Table13[[#This Row],[Previous Quartile Value]]="", "",
   IF(Table13[[#This Row],[Quartile Value]] &lt; Table13[[#This Row],[Previous Quartile Value]], "Improved",
   IF(Table13[[#This Row],[Quartile Value]] &gt; Table13[[#This Row],[Previous Quartile Value]], "Dropped", "Same")))</f>
        <v>Same</v>
      </c>
      <c r="J437" s="10" t="s">
        <v>10</v>
      </c>
      <c r="K437" s="7" t="str">
        <f>VLOOKUP(J437,Introduction!$B$6:$C$14,2)</f>
        <v>Special Health Authorities and other statutory bodies</v>
      </c>
      <c r="L437" s="10">
        <v>891</v>
      </c>
      <c r="M437" s="8" t="s">
        <v>491</v>
      </c>
    </row>
    <row r="438" spans="1:13" ht="19.95" customHeight="1" x14ac:dyDescent="0.25">
      <c r="A438" s="41">
        <v>45444</v>
      </c>
      <c r="B438" s="47">
        <f>MONTH(Table13[[#This Row],[YearMonth]])</f>
        <v>6</v>
      </c>
      <c r="C438" s="9" t="s">
        <v>45</v>
      </c>
      <c r="D438" s="6" t="s">
        <v>330</v>
      </c>
      <c r="E438" s="6">
        <f>IF(Table13[[#This Row],[Quartile]]="TopQuartile", 1,
 IF(Table13[[#This Row],[Quartile]]="SecondQuartile", 2,
 IF(Table13[[#This Row],[Quartile]]="ThirdQuartile", 3,
 IF(Table13[[#This Row],[Quartile]]="FourthQuartile", 4, ""))))</f>
        <v>1</v>
      </c>
      <c r="F438" s="9" t="s">
        <v>493</v>
      </c>
      <c r="G438" s="9" t="str" cm="1">
        <f t="array" ref="G438">IFERROR(
  INDEX(Table13[Quartile],
    MATCH(1,
      (Table13[[#This Row],[OrgName]]=Table13[OrgName]) *
      (Table13[[#This Row],[Month Number]]-1=Table13[Month Number]),
    0)
  ),
"")</f>
        <v>TopQuartile</v>
      </c>
      <c r="H438" s="9">
        <f>IF(Table13[[#This Row],[Previous Quartile]]="TopQuartile", 1,
 IF(Table13[[#This Row],[Previous Quartile]]="SecondQuartile", 2,
 IF(Table13[[#This Row],[Previous Quartile]]="ThirdQuartile", 3,
 IF(Table13[[#This Row],[Previous Quartile]]="FourthQuartile", 4, ""))))</f>
        <v>1</v>
      </c>
      <c r="I438" s="9" t="str">
        <f>IF(Table13[[#This Row],[Previous Quartile Value]]="", "",
   IF(Table13[[#This Row],[Quartile Value]] &lt; Table13[[#This Row],[Previous Quartile Value]], "Improved",
   IF(Table13[[#This Row],[Quartile Value]] &gt; Table13[[#This Row],[Previous Quartile Value]], "Dropped", "Same")))</f>
        <v>Same</v>
      </c>
      <c r="J438" s="10" t="s">
        <v>10</v>
      </c>
      <c r="K438" s="7" t="str">
        <f>VLOOKUP(J438,Introduction!$B$6:$C$14,2)</f>
        <v>Special Health Authorities and other statutory bodies</v>
      </c>
      <c r="L438" s="10">
        <v>877</v>
      </c>
      <c r="M438" s="8" t="s">
        <v>491</v>
      </c>
    </row>
    <row r="439" spans="1:13" ht="19.95" customHeight="1" x14ac:dyDescent="0.25">
      <c r="A439" s="41">
        <v>45444</v>
      </c>
      <c r="B439" s="47">
        <f>MONTH(Table13[[#This Row],[YearMonth]])</f>
        <v>6</v>
      </c>
      <c r="C439" s="9" t="s">
        <v>130</v>
      </c>
      <c r="D439" s="6" t="s">
        <v>338</v>
      </c>
      <c r="E439" s="6">
        <f>IF(Table13[[#This Row],[Quartile]]="TopQuartile", 1,
 IF(Table13[[#This Row],[Quartile]]="SecondQuartile", 2,
 IF(Table13[[#This Row],[Quartile]]="ThirdQuartile", 3,
 IF(Table13[[#This Row],[Quartile]]="FourthQuartile", 4, ""))))</f>
        <v>2</v>
      </c>
      <c r="F439" s="9" t="s">
        <v>494</v>
      </c>
      <c r="G439" s="9" t="str" cm="1">
        <f t="array" ref="G439">IFERROR(
  INDEX(Table13[Quartile],
    MATCH(1,
      (Table13[[#This Row],[OrgName]]=Table13[OrgName]) *
      (Table13[[#This Row],[Month Number]]-1=Table13[Month Number]),
    0)
  ),
"")</f>
        <v>SecondQuartile</v>
      </c>
      <c r="H439" s="9">
        <f>IF(Table13[[#This Row],[Previous Quartile]]="TopQuartile", 1,
 IF(Table13[[#This Row],[Previous Quartile]]="SecondQuartile", 2,
 IF(Table13[[#This Row],[Previous Quartile]]="ThirdQuartile", 3,
 IF(Table13[[#This Row],[Previous Quartile]]="FourthQuartile", 4, ""))))</f>
        <v>2</v>
      </c>
      <c r="I439" s="9" t="str">
        <f>IF(Table13[[#This Row],[Previous Quartile Value]]="", "",
   IF(Table13[[#This Row],[Quartile Value]] &lt; Table13[[#This Row],[Previous Quartile Value]], "Improved",
   IF(Table13[[#This Row],[Quartile Value]] &gt; Table13[[#This Row],[Previous Quartile Value]], "Dropped", "Same")))</f>
        <v>Same</v>
      </c>
      <c r="J439" s="10" t="s">
        <v>10</v>
      </c>
      <c r="K439" s="7" t="str">
        <f>VLOOKUP(J439,Introduction!$B$6:$C$14,2)</f>
        <v>Special Health Authorities and other statutory bodies</v>
      </c>
      <c r="L439" s="10">
        <v>880</v>
      </c>
      <c r="M439" s="8" t="s">
        <v>491</v>
      </c>
    </row>
    <row r="440" spans="1:13" ht="19.95" customHeight="1" x14ac:dyDescent="0.25">
      <c r="A440" s="41">
        <v>45444</v>
      </c>
      <c r="B440" s="47">
        <f>MONTH(Table13[[#This Row],[YearMonth]])</f>
        <v>6</v>
      </c>
      <c r="C440" s="9" t="s">
        <v>27</v>
      </c>
      <c r="D440" s="6" t="s">
        <v>350</v>
      </c>
      <c r="E440" s="6">
        <f>IF(Table13[[#This Row],[Quartile]]="TopQuartile", 1,
 IF(Table13[[#This Row],[Quartile]]="SecondQuartile", 2,
 IF(Table13[[#This Row],[Quartile]]="ThirdQuartile", 3,
 IF(Table13[[#This Row],[Quartile]]="FourthQuartile", 4, ""))))</f>
        <v>4</v>
      </c>
      <c r="F440" s="9" t="s">
        <v>490</v>
      </c>
      <c r="G440" s="9" t="str" cm="1">
        <f t="array" ref="G440">IFERROR(
  INDEX(Table13[Quartile],
    MATCH(1,
      (Table13[[#This Row],[OrgName]]=Table13[OrgName]) *
      (Table13[[#This Row],[Month Number]]-1=Table13[Month Number]),
    0)
  ),
"")</f>
        <v>FourthQuartile</v>
      </c>
      <c r="H440" s="9">
        <f>IF(Table13[[#This Row],[Previous Quartile]]="TopQuartile", 1,
 IF(Table13[[#This Row],[Previous Quartile]]="SecondQuartile", 2,
 IF(Table13[[#This Row],[Previous Quartile]]="ThirdQuartile", 3,
 IF(Table13[[#This Row],[Previous Quartile]]="FourthQuartile", 4, ""))))</f>
        <v>4</v>
      </c>
      <c r="I440" s="9" t="str">
        <f>IF(Table13[[#This Row],[Previous Quartile Value]]="", "",
   IF(Table13[[#This Row],[Quartile Value]] &lt; Table13[[#This Row],[Previous Quartile Value]], "Improved",
   IF(Table13[[#This Row],[Quartile Value]] &gt; Table13[[#This Row],[Previous Quartile Value]], "Dropped", "Same")))</f>
        <v>Same</v>
      </c>
      <c r="J440" s="10" t="s">
        <v>10</v>
      </c>
      <c r="K440" s="7" t="str">
        <f>VLOOKUP(J440,Introduction!$B$6:$C$14,2)</f>
        <v>Special Health Authorities and other statutory bodies</v>
      </c>
      <c r="L440" s="10">
        <v>869</v>
      </c>
      <c r="M440" s="8" t="s">
        <v>491</v>
      </c>
    </row>
    <row r="441" spans="1:13" ht="19.95" customHeight="1" x14ac:dyDescent="0.25">
      <c r="A441" s="41">
        <v>45444</v>
      </c>
      <c r="B441" s="47">
        <f>MONTH(Table13[[#This Row],[YearMonth]])</f>
        <v>6</v>
      </c>
      <c r="C441" s="9" t="s">
        <v>31</v>
      </c>
      <c r="D441" s="6" t="s">
        <v>330</v>
      </c>
      <c r="E441" s="6">
        <f>IF(Table13[[#This Row],[Quartile]]="TopQuartile", 1,
 IF(Table13[[#This Row],[Quartile]]="SecondQuartile", 2,
 IF(Table13[[#This Row],[Quartile]]="ThirdQuartile", 3,
 IF(Table13[[#This Row],[Quartile]]="FourthQuartile", 4, ""))))</f>
        <v>1</v>
      </c>
      <c r="F441" s="9" t="s">
        <v>495</v>
      </c>
      <c r="G441" s="9" t="str" cm="1">
        <f t="array" ref="G441">IFERROR(
  INDEX(Table13[Quartile],
    MATCH(1,
      (Table13[[#This Row],[OrgName]]=Table13[OrgName]) *
      (Table13[[#This Row],[Month Number]]-1=Table13[Month Number]),
    0)
  ),
"")</f>
        <v>TopQuartile</v>
      </c>
      <c r="H441" s="9">
        <f>IF(Table13[[#This Row],[Previous Quartile]]="TopQuartile", 1,
 IF(Table13[[#This Row],[Previous Quartile]]="SecondQuartile", 2,
 IF(Table13[[#This Row],[Previous Quartile]]="ThirdQuartile", 3,
 IF(Table13[[#This Row],[Previous Quartile]]="FourthQuartile", 4, ""))))</f>
        <v>1</v>
      </c>
      <c r="I441" s="9" t="str">
        <f>IF(Table13[[#This Row],[Previous Quartile Value]]="", "",
   IF(Table13[[#This Row],[Quartile Value]] &lt; Table13[[#This Row],[Previous Quartile Value]], "Improved",
   IF(Table13[[#This Row],[Quartile Value]] &gt; Table13[[#This Row],[Previous Quartile Value]], "Dropped", "Same")))</f>
        <v>Same</v>
      </c>
      <c r="J441" s="10" t="s">
        <v>16</v>
      </c>
      <c r="K441" s="7" t="str">
        <f>VLOOKUP(J441,Introduction!$B$6:$C$14,2)</f>
        <v>South East</v>
      </c>
      <c r="L441" s="10">
        <v>449</v>
      </c>
      <c r="M441" s="8" t="s">
        <v>496</v>
      </c>
    </row>
    <row r="442" spans="1:13" ht="19.95" customHeight="1" x14ac:dyDescent="0.25">
      <c r="A442" s="41">
        <v>45444</v>
      </c>
      <c r="B442" s="47">
        <f>MONTH(Table13[[#This Row],[YearMonth]])</f>
        <v>6</v>
      </c>
      <c r="C442" s="9" t="s">
        <v>46</v>
      </c>
      <c r="D442" s="6" t="s">
        <v>330</v>
      </c>
      <c r="E442" s="6">
        <f>IF(Table13[[#This Row],[Quartile]]="TopQuartile", 1,
 IF(Table13[[#This Row],[Quartile]]="SecondQuartile", 2,
 IF(Table13[[#This Row],[Quartile]]="ThirdQuartile", 3,
 IF(Table13[[#This Row],[Quartile]]="FourthQuartile", 4, ""))))</f>
        <v>1</v>
      </c>
      <c r="F442" s="9" t="s">
        <v>497</v>
      </c>
      <c r="G442" s="9" t="str" cm="1">
        <f t="array" ref="G442">IFERROR(
  INDEX(Table13[Quartile],
    MATCH(1,
      (Table13[[#This Row],[OrgName]]=Table13[OrgName]) *
      (Table13[[#This Row],[Month Number]]-1=Table13[Month Number]),
    0)
  ),
"")</f>
        <v>TopQuartile</v>
      </c>
      <c r="H442" s="9">
        <f>IF(Table13[[#This Row],[Previous Quartile]]="TopQuartile", 1,
 IF(Table13[[#This Row],[Previous Quartile]]="SecondQuartile", 2,
 IF(Table13[[#This Row],[Previous Quartile]]="ThirdQuartile", 3,
 IF(Table13[[#This Row],[Previous Quartile]]="FourthQuartile", 4, ""))))</f>
        <v>1</v>
      </c>
      <c r="I442" s="9" t="str">
        <f>IF(Table13[[#This Row],[Previous Quartile Value]]="", "",
   IF(Table13[[#This Row],[Quartile Value]] &lt; Table13[[#This Row],[Previous Quartile Value]], "Improved",
   IF(Table13[[#This Row],[Quartile Value]] &gt; Table13[[#This Row],[Previous Quartile Value]], "Dropped", "Same")))</f>
        <v>Same</v>
      </c>
      <c r="J442" s="10" t="s">
        <v>16</v>
      </c>
      <c r="K442" s="7" t="str">
        <f>VLOOKUP(J442,Introduction!$B$6:$C$14,2)</f>
        <v>South East</v>
      </c>
      <c r="L442" s="10">
        <v>813</v>
      </c>
      <c r="M442" s="8" t="s">
        <v>496</v>
      </c>
    </row>
    <row r="443" spans="1:13" ht="19.95" customHeight="1" x14ac:dyDescent="0.25">
      <c r="A443" s="41">
        <v>45444</v>
      </c>
      <c r="B443" s="47">
        <f>MONTH(Table13[[#This Row],[YearMonth]])</f>
        <v>6</v>
      </c>
      <c r="C443" s="9" t="s">
        <v>47</v>
      </c>
      <c r="D443" s="6" t="s">
        <v>330</v>
      </c>
      <c r="E443" s="6">
        <f>IF(Table13[[#This Row],[Quartile]]="TopQuartile", 1,
 IF(Table13[[#This Row],[Quartile]]="SecondQuartile", 2,
 IF(Table13[[#This Row],[Quartile]]="ThirdQuartile", 3,
 IF(Table13[[#This Row],[Quartile]]="FourthQuartile", 4, ""))))</f>
        <v>1</v>
      </c>
      <c r="F443" s="9" t="s">
        <v>498</v>
      </c>
      <c r="G443" s="9" t="str" cm="1">
        <f t="array" ref="G443">IFERROR(
  INDEX(Table13[Quartile],
    MATCH(1,
      (Table13[[#This Row],[OrgName]]=Table13[OrgName]) *
      (Table13[[#This Row],[Month Number]]-1=Table13[Month Number]),
    0)
  ),
"")</f>
        <v>TopQuartile</v>
      </c>
      <c r="H443" s="9">
        <f>IF(Table13[[#This Row],[Previous Quartile]]="TopQuartile", 1,
 IF(Table13[[#This Row],[Previous Quartile]]="SecondQuartile", 2,
 IF(Table13[[#This Row],[Previous Quartile]]="ThirdQuartile", 3,
 IF(Table13[[#This Row],[Previous Quartile]]="FourthQuartile", 4, ""))))</f>
        <v>1</v>
      </c>
      <c r="I443" s="9" t="str">
        <f>IF(Table13[[#This Row],[Previous Quartile Value]]="", "",
   IF(Table13[[#This Row],[Quartile Value]] &lt; Table13[[#This Row],[Previous Quartile Value]], "Improved",
   IF(Table13[[#This Row],[Quartile Value]] &gt; Table13[[#This Row],[Previous Quartile Value]], "Dropped", "Same")))</f>
        <v>Same</v>
      </c>
      <c r="J443" s="10" t="s">
        <v>16</v>
      </c>
      <c r="K443" s="7" t="str">
        <f>VLOOKUP(J443,Introduction!$B$6:$C$14,2)</f>
        <v>South East</v>
      </c>
      <c r="L443" s="10">
        <v>846</v>
      </c>
      <c r="M443" s="8" t="s">
        <v>496</v>
      </c>
    </row>
    <row r="444" spans="1:13" ht="19.95" customHeight="1" x14ac:dyDescent="0.25">
      <c r="A444" s="41">
        <v>45444</v>
      </c>
      <c r="B444" s="47">
        <f>MONTH(Table13[[#This Row],[YearMonth]])</f>
        <v>6</v>
      </c>
      <c r="C444" s="9" t="s">
        <v>98</v>
      </c>
      <c r="D444" s="6" t="s">
        <v>330</v>
      </c>
      <c r="E444" s="6">
        <f>IF(Table13[[#This Row],[Quartile]]="TopQuartile", 1,
 IF(Table13[[#This Row],[Quartile]]="SecondQuartile", 2,
 IF(Table13[[#This Row],[Quartile]]="ThirdQuartile", 3,
 IF(Table13[[#This Row],[Quartile]]="FourthQuartile", 4, ""))))</f>
        <v>1</v>
      </c>
      <c r="F444" s="9" t="s">
        <v>503</v>
      </c>
      <c r="G444" s="9" t="str" cm="1">
        <f t="array" ref="G444">IFERROR(
  INDEX(Table13[Quartile],
    MATCH(1,
      (Table13[[#This Row],[OrgName]]=Table13[OrgName]) *
      (Table13[[#This Row],[Month Number]]-1=Table13[Month Number]),
    0)
  ),
"")</f>
        <v>SecondQuartile</v>
      </c>
      <c r="H444" s="9">
        <f>IF(Table13[[#This Row],[Previous Quartile]]="TopQuartile", 1,
 IF(Table13[[#This Row],[Previous Quartile]]="SecondQuartile", 2,
 IF(Table13[[#This Row],[Previous Quartile]]="ThirdQuartile", 3,
 IF(Table13[[#This Row],[Previous Quartile]]="FourthQuartile", 4, ""))))</f>
        <v>2</v>
      </c>
      <c r="I444" s="9" t="str">
        <f>IF(Table13[[#This Row],[Previous Quartile Value]]="", "",
   IF(Table13[[#This Row],[Quartile Value]] &lt; Table13[[#This Row],[Previous Quartile Value]], "Improved",
   IF(Table13[[#This Row],[Quartile Value]] &gt; Table13[[#This Row],[Previous Quartile Value]], "Dropped", "Same")))</f>
        <v>Improved</v>
      </c>
      <c r="J444" s="10" t="s">
        <v>18</v>
      </c>
      <c r="K444" s="7" t="str">
        <f>VLOOKUP(J444,Introduction!$B$6:$C$14,2)</f>
        <v>Midlands</v>
      </c>
      <c r="L444" s="10">
        <v>825</v>
      </c>
      <c r="M444" s="8" t="s">
        <v>496</v>
      </c>
    </row>
    <row r="445" spans="1:13" ht="19.95" customHeight="1" x14ac:dyDescent="0.25">
      <c r="A445" s="41">
        <v>45444</v>
      </c>
      <c r="B445" s="47">
        <f>MONTH(Table13[[#This Row],[YearMonth]])</f>
        <v>6</v>
      </c>
      <c r="C445" s="9" t="s">
        <v>57</v>
      </c>
      <c r="D445" s="6" t="s">
        <v>330</v>
      </c>
      <c r="E445" s="6">
        <f>IF(Table13[[#This Row],[Quartile]]="TopQuartile", 1,
 IF(Table13[[#This Row],[Quartile]]="SecondQuartile", 2,
 IF(Table13[[#This Row],[Quartile]]="ThirdQuartile", 3,
 IF(Table13[[#This Row],[Quartile]]="FourthQuartile", 4, ""))))</f>
        <v>1</v>
      </c>
      <c r="F445" s="9" t="s">
        <v>499</v>
      </c>
      <c r="G445" s="9" t="str" cm="1">
        <f t="array" ref="G445">IFERROR(
  INDEX(Table13[Quartile],
    MATCH(1,
      (Table13[[#This Row],[OrgName]]=Table13[OrgName]) *
      (Table13[[#This Row],[Month Number]]-1=Table13[Month Number]),
    0)
  ),
"")</f>
        <v>SecondQuartile</v>
      </c>
      <c r="H445" s="9">
        <f>IF(Table13[[#This Row],[Previous Quartile]]="TopQuartile", 1,
 IF(Table13[[#This Row],[Previous Quartile]]="SecondQuartile", 2,
 IF(Table13[[#This Row],[Previous Quartile]]="ThirdQuartile", 3,
 IF(Table13[[#This Row],[Previous Quartile]]="FourthQuartile", 4, ""))))</f>
        <v>2</v>
      </c>
      <c r="I445" s="9" t="str">
        <f>IF(Table13[[#This Row],[Previous Quartile Value]]="", "",
   IF(Table13[[#This Row],[Quartile Value]] &lt; Table13[[#This Row],[Previous Quartile Value]], "Improved",
   IF(Table13[[#This Row],[Quartile Value]] &gt; Table13[[#This Row],[Previous Quartile Value]], "Dropped", "Same")))</f>
        <v>Improved</v>
      </c>
      <c r="J445" s="10" t="s">
        <v>14</v>
      </c>
      <c r="K445" s="7" t="str">
        <f>VLOOKUP(J445,Introduction!$B$6:$C$14,2)</f>
        <v>South West</v>
      </c>
      <c r="L445" s="10">
        <v>85</v>
      </c>
      <c r="M445" s="8" t="s">
        <v>496</v>
      </c>
    </row>
    <row r="446" spans="1:13" ht="19.95" customHeight="1" x14ac:dyDescent="0.25">
      <c r="A446" s="41">
        <v>45444</v>
      </c>
      <c r="B446" s="47">
        <f>MONTH(Table13[[#This Row],[YearMonth]])</f>
        <v>6</v>
      </c>
      <c r="C446" s="9" t="s">
        <v>79</v>
      </c>
      <c r="D446" s="6" t="s">
        <v>330</v>
      </c>
      <c r="E446" s="6">
        <f>IF(Table13[[#This Row],[Quartile]]="TopQuartile", 1,
 IF(Table13[[#This Row],[Quartile]]="SecondQuartile", 2,
 IF(Table13[[#This Row],[Quartile]]="ThirdQuartile", 3,
 IF(Table13[[#This Row],[Quartile]]="FourthQuartile", 4, ""))))</f>
        <v>1</v>
      </c>
      <c r="F446" s="9" t="s">
        <v>80</v>
      </c>
      <c r="G446" s="9" t="str" cm="1">
        <f t="array" ref="G446">IFERROR(
  INDEX(Table13[Quartile],
    MATCH(1,
      (Table13[[#This Row],[OrgName]]=Table13[OrgName]) *
      (Table13[[#This Row],[Month Number]]-1=Table13[Month Number]),
    0)
  ),
"")</f>
        <v>TopQuartile</v>
      </c>
      <c r="H446" s="9">
        <f>IF(Table13[[#This Row],[Previous Quartile]]="TopQuartile", 1,
 IF(Table13[[#This Row],[Previous Quartile]]="SecondQuartile", 2,
 IF(Table13[[#This Row],[Previous Quartile]]="ThirdQuartile", 3,
 IF(Table13[[#This Row],[Previous Quartile]]="FourthQuartile", 4, ""))))</f>
        <v>1</v>
      </c>
      <c r="I446" s="9" t="str">
        <f>IF(Table13[[#This Row],[Previous Quartile Value]]="", "",
   IF(Table13[[#This Row],[Quartile Value]] &lt; Table13[[#This Row],[Previous Quartile Value]], "Improved",
   IF(Table13[[#This Row],[Quartile Value]] &gt; Table13[[#This Row],[Previous Quartile Value]], "Dropped", "Same")))</f>
        <v>Same</v>
      </c>
      <c r="J446" s="10" t="s">
        <v>24</v>
      </c>
      <c r="K446" s="7" t="str">
        <f>VLOOKUP(J446,Introduction!$B$6:$C$14,2)</f>
        <v>North East and Yorkshire</v>
      </c>
      <c r="L446" s="10">
        <v>98</v>
      </c>
      <c r="M446" s="8" t="s">
        <v>496</v>
      </c>
    </row>
    <row r="447" spans="1:13" ht="19.95" customHeight="1" x14ac:dyDescent="0.25">
      <c r="A447" s="41">
        <v>45444</v>
      </c>
      <c r="B447" s="47">
        <f>MONTH(Table13[[#This Row],[YearMonth]])</f>
        <v>6</v>
      </c>
      <c r="C447" s="9" t="s">
        <v>86</v>
      </c>
      <c r="D447" s="6" t="s">
        <v>330</v>
      </c>
      <c r="E447" s="6">
        <f>IF(Table13[[#This Row],[Quartile]]="TopQuartile", 1,
 IF(Table13[[#This Row],[Quartile]]="SecondQuartile", 2,
 IF(Table13[[#This Row],[Quartile]]="ThirdQuartile", 3,
 IF(Table13[[#This Row],[Quartile]]="FourthQuartile", 4, ""))))</f>
        <v>1</v>
      </c>
      <c r="F447" s="9" t="s">
        <v>501</v>
      </c>
      <c r="G447" s="9" t="str" cm="1">
        <f t="array" ref="G447">IFERROR(
  INDEX(Table13[Quartile],
    MATCH(1,
      (Table13[[#This Row],[OrgName]]=Table13[OrgName]) *
      (Table13[[#This Row],[Month Number]]-1=Table13[Month Number]),
    0)
  ),
"")</f>
        <v>SecondQuartile</v>
      </c>
      <c r="H447" s="9">
        <f>IF(Table13[[#This Row],[Previous Quartile]]="TopQuartile", 1,
 IF(Table13[[#This Row],[Previous Quartile]]="SecondQuartile", 2,
 IF(Table13[[#This Row],[Previous Quartile]]="ThirdQuartile", 3,
 IF(Table13[[#This Row],[Previous Quartile]]="FourthQuartile", 4, ""))))</f>
        <v>2</v>
      </c>
      <c r="I447" s="9" t="str">
        <f>IF(Table13[[#This Row],[Previous Quartile Value]]="", "",
   IF(Table13[[#This Row],[Quartile Value]] &lt; Table13[[#This Row],[Previous Quartile Value]], "Improved",
   IF(Table13[[#This Row],[Quartile Value]] &gt; Table13[[#This Row],[Previous Quartile Value]], "Dropped", "Same")))</f>
        <v>Improved</v>
      </c>
      <c r="J447" s="10" t="s">
        <v>16</v>
      </c>
      <c r="K447" s="7" t="str">
        <f>VLOOKUP(J447,Introduction!$B$6:$C$14,2)</f>
        <v>South East</v>
      </c>
      <c r="L447" s="10">
        <v>150</v>
      </c>
      <c r="M447" s="8" t="s">
        <v>496</v>
      </c>
    </row>
    <row r="448" spans="1:13" ht="19.95" customHeight="1" x14ac:dyDescent="0.25">
      <c r="A448" s="41">
        <v>45444</v>
      </c>
      <c r="B448" s="47">
        <f>MONTH(Table13[[#This Row],[YearMonth]])</f>
        <v>6</v>
      </c>
      <c r="C448" s="9" t="s">
        <v>87</v>
      </c>
      <c r="D448" s="6" t="s">
        <v>330</v>
      </c>
      <c r="E448" s="6">
        <f>IF(Table13[[#This Row],[Quartile]]="TopQuartile", 1,
 IF(Table13[[#This Row],[Quartile]]="SecondQuartile", 2,
 IF(Table13[[#This Row],[Quartile]]="ThirdQuartile", 3,
 IF(Table13[[#This Row],[Quartile]]="FourthQuartile", 4, ""))))</f>
        <v>1</v>
      </c>
      <c r="F448" s="9" t="s">
        <v>502</v>
      </c>
      <c r="G448" s="9" t="str" cm="1">
        <f t="array" ref="G448">IFERROR(
  INDEX(Table13[Quartile],
    MATCH(1,
      (Table13[[#This Row],[OrgName]]=Table13[OrgName]) *
      (Table13[[#This Row],[Month Number]]-1=Table13[Month Number]),
    0)
  ),
"")</f>
        <v>TopQuartile</v>
      </c>
      <c r="H448" s="9">
        <f>IF(Table13[[#This Row],[Previous Quartile]]="TopQuartile", 1,
 IF(Table13[[#This Row],[Previous Quartile]]="SecondQuartile", 2,
 IF(Table13[[#This Row],[Previous Quartile]]="ThirdQuartile", 3,
 IF(Table13[[#This Row],[Previous Quartile]]="FourthQuartile", 4, ""))))</f>
        <v>1</v>
      </c>
      <c r="I448" s="9" t="str">
        <f>IF(Table13[[#This Row],[Previous Quartile Value]]="", "",
   IF(Table13[[#This Row],[Quartile Value]] &lt; Table13[[#This Row],[Previous Quartile Value]], "Improved",
   IF(Table13[[#This Row],[Quartile Value]] &gt; Table13[[#This Row],[Previous Quartile Value]], "Dropped", "Same")))</f>
        <v>Same</v>
      </c>
      <c r="J448" s="10" t="s">
        <v>22</v>
      </c>
      <c r="K448" s="7" t="str">
        <f>VLOOKUP(J448,Introduction!$B$6:$C$14,2)</f>
        <v>North West</v>
      </c>
      <c r="L448" s="10">
        <v>844</v>
      </c>
      <c r="M448" s="8" t="s">
        <v>496</v>
      </c>
    </row>
    <row r="449" spans="1:13" ht="19.95" customHeight="1" x14ac:dyDescent="0.25">
      <c r="A449" s="41">
        <v>45444</v>
      </c>
      <c r="B449" s="47">
        <f>MONTH(Table13[[#This Row],[YearMonth]])</f>
        <v>6</v>
      </c>
      <c r="C449" s="9" t="s">
        <v>117</v>
      </c>
      <c r="D449" s="6" t="s">
        <v>338</v>
      </c>
      <c r="E449" s="6">
        <f>IF(Table13[[#This Row],[Quartile]]="TopQuartile", 1,
 IF(Table13[[#This Row],[Quartile]]="SecondQuartile", 2,
 IF(Table13[[#This Row],[Quartile]]="ThirdQuartile", 3,
 IF(Table13[[#This Row],[Quartile]]="FourthQuartile", 4, ""))))</f>
        <v>2</v>
      </c>
      <c r="F449" s="9" t="s">
        <v>504</v>
      </c>
      <c r="G449" s="9" t="str" cm="1">
        <f t="array" ref="G449">IFERROR(
  INDEX(Table13[Quartile],
    MATCH(1,
      (Table13[[#This Row],[OrgName]]=Table13[OrgName]) *
      (Table13[[#This Row],[Month Number]]-1=Table13[Month Number]),
    0)
  ),
"")</f>
        <v>SecondQuartile</v>
      </c>
      <c r="H449" s="9">
        <f>IF(Table13[[#This Row],[Previous Quartile]]="TopQuartile", 1,
 IF(Table13[[#This Row],[Previous Quartile]]="SecondQuartile", 2,
 IF(Table13[[#This Row],[Previous Quartile]]="ThirdQuartile", 3,
 IF(Table13[[#This Row],[Previous Quartile]]="FourthQuartile", 4, ""))))</f>
        <v>2</v>
      </c>
      <c r="I449" s="9" t="str">
        <f>IF(Table13[[#This Row],[Previous Quartile Value]]="", "",
   IF(Table13[[#This Row],[Quartile Value]] &lt; Table13[[#This Row],[Previous Quartile Value]], "Improved",
   IF(Table13[[#This Row],[Quartile Value]] &gt; Table13[[#This Row],[Previous Quartile Value]], "Dropped", "Same")))</f>
        <v>Same</v>
      </c>
      <c r="J449" s="10" t="s">
        <v>24</v>
      </c>
      <c r="K449" s="7" t="str">
        <f>VLOOKUP(J449,Introduction!$B$6:$C$14,2)</f>
        <v>North East and Yorkshire</v>
      </c>
      <c r="L449" s="10">
        <v>847</v>
      </c>
      <c r="M449" s="8" t="s">
        <v>496</v>
      </c>
    </row>
    <row r="450" spans="1:13" ht="19.95" customHeight="1" x14ac:dyDescent="0.25">
      <c r="A450" s="41">
        <v>45444</v>
      </c>
      <c r="B450" s="47">
        <f>MONTH(Table13[[#This Row],[YearMonth]])</f>
        <v>6</v>
      </c>
      <c r="C450" s="9" t="s">
        <v>66</v>
      </c>
      <c r="D450" s="6" t="s">
        <v>338</v>
      </c>
      <c r="E450" s="6">
        <f>IF(Table13[[#This Row],[Quartile]]="TopQuartile", 1,
 IF(Table13[[#This Row],[Quartile]]="SecondQuartile", 2,
 IF(Table13[[#This Row],[Quartile]]="ThirdQuartile", 3,
 IF(Table13[[#This Row],[Quartile]]="FourthQuartile", 4, ""))))</f>
        <v>2</v>
      </c>
      <c r="F450" s="9" t="s">
        <v>500</v>
      </c>
      <c r="G450" s="9" t="str" cm="1">
        <f t="array" ref="G450">IFERROR(
  INDEX(Table13[Quartile],
    MATCH(1,
      (Table13[[#This Row],[OrgName]]=Table13[OrgName]) *
      (Table13[[#This Row],[Month Number]]-1=Table13[Month Number]),
    0)
  ),
"")</f>
        <v>SecondQuartile</v>
      </c>
      <c r="H450" s="9">
        <f>IF(Table13[[#This Row],[Previous Quartile]]="TopQuartile", 1,
 IF(Table13[[#This Row],[Previous Quartile]]="SecondQuartile", 2,
 IF(Table13[[#This Row],[Previous Quartile]]="ThirdQuartile", 3,
 IF(Table13[[#This Row],[Previous Quartile]]="FourthQuartile", 4, ""))))</f>
        <v>2</v>
      </c>
      <c r="I450" s="9" t="str">
        <f>IF(Table13[[#This Row],[Previous Quartile Value]]="", "",
   IF(Table13[[#This Row],[Quartile Value]] &lt; Table13[[#This Row],[Previous Quartile Value]], "Improved",
   IF(Table13[[#This Row],[Quartile Value]] &gt; Table13[[#This Row],[Previous Quartile Value]], "Dropped", "Same")))</f>
        <v>Same</v>
      </c>
      <c r="J450" s="10" t="s">
        <v>18</v>
      </c>
      <c r="K450" s="7" t="str">
        <f>VLOOKUP(J450,Introduction!$B$6:$C$14,2)</f>
        <v>Midlands</v>
      </c>
      <c r="L450" s="10">
        <v>818</v>
      </c>
      <c r="M450" s="8" t="s">
        <v>496</v>
      </c>
    </row>
    <row r="451" spans="1:13" ht="19.95" customHeight="1" x14ac:dyDescent="0.25">
      <c r="A451" s="41">
        <v>45444</v>
      </c>
      <c r="B451" s="47">
        <f>MONTH(Table13[[#This Row],[YearMonth]])</f>
        <v>6</v>
      </c>
      <c r="C451" s="9" t="s">
        <v>133</v>
      </c>
      <c r="D451" s="6" t="s">
        <v>338</v>
      </c>
      <c r="E451" s="6">
        <f>IF(Table13[[#This Row],[Quartile]]="TopQuartile", 1,
 IF(Table13[[#This Row],[Quartile]]="SecondQuartile", 2,
 IF(Table13[[#This Row],[Quartile]]="ThirdQuartile", 3,
 IF(Table13[[#This Row],[Quartile]]="FourthQuartile", 4, ""))))</f>
        <v>2</v>
      </c>
      <c r="F451" s="9" t="s">
        <v>505</v>
      </c>
      <c r="G451" s="9" t="str" cm="1">
        <f t="array" ref="G451">IFERROR(
  INDEX(Table13[Quartile],
    MATCH(1,
      (Table13[[#This Row],[OrgName]]=Table13[OrgName]) *
      (Table13[[#This Row],[Month Number]]-1=Table13[Month Number]),
    0)
  ),
"")</f>
        <v>SecondQuartile</v>
      </c>
      <c r="H451" s="9">
        <f>IF(Table13[[#This Row],[Previous Quartile]]="TopQuartile", 1,
 IF(Table13[[#This Row],[Previous Quartile]]="SecondQuartile", 2,
 IF(Table13[[#This Row],[Previous Quartile]]="ThirdQuartile", 3,
 IF(Table13[[#This Row],[Previous Quartile]]="FourthQuartile", 4, ""))))</f>
        <v>2</v>
      </c>
      <c r="I451" s="9" t="str">
        <f>IF(Table13[[#This Row],[Previous Quartile Value]]="", "",
   IF(Table13[[#This Row],[Quartile Value]] &lt; Table13[[#This Row],[Previous Quartile Value]], "Improved",
   IF(Table13[[#This Row],[Quartile Value]] &gt; Table13[[#This Row],[Previous Quartile Value]], "Dropped", "Same")))</f>
        <v>Same</v>
      </c>
      <c r="J451" s="10" t="s">
        <v>20</v>
      </c>
      <c r="K451" s="7" t="str">
        <f>VLOOKUP(J451,Introduction!$B$6:$C$14,2)</f>
        <v>East of England</v>
      </c>
      <c r="L451" s="10">
        <v>849</v>
      </c>
      <c r="M451" s="8" t="s">
        <v>496</v>
      </c>
    </row>
    <row r="452" spans="1:13" ht="19.95" customHeight="1" x14ac:dyDescent="0.25">
      <c r="A452" s="41">
        <v>45444</v>
      </c>
      <c r="B452" s="47">
        <f>MONTH(Table13[[#This Row],[YearMonth]])</f>
        <v>6</v>
      </c>
      <c r="C452" s="9" t="s">
        <v>145</v>
      </c>
      <c r="D452" s="6" t="s">
        <v>338</v>
      </c>
      <c r="E452" s="6">
        <f>IF(Table13[[#This Row],[Quartile]]="TopQuartile", 1,
 IF(Table13[[#This Row],[Quartile]]="SecondQuartile", 2,
 IF(Table13[[#This Row],[Quartile]]="ThirdQuartile", 3,
 IF(Table13[[#This Row],[Quartile]]="FourthQuartile", 4, ""))))</f>
        <v>2</v>
      </c>
      <c r="F452" s="9" t="s">
        <v>507</v>
      </c>
      <c r="G452" s="9" t="str" cm="1">
        <f t="array" ref="G452">IFERROR(
  INDEX(Table13[Quartile],
    MATCH(1,
      (Table13[[#This Row],[OrgName]]=Table13[OrgName]) *
      (Table13[[#This Row],[Month Number]]-1=Table13[Month Number]),
    0)
  ),
"")</f>
        <v>SecondQuartile</v>
      </c>
      <c r="H452" s="9">
        <f>IF(Table13[[#This Row],[Previous Quartile]]="TopQuartile", 1,
 IF(Table13[[#This Row],[Previous Quartile]]="SecondQuartile", 2,
 IF(Table13[[#This Row],[Previous Quartile]]="ThirdQuartile", 3,
 IF(Table13[[#This Row],[Previous Quartile]]="FourthQuartile", 4, ""))))</f>
        <v>2</v>
      </c>
      <c r="I452" s="9" t="str">
        <f>IF(Table13[[#This Row],[Previous Quartile Value]]="", "",
   IF(Table13[[#This Row],[Quartile Value]] &lt; Table13[[#This Row],[Previous Quartile Value]], "Improved",
   IF(Table13[[#This Row],[Quartile Value]] &gt; Table13[[#This Row],[Previous Quartile Value]], "Dropped", "Same")))</f>
        <v>Same</v>
      </c>
      <c r="J452" s="10" t="s">
        <v>12</v>
      </c>
      <c r="K452" s="7" t="str">
        <f>VLOOKUP(J452,Introduction!$B$6:$C$14,2)</f>
        <v>London</v>
      </c>
      <c r="L452" s="10">
        <v>811</v>
      </c>
      <c r="M452" s="8" t="s">
        <v>496</v>
      </c>
    </row>
    <row r="453" spans="1:13" ht="19.95" customHeight="1" x14ac:dyDescent="0.25">
      <c r="A453" s="41">
        <v>45444</v>
      </c>
      <c r="B453" s="47">
        <f>MONTH(Table13[[#This Row],[YearMonth]])</f>
        <v>6</v>
      </c>
      <c r="C453" s="9" t="s">
        <v>134</v>
      </c>
      <c r="D453" s="6" t="s">
        <v>338</v>
      </c>
      <c r="E453" s="6">
        <f>IF(Table13[[#This Row],[Quartile]]="TopQuartile", 1,
 IF(Table13[[#This Row],[Quartile]]="SecondQuartile", 2,
 IF(Table13[[#This Row],[Quartile]]="ThirdQuartile", 3,
 IF(Table13[[#This Row],[Quartile]]="FourthQuartile", 4, ""))))</f>
        <v>2</v>
      </c>
      <c r="F453" s="9" t="s">
        <v>506</v>
      </c>
      <c r="G453" s="9" t="str" cm="1">
        <f t="array" ref="G453">IFERROR(
  INDEX(Table13[Quartile],
    MATCH(1,
      (Table13[[#This Row],[OrgName]]=Table13[OrgName]) *
      (Table13[[#This Row],[Month Number]]-1=Table13[Month Number]),
    0)
  ),
"")</f>
        <v>SecondQuartile</v>
      </c>
      <c r="H453" s="9">
        <f>IF(Table13[[#This Row],[Previous Quartile]]="TopQuartile", 1,
 IF(Table13[[#This Row],[Previous Quartile]]="SecondQuartile", 2,
 IF(Table13[[#This Row],[Previous Quartile]]="ThirdQuartile", 3,
 IF(Table13[[#This Row],[Previous Quartile]]="FourthQuartile", 4, ""))))</f>
        <v>2</v>
      </c>
      <c r="I453" s="9" t="str">
        <f>IF(Table13[[#This Row],[Previous Quartile Value]]="", "",
   IF(Table13[[#This Row],[Quartile Value]] &lt; Table13[[#This Row],[Previous Quartile Value]], "Improved",
   IF(Table13[[#This Row],[Quartile Value]] &gt; Table13[[#This Row],[Previous Quartile Value]], "Dropped", "Same")))</f>
        <v>Same</v>
      </c>
      <c r="J453" s="10" t="s">
        <v>24</v>
      </c>
      <c r="K453" s="7" t="str">
        <f>VLOOKUP(J453,Introduction!$B$6:$C$14,2)</f>
        <v>North East and Yorkshire</v>
      </c>
      <c r="L453" s="10">
        <v>814</v>
      </c>
      <c r="M453" s="8" t="s">
        <v>496</v>
      </c>
    </row>
    <row r="454" spans="1:13" ht="19.95" customHeight="1" x14ac:dyDescent="0.25">
      <c r="A454" s="41">
        <v>45444</v>
      </c>
      <c r="B454" s="47">
        <f>MONTH(Table13[[#This Row],[YearMonth]])</f>
        <v>6</v>
      </c>
      <c r="C454" s="9" t="s">
        <v>154</v>
      </c>
      <c r="D454" s="6" t="s">
        <v>338</v>
      </c>
      <c r="E454" s="6">
        <f>IF(Table13[[#This Row],[Quartile]]="TopQuartile", 1,
 IF(Table13[[#This Row],[Quartile]]="SecondQuartile", 2,
 IF(Table13[[#This Row],[Quartile]]="ThirdQuartile", 3,
 IF(Table13[[#This Row],[Quartile]]="FourthQuartile", 4, ""))))</f>
        <v>2</v>
      </c>
      <c r="F454" s="9" t="s">
        <v>508</v>
      </c>
      <c r="G454" s="9" t="str" cm="1">
        <f t="array" ref="G454">IFERROR(
  INDEX(Table13[Quartile],
    MATCH(1,
      (Table13[[#This Row],[OrgName]]=Table13[OrgName]) *
      (Table13[[#This Row],[Month Number]]-1=Table13[Month Number]),
    0)
  ),
"")</f>
        <v>SecondQuartile</v>
      </c>
      <c r="H454" s="9">
        <f>IF(Table13[[#This Row],[Previous Quartile]]="TopQuartile", 1,
 IF(Table13[[#This Row],[Previous Quartile]]="SecondQuartile", 2,
 IF(Table13[[#This Row],[Previous Quartile]]="ThirdQuartile", 3,
 IF(Table13[[#This Row],[Previous Quartile]]="FourthQuartile", 4, ""))))</f>
        <v>2</v>
      </c>
      <c r="I454" s="9" t="str">
        <f>IF(Table13[[#This Row],[Previous Quartile Value]]="", "",
   IF(Table13[[#This Row],[Quartile Value]] &lt; Table13[[#This Row],[Previous Quartile Value]], "Improved",
   IF(Table13[[#This Row],[Quartile Value]] &gt; Table13[[#This Row],[Previous Quartile Value]], "Dropped", "Same")))</f>
        <v>Same</v>
      </c>
      <c r="J454" s="10" t="s">
        <v>24</v>
      </c>
      <c r="K454" s="7" t="str">
        <f>VLOOKUP(J454,Introduction!$B$6:$C$14,2)</f>
        <v>North East and Yorkshire</v>
      </c>
      <c r="L454" s="10">
        <v>816</v>
      </c>
      <c r="M454" s="8" t="s">
        <v>496</v>
      </c>
    </row>
    <row r="455" spans="1:13" ht="19.95" customHeight="1" x14ac:dyDescent="0.25">
      <c r="A455" s="41">
        <v>45444</v>
      </c>
      <c r="B455" s="47">
        <f>MONTH(Table13[[#This Row],[YearMonth]])</f>
        <v>6</v>
      </c>
      <c r="C455" s="9" t="s">
        <v>156</v>
      </c>
      <c r="D455" s="6" t="s">
        <v>338</v>
      </c>
      <c r="E455" s="6">
        <f>IF(Table13[[#This Row],[Quartile]]="TopQuartile", 1,
 IF(Table13[[#This Row],[Quartile]]="SecondQuartile", 2,
 IF(Table13[[#This Row],[Quartile]]="ThirdQuartile", 3,
 IF(Table13[[#This Row],[Quartile]]="FourthQuartile", 4, ""))))</f>
        <v>2</v>
      </c>
      <c r="F455" s="9" t="s">
        <v>509</v>
      </c>
      <c r="G455" s="9" t="str" cm="1">
        <f t="array" ref="G455">IFERROR(
  INDEX(Table13[Quartile],
    MATCH(1,
      (Table13[[#This Row],[OrgName]]=Table13[OrgName]) *
      (Table13[[#This Row],[Month Number]]-1=Table13[Month Number]),
    0)
  ),
"")</f>
        <v>ThirdQuartile</v>
      </c>
      <c r="H455" s="9">
        <f>IF(Table13[[#This Row],[Previous Quartile]]="TopQuartile", 1,
 IF(Table13[[#This Row],[Previous Quartile]]="SecondQuartile", 2,
 IF(Table13[[#This Row],[Previous Quartile]]="ThirdQuartile", 3,
 IF(Table13[[#This Row],[Previous Quartile]]="FourthQuartile", 4, ""))))</f>
        <v>3</v>
      </c>
      <c r="I455" s="9" t="str">
        <f>IF(Table13[[#This Row],[Previous Quartile Value]]="", "",
   IF(Table13[[#This Row],[Quartile Value]] &lt; Table13[[#This Row],[Previous Quartile Value]], "Improved",
   IF(Table13[[#This Row],[Quartile Value]] &gt; Table13[[#This Row],[Previous Quartile Value]], "Dropped", "Same")))</f>
        <v>Improved</v>
      </c>
      <c r="J455" s="10" t="s">
        <v>20</v>
      </c>
      <c r="K455" s="7" t="str">
        <f>VLOOKUP(J455,Introduction!$B$6:$C$14,2)</f>
        <v>East of England</v>
      </c>
      <c r="L455" s="10">
        <v>812</v>
      </c>
      <c r="M455" s="8" t="s">
        <v>496</v>
      </c>
    </row>
    <row r="456" spans="1:13" ht="19.95" customHeight="1" x14ac:dyDescent="0.25">
      <c r="A456" s="41">
        <v>45444</v>
      </c>
      <c r="B456" s="47">
        <f>MONTH(Table13[[#This Row],[YearMonth]])</f>
        <v>6</v>
      </c>
      <c r="C456" s="9" t="s">
        <v>112</v>
      </c>
      <c r="D456" s="6" t="s">
        <v>338</v>
      </c>
      <c r="E456" s="6">
        <f>IF(Table13[[#This Row],[Quartile]]="TopQuartile", 1,
 IF(Table13[[#This Row],[Quartile]]="SecondQuartile", 2,
 IF(Table13[[#This Row],[Quartile]]="ThirdQuartile", 3,
 IF(Table13[[#This Row],[Quartile]]="FourthQuartile", 4, ""))))</f>
        <v>2</v>
      </c>
      <c r="F456" s="9" t="s">
        <v>113</v>
      </c>
      <c r="G456" s="9" t="str" cm="1">
        <f t="array" ref="G456">IFERROR(
  INDEX(Table13[Quartile],
    MATCH(1,
      (Table13[[#This Row],[OrgName]]=Table13[OrgName]) *
      (Table13[[#This Row],[Month Number]]-1=Table13[Month Number]),
    0)
  ),
"")</f>
        <v>SecondQuartile</v>
      </c>
      <c r="H456" s="9">
        <f>IF(Table13[[#This Row],[Previous Quartile]]="TopQuartile", 1,
 IF(Table13[[#This Row],[Previous Quartile]]="SecondQuartile", 2,
 IF(Table13[[#This Row],[Previous Quartile]]="ThirdQuartile", 3,
 IF(Table13[[#This Row],[Previous Quartile]]="FourthQuartile", 4, ""))))</f>
        <v>2</v>
      </c>
      <c r="I456" s="9" t="str">
        <f>IF(Table13[[#This Row],[Previous Quartile Value]]="", "",
   IF(Table13[[#This Row],[Quartile Value]] &lt; Table13[[#This Row],[Previous Quartile Value]], "Improved",
   IF(Table13[[#This Row],[Quartile Value]] &gt; Table13[[#This Row],[Previous Quartile Value]], "Dropped", "Same")))</f>
        <v>Same</v>
      </c>
      <c r="J456" s="10" t="s">
        <v>20</v>
      </c>
      <c r="K456" s="7" t="str">
        <f>VLOOKUP(J456,Introduction!$B$6:$C$14,2)</f>
        <v>East of England</v>
      </c>
      <c r="L456" s="10">
        <v>828</v>
      </c>
      <c r="M456" s="8" t="s">
        <v>496</v>
      </c>
    </row>
    <row r="457" spans="1:13" ht="19.95" customHeight="1" x14ac:dyDescent="0.25">
      <c r="A457" s="41">
        <v>45444</v>
      </c>
      <c r="B457" s="47">
        <f>MONTH(Table13[[#This Row],[YearMonth]])</f>
        <v>6</v>
      </c>
      <c r="C457" s="9" t="s">
        <v>230</v>
      </c>
      <c r="D457" s="6" t="s">
        <v>338</v>
      </c>
      <c r="E457" s="6">
        <f>IF(Table13[[#This Row],[Quartile]]="TopQuartile", 1,
 IF(Table13[[#This Row],[Quartile]]="SecondQuartile", 2,
 IF(Table13[[#This Row],[Quartile]]="ThirdQuartile", 3,
 IF(Table13[[#This Row],[Quartile]]="FourthQuartile", 4, ""))))</f>
        <v>2</v>
      </c>
      <c r="F457" s="9" t="s">
        <v>517</v>
      </c>
      <c r="G457" s="9" t="str" cm="1">
        <f t="array" ref="G457">IFERROR(
  INDEX(Table13[Quartile],
    MATCH(1,
      (Table13[[#This Row],[OrgName]]=Table13[OrgName]) *
      (Table13[[#This Row],[Month Number]]-1=Table13[Month Number]),
    0)
  ),
"")</f>
        <v>ThirdQuartile</v>
      </c>
      <c r="H457" s="9">
        <f>IF(Table13[[#This Row],[Previous Quartile]]="TopQuartile", 1,
 IF(Table13[[#This Row],[Previous Quartile]]="SecondQuartile", 2,
 IF(Table13[[#This Row],[Previous Quartile]]="ThirdQuartile", 3,
 IF(Table13[[#This Row],[Previous Quartile]]="FourthQuartile", 4, ""))))</f>
        <v>3</v>
      </c>
      <c r="I457" s="9" t="str">
        <f>IF(Table13[[#This Row],[Previous Quartile Value]]="", "",
   IF(Table13[[#This Row],[Quartile Value]] &lt; Table13[[#This Row],[Previous Quartile Value]], "Improved",
   IF(Table13[[#This Row],[Quartile Value]] &gt; Table13[[#This Row],[Previous Quartile Value]], "Dropped", "Same")))</f>
        <v>Improved</v>
      </c>
      <c r="J457" s="10" t="s">
        <v>18</v>
      </c>
      <c r="K457" s="7" t="str">
        <f>VLOOKUP(J457,Introduction!$B$6:$C$14,2)</f>
        <v>Midlands</v>
      </c>
      <c r="L457" s="10">
        <v>826</v>
      </c>
      <c r="M457" s="8" t="s">
        <v>496</v>
      </c>
    </row>
    <row r="458" spans="1:13" ht="19.95" customHeight="1" x14ac:dyDescent="0.25">
      <c r="A458" s="41">
        <v>45444</v>
      </c>
      <c r="B458" s="47">
        <f>MONTH(Table13[[#This Row],[YearMonth]])</f>
        <v>6</v>
      </c>
      <c r="C458" s="9" t="s">
        <v>158</v>
      </c>
      <c r="D458" s="6" t="s">
        <v>338</v>
      </c>
      <c r="E458" s="6">
        <f>IF(Table13[[#This Row],[Quartile]]="TopQuartile", 1,
 IF(Table13[[#This Row],[Quartile]]="SecondQuartile", 2,
 IF(Table13[[#This Row],[Quartile]]="ThirdQuartile", 3,
 IF(Table13[[#This Row],[Quartile]]="FourthQuartile", 4, ""))))</f>
        <v>2</v>
      </c>
      <c r="F458" s="9" t="s">
        <v>510</v>
      </c>
      <c r="G458" s="9" t="str" cm="1">
        <f t="array" ref="G458">IFERROR(
  INDEX(Table13[Quartile],
    MATCH(1,
      (Table13[[#This Row],[OrgName]]=Table13[OrgName]) *
      (Table13[[#This Row],[Month Number]]-1=Table13[Month Number]),
    0)
  ),
"")</f>
        <v>SecondQuartile</v>
      </c>
      <c r="H458" s="9">
        <f>IF(Table13[[#This Row],[Previous Quartile]]="TopQuartile", 1,
 IF(Table13[[#This Row],[Previous Quartile]]="SecondQuartile", 2,
 IF(Table13[[#This Row],[Previous Quartile]]="ThirdQuartile", 3,
 IF(Table13[[#This Row],[Previous Quartile]]="FourthQuartile", 4, ""))))</f>
        <v>2</v>
      </c>
      <c r="I458" s="9" t="str">
        <f>IF(Table13[[#This Row],[Previous Quartile Value]]="", "",
   IF(Table13[[#This Row],[Quartile Value]] &lt; Table13[[#This Row],[Previous Quartile Value]], "Improved",
   IF(Table13[[#This Row],[Quartile Value]] &gt; Table13[[#This Row],[Previous Quartile Value]], "Dropped", "Same")))</f>
        <v>Same</v>
      </c>
      <c r="J458" s="10" t="s">
        <v>12</v>
      </c>
      <c r="K458" s="7" t="str">
        <f>VLOOKUP(J458,Introduction!$B$6:$C$14,2)</f>
        <v>London</v>
      </c>
      <c r="L458" s="10">
        <v>779</v>
      </c>
      <c r="M458" s="8" t="s">
        <v>496</v>
      </c>
    </row>
    <row r="459" spans="1:13" ht="19.95" customHeight="1" x14ac:dyDescent="0.25">
      <c r="A459" s="41">
        <v>45444</v>
      </c>
      <c r="B459" s="47">
        <f>MONTH(Table13[[#This Row],[YearMonth]])</f>
        <v>6</v>
      </c>
      <c r="C459" s="9" t="s">
        <v>175</v>
      </c>
      <c r="D459" s="6" t="s">
        <v>341</v>
      </c>
      <c r="E459" s="6">
        <f>IF(Table13[[#This Row],[Quartile]]="TopQuartile", 1,
 IF(Table13[[#This Row],[Quartile]]="SecondQuartile", 2,
 IF(Table13[[#This Row],[Quartile]]="ThirdQuartile", 3,
 IF(Table13[[#This Row],[Quartile]]="FourthQuartile", 4, ""))))</f>
        <v>3</v>
      </c>
      <c r="F459" s="9" t="s">
        <v>512</v>
      </c>
      <c r="G459" s="9" t="str" cm="1">
        <f t="array" ref="G459">IFERROR(
  INDEX(Table13[Quartile],
    MATCH(1,
      (Table13[[#This Row],[OrgName]]=Table13[OrgName]) *
      (Table13[[#This Row],[Month Number]]-1=Table13[Month Number]),
    0)
  ),
"")</f>
        <v>SecondQuartile</v>
      </c>
      <c r="H459" s="9">
        <f>IF(Table13[[#This Row],[Previous Quartile]]="TopQuartile", 1,
 IF(Table13[[#This Row],[Previous Quartile]]="SecondQuartile", 2,
 IF(Table13[[#This Row],[Previous Quartile]]="ThirdQuartile", 3,
 IF(Table13[[#This Row],[Previous Quartile]]="FourthQuartile", 4, ""))))</f>
        <v>2</v>
      </c>
      <c r="I459" s="9" t="str">
        <f>IF(Table13[[#This Row],[Previous Quartile Value]]="", "",
   IF(Table13[[#This Row],[Quartile Value]] &lt; Table13[[#This Row],[Previous Quartile Value]], "Improved",
   IF(Table13[[#This Row],[Quartile Value]] &gt; Table13[[#This Row],[Previous Quartile Value]], "Dropped", "Same")))</f>
        <v>Dropped</v>
      </c>
      <c r="J459" s="10" t="s">
        <v>18</v>
      </c>
      <c r="K459" s="7" t="str">
        <f>VLOOKUP(J459,Introduction!$B$6:$C$14,2)</f>
        <v>Midlands</v>
      </c>
      <c r="L459" s="10">
        <v>798</v>
      </c>
      <c r="M459" s="8" t="s">
        <v>496</v>
      </c>
    </row>
    <row r="460" spans="1:13" ht="19.95" customHeight="1" x14ac:dyDescent="0.25">
      <c r="A460" s="41">
        <v>45444</v>
      </c>
      <c r="B460" s="47">
        <f>MONTH(Table13[[#This Row],[YearMonth]])</f>
        <v>6</v>
      </c>
      <c r="C460" s="9" t="s">
        <v>171</v>
      </c>
      <c r="D460" s="6" t="s">
        <v>341</v>
      </c>
      <c r="E460" s="6">
        <f>IF(Table13[[#This Row],[Quartile]]="TopQuartile", 1,
 IF(Table13[[#This Row],[Quartile]]="SecondQuartile", 2,
 IF(Table13[[#This Row],[Quartile]]="ThirdQuartile", 3,
 IF(Table13[[#This Row],[Quartile]]="FourthQuartile", 4, ""))))</f>
        <v>3</v>
      </c>
      <c r="F460" s="9" t="s">
        <v>511</v>
      </c>
      <c r="G460" s="9" t="str" cm="1">
        <f t="array" ref="G460">IFERROR(
  INDEX(Table13[Quartile],
    MATCH(1,
      (Table13[[#This Row],[OrgName]]=Table13[OrgName]) *
      (Table13[[#This Row],[Month Number]]-1=Table13[Month Number]),
    0)
  ),
"")</f>
        <v>ThirdQuartile</v>
      </c>
      <c r="H460" s="9">
        <f>IF(Table13[[#This Row],[Previous Quartile]]="TopQuartile", 1,
 IF(Table13[[#This Row],[Previous Quartile]]="SecondQuartile", 2,
 IF(Table13[[#This Row],[Previous Quartile]]="ThirdQuartile", 3,
 IF(Table13[[#This Row],[Previous Quartile]]="FourthQuartile", 4, ""))))</f>
        <v>3</v>
      </c>
      <c r="I460" s="9" t="str">
        <f>IF(Table13[[#This Row],[Previous Quartile Value]]="", "",
   IF(Table13[[#This Row],[Quartile Value]] &lt; Table13[[#This Row],[Previous Quartile Value]], "Improved",
   IF(Table13[[#This Row],[Quartile Value]] &gt; Table13[[#This Row],[Previous Quartile Value]], "Dropped", "Same")))</f>
        <v>Same</v>
      </c>
      <c r="J460" s="10" t="s">
        <v>20</v>
      </c>
      <c r="K460" s="7" t="str">
        <f>VLOOKUP(J460,Introduction!$B$6:$C$14,2)</f>
        <v>East of England</v>
      </c>
      <c r="L460" s="10">
        <v>839</v>
      </c>
      <c r="M460" s="8" t="s">
        <v>496</v>
      </c>
    </row>
    <row r="461" spans="1:13" ht="19.95" customHeight="1" x14ac:dyDescent="0.25">
      <c r="A461" s="41">
        <v>45444</v>
      </c>
      <c r="B461" s="47">
        <f>MONTH(Table13[[#This Row],[YearMonth]])</f>
        <v>6</v>
      </c>
      <c r="C461" s="9" t="s">
        <v>193</v>
      </c>
      <c r="D461" s="6" t="s">
        <v>341</v>
      </c>
      <c r="E461" s="6">
        <f>IF(Table13[[#This Row],[Quartile]]="TopQuartile", 1,
 IF(Table13[[#This Row],[Quartile]]="SecondQuartile", 2,
 IF(Table13[[#This Row],[Quartile]]="ThirdQuartile", 3,
 IF(Table13[[#This Row],[Quartile]]="FourthQuartile", 4, ""))))</f>
        <v>3</v>
      </c>
      <c r="F461" s="9" t="s">
        <v>513</v>
      </c>
      <c r="G461" s="9" t="str" cm="1">
        <f t="array" ref="G461">IFERROR(
  INDEX(Table13[Quartile],
    MATCH(1,
      (Table13[[#This Row],[OrgName]]=Table13[OrgName]) *
      (Table13[[#This Row],[Month Number]]-1=Table13[Month Number]),
    0)
  ),
"")</f>
        <v>ThirdQuartile</v>
      </c>
      <c r="H461" s="9">
        <f>IF(Table13[[#This Row],[Previous Quartile]]="TopQuartile", 1,
 IF(Table13[[#This Row],[Previous Quartile]]="SecondQuartile", 2,
 IF(Table13[[#This Row],[Previous Quartile]]="ThirdQuartile", 3,
 IF(Table13[[#This Row],[Previous Quartile]]="FourthQuartile", 4, ""))))</f>
        <v>3</v>
      </c>
      <c r="I461" s="9" t="str">
        <f>IF(Table13[[#This Row],[Previous Quartile Value]]="", "",
   IF(Table13[[#This Row],[Quartile Value]] &lt; Table13[[#This Row],[Previous Quartile Value]], "Improved",
   IF(Table13[[#This Row],[Quartile Value]] &gt; Table13[[#This Row],[Previous Quartile Value]], "Dropped", "Same")))</f>
        <v>Same</v>
      </c>
      <c r="J461" s="10" t="s">
        <v>20</v>
      </c>
      <c r="K461" s="7" t="str">
        <f>VLOOKUP(J461,Introduction!$B$6:$C$14,2)</f>
        <v>East of England</v>
      </c>
      <c r="L461" s="10">
        <v>448</v>
      </c>
      <c r="M461" s="8" t="s">
        <v>496</v>
      </c>
    </row>
    <row r="462" spans="1:13" ht="19.95" customHeight="1" x14ac:dyDescent="0.25">
      <c r="A462" s="41">
        <v>45444</v>
      </c>
      <c r="B462" s="47">
        <f>MONTH(Table13[[#This Row],[YearMonth]])</f>
        <v>6</v>
      </c>
      <c r="C462" s="9" t="s">
        <v>199</v>
      </c>
      <c r="D462" s="6" t="s">
        <v>341</v>
      </c>
      <c r="E462" s="6">
        <f>IF(Table13[[#This Row],[Quartile]]="TopQuartile", 1,
 IF(Table13[[#This Row],[Quartile]]="SecondQuartile", 2,
 IF(Table13[[#This Row],[Quartile]]="ThirdQuartile", 3,
 IF(Table13[[#This Row],[Quartile]]="FourthQuartile", 4, ""))))</f>
        <v>3</v>
      </c>
      <c r="F462" s="9" t="s">
        <v>515</v>
      </c>
      <c r="G462" s="9" t="str" cm="1">
        <f t="array" ref="G462">IFERROR(
  INDEX(Table13[Quartile],
    MATCH(1,
      (Table13[[#This Row],[OrgName]]=Table13[OrgName]) *
      (Table13[[#This Row],[Month Number]]-1=Table13[Month Number]),
    0)
  ),
"")</f>
        <v>ThirdQuartile</v>
      </c>
      <c r="H462" s="9">
        <f>IF(Table13[[#This Row],[Previous Quartile]]="TopQuartile", 1,
 IF(Table13[[#This Row],[Previous Quartile]]="SecondQuartile", 2,
 IF(Table13[[#This Row],[Previous Quartile]]="ThirdQuartile", 3,
 IF(Table13[[#This Row],[Previous Quartile]]="FourthQuartile", 4, ""))))</f>
        <v>3</v>
      </c>
      <c r="I462" s="9" t="str">
        <f>IF(Table13[[#This Row],[Previous Quartile Value]]="", "",
   IF(Table13[[#This Row],[Quartile Value]] &lt; Table13[[#This Row],[Previous Quartile Value]], "Improved",
   IF(Table13[[#This Row],[Quartile Value]] &gt; Table13[[#This Row],[Previous Quartile Value]], "Dropped", "Same")))</f>
        <v>Same</v>
      </c>
      <c r="J462" s="10" t="s">
        <v>24</v>
      </c>
      <c r="K462" s="7" t="str">
        <f>VLOOKUP(J462,Introduction!$B$6:$C$14,2)</f>
        <v>North East and Yorkshire</v>
      </c>
      <c r="L462" s="10">
        <v>810</v>
      </c>
      <c r="M462" s="8" t="s">
        <v>496</v>
      </c>
    </row>
    <row r="463" spans="1:13" ht="19.95" customHeight="1" x14ac:dyDescent="0.25">
      <c r="A463" s="41">
        <v>45444</v>
      </c>
      <c r="B463" s="47">
        <f>MONTH(Table13[[#This Row],[YearMonth]])</f>
        <v>6</v>
      </c>
      <c r="C463" s="9" t="s">
        <v>196</v>
      </c>
      <c r="D463" s="6" t="s">
        <v>341</v>
      </c>
      <c r="E463" s="6">
        <f>IF(Table13[[#This Row],[Quartile]]="TopQuartile", 1,
 IF(Table13[[#This Row],[Quartile]]="SecondQuartile", 2,
 IF(Table13[[#This Row],[Quartile]]="ThirdQuartile", 3,
 IF(Table13[[#This Row],[Quartile]]="FourthQuartile", 4, ""))))</f>
        <v>3</v>
      </c>
      <c r="F463" s="9" t="s">
        <v>514</v>
      </c>
      <c r="G463" s="9" t="str" cm="1">
        <f t="array" ref="G463">IFERROR(
  INDEX(Table13[Quartile],
    MATCH(1,
      (Table13[[#This Row],[OrgName]]=Table13[OrgName]) *
      (Table13[[#This Row],[Month Number]]-1=Table13[Month Number]),
    0)
  ),
"")</f>
        <v>ThirdQuartile</v>
      </c>
      <c r="H463" s="9">
        <f>IF(Table13[[#This Row],[Previous Quartile]]="TopQuartile", 1,
 IF(Table13[[#This Row],[Previous Quartile]]="SecondQuartile", 2,
 IF(Table13[[#This Row],[Previous Quartile]]="ThirdQuartile", 3,
 IF(Table13[[#This Row],[Previous Quartile]]="FourthQuartile", 4, ""))))</f>
        <v>3</v>
      </c>
      <c r="I463" s="9" t="str">
        <f>IF(Table13[[#This Row],[Previous Quartile Value]]="", "",
   IF(Table13[[#This Row],[Quartile Value]] &lt; Table13[[#This Row],[Previous Quartile Value]], "Improved",
   IF(Table13[[#This Row],[Quartile Value]] &gt; Table13[[#This Row],[Previous Quartile Value]], "Dropped", "Same")))</f>
        <v>Same</v>
      </c>
      <c r="J463" s="10" t="s">
        <v>18</v>
      </c>
      <c r="K463" s="7" t="str">
        <f>VLOOKUP(J463,Introduction!$B$6:$C$14,2)</f>
        <v>Midlands</v>
      </c>
      <c r="L463" s="10">
        <v>842</v>
      </c>
      <c r="M463" s="8" t="s">
        <v>496</v>
      </c>
    </row>
    <row r="464" spans="1:13" ht="19.95" customHeight="1" x14ac:dyDescent="0.25">
      <c r="A464" s="41">
        <v>45444</v>
      </c>
      <c r="B464" s="47">
        <f>MONTH(Table13[[#This Row],[YearMonth]])</f>
        <v>6</v>
      </c>
      <c r="C464" s="9" t="s">
        <v>219</v>
      </c>
      <c r="D464" s="6" t="s">
        <v>341</v>
      </c>
      <c r="E464" s="6">
        <f>IF(Table13[[#This Row],[Quartile]]="TopQuartile", 1,
 IF(Table13[[#This Row],[Quartile]]="SecondQuartile", 2,
 IF(Table13[[#This Row],[Quartile]]="ThirdQuartile", 3,
 IF(Table13[[#This Row],[Quartile]]="FourthQuartile", 4, ""))))</f>
        <v>3</v>
      </c>
      <c r="F464" s="9" t="s">
        <v>516</v>
      </c>
      <c r="G464" s="9" t="str" cm="1">
        <f t="array" ref="G464">IFERROR(
  INDEX(Table13[Quartile],
    MATCH(1,
      (Table13[[#This Row],[OrgName]]=Table13[OrgName]) *
      (Table13[[#This Row],[Month Number]]-1=Table13[Month Number]),
    0)
  ),
"")</f>
        <v>FourthQuartile</v>
      </c>
      <c r="H464" s="9">
        <f>IF(Table13[[#This Row],[Previous Quartile]]="TopQuartile", 1,
 IF(Table13[[#This Row],[Previous Quartile]]="SecondQuartile", 2,
 IF(Table13[[#This Row],[Previous Quartile]]="ThirdQuartile", 3,
 IF(Table13[[#This Row],[Previous Quartile]]="FourthQuartile", 4, ""))))</f>
        <v>4</v>
      </c>
      <c r="I464" s="9" t="str">
        <f>IF(Table13[[#This Row],[Previous Quartile Value]]="", "",
   IF(Table13[[#This Row],[Quartile Value]] &lt; Table13[[#This Row],[Previous Quartile Value]], "Improved",
   IF(Table13[[#This Row],[Quartile Value]] &gt; Table13[[#This Row],[Previous Quartile Value]], "Dropped", "Same")))</f>
        <v>Improved</v>
      </c>
      <c r="J464" s="10" t="s">
        <v>22</v>
      </c>
      <c r="K464" s="7" t="str">
        <f>VLOOKUP(J464,Introduction!$B$6:$C$14,2)</f>
        <v>North West</v>
      </c>
      <c r="L464" s="10">
        <v>835</v>
      </c>
      <c r="M464" s="8" t="s">
        <v>496</v>
      </c>
    </row>
    <row r="465" spans="1:13" ht="19.95" customHeight="1" x14ac:dyDescent="0.25">
      <c r="A465" s="41">
        <v>45444</v>
      </c>
      <c r="B465" s="47">
        <f>MONTH(Table13[[#This Row],[YearMonth]])</f>
        <v>6</v>
      </c>
      <c r="C465" s="9" t="s">
        <v>238</v>
      </c>
      <c r="D465" s="6" t="s">
        <v>341</v>
      </c>
      <c r="E465" s="6">
        <f>IF(Table13[[#This Row],[Quartile]]="TopQuartile", 1,
 IF(Table13[[#This Row],[Quartile]]="SecondQuartile", 2,
 IF(Table13[[#This Row],[Quartile]]="ThirdQuartile", 3,
 IF(Table13[[#This Row],[Quartile]]="FourthQuartile", 4, ""))))</f>
        <v>3</v>
      </c>
      <c r="F465" s="9" t="s">
        <v>519</v>
      </c>
      <c r="G465" s="9" t="str" cm="1">
        <f t="array" ref="G465">IFERROR(
  INDEX(Table13[Quartile],
    MATCH(1,
      (Table13[[#This Row],[OrgName]]=Table13[OrgName]) *
      (Table13[[#This Row],[Month Number]]-1=Table13[Month Number]),
    0)
  ),
"")</f>
        <v>FourthQuartile</v>
      </c>
      <c r="H465" s="9">
        <f>IF(Table13[[#This Row],[Previous Quartile]]="TopQuartile", 1,
 IF(Table13[[#This Row],[Previous Quartile]]="SecondQuartile", 2,
 IF(Table13[[#This Row],[Previous Quartile]]="ThirdQuartile", 3,
 IF(Table13[[#This Row],[Previous Quartile]]="FourthQuartile", 4, ""))))</f>
        <v>4</v>
      </c>
      <c r="I465" s="9" t="str">
        <f>IF(Table13[[#This Row],[Previous Quartile Value]]="", "",
   IF(Table13[[#This Row],[Quartile Value]] &lt; Table13[[#This Row],[Previous Quartile Value]], "Improved",
   IF(Table13[[#This Row],[Quartile Value]] &gt; Table13[[#This Row],[Previous Quartile Value]], "Dropped", "Same")))</f>
        <v>Improved</v>
      </c>
      <c r="J465" s="10" t="s">
        <v>24</v>
      </c>
      <c r="K465" s="7" t="str">
        <f>VLOOKUP(J465,Introduction!$B$6:$C$14,2)</f>
        <v>North East and Yorkshire</v>
      </c>
      <c r="L465" s="10">
        <v>845</v>
      </c>
      <c r="M465" s="8" t="s">
        <v>496</v>
      </c>
    </row>
    <row r="466" spans="1:13" ht="19.95" customHeight="1" x14ac:dyDescent="0.25">
      <c r="A466" s="41">
        <v>45444</v>
      </c>
      <c r="B466" s="47">
        <f>MONTH(Table13[[#This Row],[YearMonth]])</f>
        <v>6</v>
      </c>
      <c r="C466" s="9" t="s">
        <v>233</v>
      </c>
      <c r="D466" s="6" t="s">
        <v>341</v>
      </c>
      <c r="E466" s="6">
        <f>IF(Table13[[#This Row],[Quartile]]="TopQuartile", 1,
 IF(Table13[[#This Row],[Quartile]]="SecondQuartile", 2,
 IF(Table13[[#This Row],[Quartile]]="ThirdQuartile", 3,
 IF(Table13[[#This Row],[Quartile]]="FourthQuartile", 4, ""))))</f>
        <v>3</v>
      </c>
      <c r="F466" s="9" t="s">
        <v>518</v>
      </c>
      <c r="G466" s="9" t="str" cm="1">
        <f t="array" ref="G466">IFERROR(
  INDEX(Table13[Quartile],
    MATCH(1,
      (Table13[[#This Row],[OrgName]]=Table13[OrgName]) *
      (Table13[[#This Row],[Month Number]]-1=Table13[Month Number]),
    0)
  ),
"")</f>
        <v>FourthQuartile</v>
      </c>
      <c r="H466" s="9">
        <f>IF(Table13[[#This Row],[Previous Quartile]]="TopQuartile", 1,
 IF(Table13[[#This Row],[Previous Quartile]]="SecondQuartile", 2,
 IF(Table13[[#This Row],[Previous Quartile]]="ThirdQuartile", 3,
 IF(Table13[[#This Row],[Previous Quartile]]="FourthQuartile", 4, ""))))</f>
        <v>4</v>
      </c>
      <c r="I466" s="9" t="str">
        <f>IF(Table13[[#This Row],[Previous Quartile Value]]="", "",
   IF(Table13[[#This Row],[Quartile Value]] &lt; Table13[[#This Row],[Previous Quartile Value]], "Improved",
   IF(Table13[[#This Row],[Quartile Value]] &gt; Table13[[#This Row],[Previous Quartile Value]], "Dropped", "Same")))</f>
        <v>Improved</v>
      </c>
      <c r="J466" s="10" t="s">
        <v>18</v>
      </c>
      <c r="K466" s="7" t="str">
        <f>VLOOKUP(J466,Introduction!$B$6:$C$14,2)</f>
        <v>Midlands</v>
      </c>
      <c r="L466" s="10">
        <v>820</v>
      </c>
      <c r="M466" s="8" t="s">
        <v>496</v>
      </c>
    </row>
    <row r="467" spans="1:13" ht="19.95" customHeight="1" x14ac:dyDescent="0.25">
      <c r="A467" s="41">
        <v>45444</v>
      </c>
      <c r="B467" s="47">
        <f>MONTH(Table13[[#This Row],[YearMonth]])</f>
        <v>6</v>
      </c>
      <c r="C467" s="9" t="s">
        <v>248</v>
      </c>
      <c r="D467" s="6" t="s">
        <v>350</v>
      </c>
      <c r="E467" s="6">
        <f>IF(Table13[[#This Row],[Quartile]]="TopQuartile", 1,
 IF(Table13[[#This Row],[Quartile]]="SecondQuartile", 2,
 IF(Table13[[#This Row],[Quartile]]="ThirdQuartile", 3,
 IF(Table13[[#This Row],[Quartile]]="FourthQuartile", 4, ""))))</f>
        <v>4</v>
      </c>
      <c r="F467" s="9" t="s">
        <v>520</v>
      </c>
      <c r="G467" s="9" t="str" cm="1">
        <f t="array" ref="G467">IFERROR(
  INDEX(Table13[Quartile],
    MATCH(1,
      (Table13[[#This Row],[OrgName]]=Table13[OrgName]) *
      (Table13[[#This Row],[Month Number]]-1=Table13[Month Number]),
    0)
  ),
"")</f>
        <v>FourthQuartile</v>
      </c>
      <c r="H467" s="9">
        <f>IF(Table13[[#This Row],[Previous Quartile]]="TopQuartile", 1,
 IF(Table13[[#This Row],[Previous Quartile]]="SecondQuartile", 2,
 IF(Table13[[#This Row],[Previous Quartile]]="ThirdQuartile", 3,
 IF(Table13[[#This Row],[Previous Quartile]]="FourthQuartile", 4, ""))))</f>
        <v>4</v>
      </c>
      <c r="I467" s="9" t="str">
        <f>IF(Table13[[#This Row],[Previous Quartile Value]]="", "",
   IF(Table13[[#This Row],[Quartile Value]] &lt; Table13[[#This Row],[Previous Quartile Value]], "Improved",
   IF(Table13[[#This Row],[Quartile Value]] &gt; Table13[[#This Row],[Previous Quartile Value]], "Dropped", "Same")))</f>
        <v>Same</v>
      </c>
      <c r="J467" s="10" t="s">
        <v>12</v>
      </c>
      <c r="K467" s="7" t="str">
        <f>VLOOKUP(J467,Introduction!$B$6:$C$14,2)</f>
        <v>London</v>
      </c>
      <c r="L467" s="10">
        <v>848</v>
      </c>
      <c r="M467" s="8" t="s">
        <v>496</v>
      </c>
    </row>
    <row r="468" spans="1:13" ht="19.95" customHeight="1" x14ac:dyDescent="0.25">
      <c r="A468" s="41">
        <v>45444</v>
      </c>
      <c r="B468" s="47">
        <f>MONTH(Table13[[#This Row],[YearMonth]])</f>
        <v>6</v>
      </c>
      <c r="C468" s="9" t="s">
        <v>260</v>
      </c>
      <c r="D468" s="6" t="s">
        <v>350</v>
      </c>
      <c r="E468" s="6">
        <f>IF(Table13[[#This Row],[Quartile]]="TopQuartile", 1,
 IF(Table13[[#This Row],[Quartile]]="SecondQuartile", 2,
 IF(Table13[[#This Row],[Quartile]]="ThirdQuartile", 3,
 IF(Table13[[#This Row],[Quartile]]="FourthQuartile", 4, ""))))</f>
        <v>4</v>
      </c>
      <c r="F468" s="9" t="s">
        <v>522</v>
      </c>
      <c r="G468" s="9" t="str" cm="1">
        <f t="array" ref="G468">IFERROR(
  INDEX(Table13[Quartile],
    MATCH(1,
      (Table13[[#This Row],[OrgName]]=Table13[OrgName]) *
      (Table13[[#This Row],[Month Number]]-1=Table13[Month Number]),
    0)
  ),
"")</f>
        <v>FourthQuartile</v>
      </c>
      <c r="H468" s="9">
        <f>IF(Table13[[#This Row],[Previous Quartile]]="TopQuartile", 1,
 IF(Table13[[#This Row],[Previous Quartile]]="SecondQuartile", 2,
 IF(Table13[[#This Row],[Previous Quartile]]="ThirdQuartile", 3,
 IF(Table13[[#This Row],[Previous Quartile]]="FourthQuartile", 4, ""))))</f>
        <v>4</v>
      </c>
      <c r="I468" s="9" t="str">
        <f>IF(Table13[[#This Row],[Previous Quartile Value]]="", "",
   IF(Table13[[#This Row],[Quartile Value]] &lt; Table13[[#This Row],[Previous Quartile Value]], "Improved",
   IF(Table13[[#This Row],[Quartile Value]] &gt; Table13[[#This Row],[Previous Quartile Value]], "Dropped", "Same")))</f>
        <v>Same</v>
      </c>
      <c r="J468" s="10" t="s">
        <v>24</v>
      </c>
      <c r="K468" s="7" t="str">
        <f>VLOOKUP(J468,Introduction!$B$6:$C$14,2)</f>
        <v>North East and Yorkshire</v>
      </c>
      <c r="L468" s="10">
        <v>833</v>
      </c>
      <c r="M468" s="8" t="s">
        <v>496</v>
      </c>
    </row>
    <row r="469" spans="1:13" ht="19.95" customHeight="1" x14ac:dyDescent="0.25">
      <c r="A469" s="41">
        <v>45444</v>
      </c>
      <c r="B469" s="47">
        <f>MONTH(Table13[[#This Row],[YearMonth]])</f>
        <v>6</v>
      </c>
      <c r="C469" s="9" t="s">
        <v>259</v>
      </c>
      <c r="D469" s="6" t="s">
        <v>350</v>
      </c>
      <c r="E469" s="6">
        <f>IF(Table13[[#This Row],[Quartile]]="TopQuartile", 1,
 IF(Table13[[#This Row],[Quartile]]="SecondQuartile", 2,
 IF(Table13[[#This Row],[Quartile]]="ThirdQuartile", 3,
 IF(Table13[[#This Row],[Quartile]]="FourthQuartile", 4, ""))))</f>
        <v>4</v>
      </c>
      <c r="F469" s="9" t="s">
        <v>521</v>
      </c>
      <c r="G469" s="9" t="str" cm="1">
        <f t="array" ref="G469">IFERROR(
  INDEX(Table13[Quartile],
    MATCH(1,
      (Table13[[#This Row],[OrgName]]=Table13[OrgName]) *
      (Table13[[#This Row],[Month Number]]-1=Table13[Month Number]),
    0)
  ),
"")</f>
        <v>FourthQuartile</v>
      </c>
      <c r="H469" s="9">
        <f>IF(Table13[[#This Row],[Previous Quartile]]="TopQuartile", 1,
 IF(Table13[[#This Row],[Previous Quartile]]="SecondQuartile", 2,
 IF(Table13[[#This Row],[Previous Quartile]]="ThirdQuartile", 3,
 IF(Table13[[#This Row],[Previous Quartile]]="FourthQuartile", 4, ""))))</f>
        <v>4</v>
      </c>
      <c r="I469" s="9" t="str">
        <f>IF(Table13[[#This Row],[Previous Quartile Value]]="", "",
   IF(Table13[[#This Row],[Quartile Value]] &lt; Table13[[#This Row],[Previous Quartile Value]], "Improved",
   IF(Table13[[#This Row],[Quartile Value]] &gt; Table13[[#This Row],[Previous Quartile Value]], "Dropped", "Same")))</f>
        <v>Same</v>
      </c>
      <c r="J469" s="10" t="s">
        <v>12</v>
      </c>
      <c r="K469" s="7" t="str">
        <f>VLOOKUP(J469,Introduction!$B$6:$C$14,2)</f>
        <v>London</v>
      </c>
      <c r="L469" s="10">
        <v>824</v>
      </c>
      <c r="M469" s="8" t="s">
        <v>496</v>
      </c>
    </row>
    <row r="470" spans="1:13" ht="19.95" customHeight="1" x14ac:dyDescent="0.25">
      <c r="A470" s="41">
        <v>45444</v>
      </c>
      <c r="B470" s="47">
        <f>MONTH(Table13[[#This Row],[YearMonth]])</f>
        <v>6</v>
      </c>
      <c r="C470" s="9" t="s">
        <v>261</v>
      </c>
      <c r="D470" s="6" t="s">
        <v>350</v>
      </c>
      <c r="E470" s="6">
        <f>IF(Table13[[#This Row],[Quartile]]="TopQuartile", 1,
 IF(Table13[[#This Row],[Quartile]]="SecondQuartile", 2,
 IF(Table13[[#This Row],[Quartile]]="ThirdQuartile", 3,
 IF(Table13[[#This Row],[Quartile]]="FourthQuartile", 4, ""))))</f>
        <v>4</v>
      </c>
      <c r="F470" s="9" t="s">
        <v>523</v>
      </c>
      <c r="G470" s="9" t="str" cm="1">
        <f t="array" ref="G470">IFERROR(
  INDEX(Table13[Quartile],
    MATCH(1,
      (Table13[[#This Row],[OrgName]]=Table13[OrgName]) *
      (Table13[[#This Row],[Month Number]]-1=Table13[Month Number]),
    0)
  ),
"")</f>
        <v>FourthQuartile</v>
      </c>
      <c r="H470" s="9">
        <f>IF(Table13[[#This Row],[Previous Quartile]]="TopQuartile", 1,
 IF(Table13[[#This Row],[Previous Quartile]]="SecondQuartile", 2,
 IF(Table13[[#This Row],[Previous Quartile]]="ThirdQuartile", 3,
 IF(Table13[[#This Row],[Previous Quartile]]="FourthQuartile", 4, ""))))</f>
        <v>4</v>
      </c>
      <c r="I470" s="9" t="str">
        <f>IF(Table13[[#This Row],[Previous Quartile Value]]="", "",
   IF(Table13[[#This Row],[Quartile Value]] &lt; Table13[[#This Row],[Previous Quartile Value]], "Improved",
   IF(Table13[[#This Row],[Quartile Value]] &gt; Table13[[#This Row],[Previous Quartile Value]], "Dropped", "Same")))</f>
        <v>Same</v>
      </c>
      <c r="J470" s="10" t="s">
        <v>14</v>
      </c>
      <c r="K470" s="7" t="str">
        <f>VLOOKUP(J470,Introduction!$B$6:$C$14,2)</f>
        <v>South West</v>
      </c>
      <c r="L470" s="10">
        <v>83</v>
      </c>
      <c r="M470" s="8" t="s">
        <v>496</v>
      </c>
    </row>
    <row r="471" spans="1:13" ht="19.95" customHeight="1" x14ac:dyDescent="0.25">
      <c r="A471" s="41">
        <v>45444</v>
      </c>
      <c r="B471" s="47">
        <f>MONTH(Table13[[#This Row],[YearMonth]])</f>
        <v>6</v>
      </c>
      <c r="C471" s="9" t="s">
        <v>288</v>
      </c>
      <c r="D471" s="6" t="s">
        <v>350</v>
      </c>
      <c r="E471" s="6">
        <f>IF(Table13[[#This Row],[Quartile]]="TopQuartile", 1,
 IF(Table13[[#This Row],[Quartile]]="SecondQuartile", 2,
 IF(Table13[[#This Row],[Quartile]]="ThirdQuartile", 3,
 IF(Table13[[#This Row],[Quartile]]="FourthQuartile", 4, ""))))</f>
        <v>4</v>
      </c>
      <c r="F471" s="9" t="s">
        <v>525</v>
      </c>
      <c r="G471" s="9" t="str" cm="1">
        <f t="array" ref="G471">IFERROR(
  INDEX(Table13[Quartile],
    MATCH(1,
      (Table13[[#This Row],[OrgName]]=Table13[OrgName]) *
      (Table13[[#This Row],[Month Number]]-1=Table13[Month Number]),
    0)
  ),
"")</f>
        <v>FourthQuartile</v>
      </c>
      <c r="H471" s="9">
        <f>IF(Table13[[#This Row],[Previous Quartile]]="TopQuartile", 1,
 IF(Table13[[#This Row],[Previous Quartile]]="SecondQuartile", 2,
 IF(Table13[[#This Row],[Previous Quartile]]="ThirdQuartile", 3,
 IF(Table13[[#This Row],[Previous Quartile]]="FourthQuartile", 4, ""))))</f>
        <v>4</v>
      </c>
      <c r="I471" s="9" t="str">
        <f>IF(Table13[[#This Row],[Previous Quartile Value]]="", "",
   IF(Table13[[#This Row],[Quartile Value]] &lt; Table13[[#This Row],[Previous Quartile Value]], "Improved",
   IF(Table13[[#This Row],[Quartile Value]] &gt; Table13[[#This Row],[Previous Quartile Value]], "Dropped", "Same")))</f>
        <v>Same</v>
      </c>
      <c r="J471" s="10" t="s">
        <v>14</v>
      </c>
      <c r="K471" s="7" t="str">
        <f>VLOOKUP(J471,Introduction!$B$6:$C$14,2)</f>
        <v>South West</v>
      </c>
      <c r="L471" s="10">
        <v>832</v>
      </c>
      <c r="M471" s="8" t="s">
        <v>496</v>
      </c>
    </row>
    <row r="472" spans="1:13" ht="19.95" customHeight="1" x14ac:dyDescent="0.25">
      <c r="A472" s="41">
        <v>45444</v>
      </c>
      <c r="B472" s="47">
        <f>MONTH(Table13[[#This Row],[YearMonth]])</f>
        <v>6</v>
      </c>
      <c r="C472" s="9" t="s">
        <v>291</v>
      </c>
      <c r="D472" s="6" t="s">
        <v>350</v>
      </c>
      <c r="E472" s="6">
        <f>IF(Table13[[#This Row],[Quartile]]="TopQuartile", 1,
 IF(Table13[[#This Row],[Quartile]]="SecondQuartile", 2,
 IF(Table13[[#This Row],[Quartile]]="ThirdQuartile", 3,
 IF(Table13[[#This Row],[Quartile]]="FourthQuartile", 4, ""))))</f>
        <v>4</v>
      </c>
      <c r="F472" s="9" t="s">
        <v>526</v>
      </c>
      <c r="G472" s="9" t="str" cm="1">
        <f t="array" ref="G472">IFERROR(
  INDEX(Table13[Quartile],
    MATCH(1,
      (Table13[[#This Row],[OrgName]]=Table13[OrgName]) *
      (Table13[[#This Row],[Month Number]]-1=Table13[Month Number]),
    0)
  ),
"")</f>
        <v>FourthQuartile</v>
      </c>
      <c r="H472" s="9">
        <f>IF(Table13[[#This Row],[Previous Quartile]]="TopQuartile", 1,
 IF(Table13[[#This Row],[Previous Quartile]]="SecondQuartile", 2,
 IF(Table13[[#This Row],[Previous Quartile]]="ThirdQuartile", 3,
 IF(Table13[[#This Row],[Previous Quartile]]="FourthQuartile", 4, ""))))</f>
        <v>4</v>
      </c>
      <c r="I472" s="9" t="str">
        <f>IF(Table13[[#This Row],[Previous Quartile Value]]="", "",
   IF(Table13[[#This Row],[Quartile Value]] &lt; Table13[[#This Row],[Previous Quartile Value]], "Improved",
   IF(Table13[[#This Row],[Quartile Value]] &gt; Table13[[#This Row],[Previous Quartile Value]], "Dropped", "Same")))</f>
        <v>Same</v>
      </c>
      <c r="J472" s="10" t="s">
        <v>18</v>
      </c>
      <c r="K472" s="7" t="str">
        <f>VLOOKUP(J472,Introduction!$B$6:$C$14,2)</f>
        <v>Midlands</v>
      </c>
      <c r="L472" s="10">
        <v>445</v>
      </c>
      <c r="M472" s="8" t="s">
        <v>496</v>
      </c>
    </row>
    <row r="473" spans="1:13" ht="19.95" customHeight="1" x14ac:dyDescent="0.25">
      <c r="A473" s="41">
        <v>45444</v>
      </c>
      <c r="B473" s="47">
        <f>MONTH(Table13[[#This Row],[YearMonth]])</f>
        <v>6</v>
      </c>
      <c r="C473" s="9" t="s">
        <v>276</v>
      </c>
      <c r="D473" s="6" t="s">
        <v>350</v>
      </c>
      <c r="E473" s="6">
        <f>IF(Table13[[#This Row],[Quartile]]="TopQuartile", 1,
 IF(Table13[[#This Row],[Quartile]]="SecondQuartile", 2,
 IF(Table13[[#This Row],[Quartile]]="ThirdQuartile", 3,
 IF(Table13[[#This Row],[Quartile]]="FourthQuartile", 4, ""))))</f>
        <v>4</v>
      </c>
      <c r="F473" s="9" t="s">
        <v>524</v>
      </c>
      <c r="G473" s="9" t="str" cm="1">
        <f t="array" ref="G473">IFERROR(
  INDEX(Table13[Quartile],
    MATCH(1,
      (Table13[[#This Row],[OrgName]]=Table13[OrgName]) *
      (Table13[[#This Row],[Month Number]]-1=Table13[Month Number]),
    0)
  ),
"")</f>
        <v>FourthQuartile</v>
      </c>
      <c r="H473" s="9">
        <f>IF(Table13[[#This Row],[Previous Quartile]]="TopQuartile", 1,
 IF(Table13[[#This Row],[Previous Quartile]]="SecondQuartile", 2,
 IF(Table13[[#This Row],[Previous Quartile]]="ThirdQuartile", 3,
 IF(Table13[[#This Row],[Previous Quartile]]="FourthQuartile", 4, ""))))</f>
        <v>4</v>
      </c>
      <c r="I473" s="9" t="str">
        <f>IF(Table13[[#This Row],[Previous Quartile Value]]="", "",
   IF(Table13[[#This Row],[Quartile Value]] &lt; Table13[[#This Row],[Previous Quartile Value]], "Improved",
   IF(Table13[[#This Row],[Quartile Value]] &gt; Table13[[#This Row],[Previous Quartile Value]], "Dropped", "Same")))</f>
        <v>Same</v>
      </c>
      <c r="J473" s="10" t="s">
        <v>16</v>
      </c>
      <c r="K473" s="7" t="str">
        <f>VLOOKUP(J473,Introduction!$B$6:$C$14,2)</f>
        <v>South East</v>
      </c>
      <c r="L473" s="10">
        <v>74</v>
      </c>
      <c r="M473" s="8" t="s">
        <v>496</v>
      </c>
    </row>
    <row r="474" spans="1:13" ht="19.95" customHeight="1" x14ac:dyDescent="0.25">
      <c r="A474" s="41">
        <v>45444</v>
      </c>
      <c r="B474" s="47">
        <f>MONTH(Table13[[#This Row],[YearMonth]])</f>
        <v>6</v>
      </c>
      <c r="C474" s="9" t="s">
        <v>297</v>
      </c>
      <c r="D474" s="6" t="s">
        <v>350</v>
      </c>
      <c r="E474" s="6">
        <f>IF(Table13[[#This Row],[Quartile]]="TopQuartile", 1,
 IF(Table13[[#This Row],[Quartile]]="SecondQuartile", 2,
 IF(Table13[[#This Row],[Quartile]]="ThirdQuartile", 3,
 IF(Table13[[#This Row],[Quartile]]="FourthQuartile", 4, ""))))</f>
        <v>4</v>
      </c>
      <c r="F474" s="9" t="s">
        <v>527</v>
      </c>
      <c r="G474" s="9" t="str" cm="1">
        <f t="array" ref="G474">IFERROR(
  INDEX(Table13[Quartile],
    MATCH(1,
      (Table13[[#This Row],[OrgName]]=Table13[OrgName]) *
      (Table13[[#This Row],[Month Number]]-1=Table13[Month Number]),
    0)
  ),
"")</f>
        <v>FourthQuartile</v>
      </c>
      <c r="H474" s="9">
        <f>IF(Table13[[#This Row],[Previous Quartile]]="TopQuartile", 1,
 IF(Table13[[#This Row],[Previous Quartile]]="SecondQuartile", 2,
 IF(Table13[[#This Row],[Previous Quartile]]="ThirdQuartile", 3,
 IF(Table13[[#This Row],[Previous Quartile]]="FourthQuartile", 4, ""))))</f>
        <v>4</v>
      </c>
      <c r="I474" s="9" t="str">
        <f>IF(Table13[[#This Row],[Previous Quartile Value]]="", "",
   IF(Table13[[#This Row],[Quartile Value]] &lt; Table13[[#This Row],[Previous Quartile Value]], "Improved",
   IF(Table13[[#This Row],[Quartile Value]] &gt; Table13[[#This Row],[Previous Quartile Value]], "Dropped", "Same")))</f>
        <v>Same</v>
      </c>
      <c r="J474" s="10" t="s">
        <v>16</v>
      </c>
      <c r="K474" s="7" t="str">
        <f>VLOOKUP(J474,Introduction!$B$6:$C$14,2)</f>
        <v>South East</v>
      </c>
      <c r="L474" s="10">
        <v>78</v>
      </c>
      <c r="M474" s="8" t="s">
        <v>496</v>
      </c>
    </row>
    <row r="475" spans="1:13" ht="19.95" customHeight="1" x14ac:dyDescent="0.25">
      <c r="A475" s="41">
        <v>45444</v>
      </c>
      <c r="B475" s="47">
        <f>MONTH(Table13[[#This Row],[YearMonth]])</f>
        <v>6</v>
      </c>
      <c r="C475" s="9" t="s">
        <v>314</v>
      </c>
      <c r="D475" s="6" t="s">
        <v>350</v>
      </c>
      <c r="E475" s="6">
        <f>IF(Table13[[#This Row],[Quartile]]="TopQuartile", 1,
 IF(Table13[[#This Row],[Quartile]]="SecondQuartile", 2,
 IF(Table13[[#This Row],[Quartile]]="ThirdQuartile", 3,
 IF(Table13[[#This Row],[Quartile]]="FourthQuartile", 4, ""))))</f>
        <v>4</v>
      </c>
      <c r="F475" s="9" t="s">
        <v>528</v>
      </c>
      <c r="G475" s="9" t="str" cm="1">
        <f t="array" ref="G475">IFERROR(
  INDEX(Table13[Quartile],
    MATCH(1,
      (Table13[[#This Row],[OrgName]]=Table13[OrgName]) *
      (Table13[[#This Row],[Month Number]]-1=Table13[Month Number]),
    0)
  ),
"")</f>
        <v>FourthQuartile</v>
      </c>
      <c r="H475" s="9">
        <f>IF(Table13[[#This Row],[Previous Quartile]]="TopQuartile", 1,
 IF(Table13[[#This Row],[Previous Quartile]]="SecondQuartile", 2,
 IF(Table13[[#This Row],[Previous Quartile]]="ThirdQuartile", 3,
 IF(Table13[[#This Row],[Previous Quartile]]="FourthQuartile", 4, ""))))</f>
        <v>4</v>
      </c>
      <c r="I475" s="9" t="str">
        <f>IF(Table13[[#This Row],[Previous Quartile Value]]="", "",
   IF(Table13[[#This Row],[Quartile Value]] &lt; Table13[[#This Row],[Previous Quartile Value]], "Improved",
   IF(Table13[[#This Row],[Quartile Value]] &gt; Table13[[#This Row],[Previous Quartile Value]], "Dropped", "Same")))</f>
        <v>Same</v>
      </c>
      <c r="J475" s="10" t="s">
        <v>20</v>
      </c>
      <c r="K475" s="7" t="str">
        <f>VLOOKUP(J475,Introduction!$B$6:$C$14,2)</f>
        <v>East of England</v>
      </c>
      <c r="L475" s="10">
        <v>829</v>
      </c>
      <c r="M475" s="8" t="s">
        <v>496</v>
      </c>
    </row>
    <row r="476" spans="1:13" ht="19.95" customHeight="1" x14ac:dyDescent="0.25">
      <c r="A476" s="41">
        <v>45444</v>
      </c>
      <c r="B476" s="47">
        <f>MONTH(Table13[[#This Row],[YearMonth]])</f>
        <v>6</v>
      </c>
      <c r="C476" s="9" t="s">
        <v>42</v>
      </c>
      <c r="D476" s="6" t="s">
        <v>330</v>
      </c>
      <c r="E476" s="6">
        <f>IF(Table13[[#This Row],[Quartile]]="TopQuartile", 1,
 IF(Table13[[#This Row],[Quartile]]="SecondQuartile", 2,
 IF(Table13[[#This Row],[Quartile]]="ThirdQuartile", 3,
 IF(Table13[[#This Row],[Quartile]]="FourthQuartile", 4, ""))))</f>
        <v>1</v>
      </c>
      <c r="F476" s="9" t="s">
        <v>533</v>
      </c>
      <c r="G476" s="9" t="str" cm="1">
        <f t="array" ref="G476">IFERROR(
  INDEX(Table13[Quartile],
    MATCH(1,
      (Table13[[#This Row],[OrgName]]=Table13[OrgName]) *
      (Table13[[#This Row],[Month Number]]-1=Table13[Month Number]),
    0)
  ),
"")</f>
        <v>TopQuartile</v>
      </c>
      <c r="H476" s="9">
        <f>IF(Table13[[#This Row],[Previous Quartile]]="TopQuartile", 1,
 IF(Table13[[#This Row],[Previous Quartile]]="SecondQuartile", 2,
 IF(Table13[[#This Row],[Previous Quartile]]="ThirdQuartile", 3,
 IF(Table13[[#This Row],[Previous Quartile]]="FourthQuartile", 4, ""))))</f>
        <v>1</v>
      </c>
      <c r="I476" s="9" t="str">
        <f>IF(Table13[[#This Row],[Previous Quartile Value]]="", "",
   IF(Table13[[#This Row],[Quartile Value]] &lt; Table13[[#This Row],[Previous Quartile Value]], "Improved",
   IF(Table13[[#This Row],[Quartile Value]] &gt; Table13[[#This Row],[Previous Quartile Value]], "Dropped", "Same")))</f>
        <v>Same</v>
      </c>
      <c r="J476" s="10" t="s">
        <v>18</v>
      </c>
      <c r="K476" s="7" t="str">
        <f>VLOOKUP(J476,Introduction!$B$6:$C$14,2)</f>
        <v>Midlands</v>
      </c>
      <c r="L476" s="10">
        <v>106</v>
      </c>
      <c r="M476" s="8" t="s">
        <v>530</v>
      </c>
    </row>
    <row r="477" spans="1:13" ht="19.95" customHeight="1" x14ac:dyDescent="0.25">
      <c r="A477" s="41">
        <v>45444</v>
      </c>
      <c r="B477" s="47">
        <f>MONTH(Table13[[#This Row],[YearMonth]])</f>
        <v>6</v>
      </c>
      <c r="C477" s="9" t="s">
        <v>29</v>
      </c>
      <c r="D477" s="6" t="s">
        <v>330</v>
      </c>
      <c r="E477" s="6">
        <f>IF(Table13[[#This Row],[Quartile]]="TopQuartile", 1,
 IF(Table13[[#This Row],[Quartile]]="SecondQuartile", 2,
 IF(Table13[[#This Row],[Quartile]]="ThirdQuartile", 3,
 IF(Table13[[#This Row],[Quartile]]="FourthQuartile", 4, ""))))</f>
        <v>1</v>
      </c>
      <c r="F477" s="9" t="s">
        <v>531</v>
      </c>
      <c r="G477" s="9" t="str" cm="1">
        <f t="array" ref="G477">IFERROR(
  INDEX(Table13[Quartile],
    MATCH(1,
      (Table13[[#This Row],[OrgName]]=Table13[OrgName]) *
      (Table13[[#This Row],[Month Number]]-1=Table13[Month Number]),
    0)
  ),
"")</f>
        <v>TopQuartile</v>
      </c>
      <c r="H477" s="9">
        <f>IF(Table13[[#This Row],[Previous Quartile]]="TopQuartile", 1,
 IF(Table13[[#This Row],[Previous Quartile]]="SecondQuartile", 2,
 IF(Table13[[#This Row],[Previous Quartile]]="ThirdQuartile", 3,
 IF(Table13[[#This Row],[Previous Quartile]]="FourthQuartile", 4, ""))))</f>
        <v>1</v>
      </c>
      <c r="I477" s="9" t="str">
        <f>IF(Table13[[#This Row],[Previous Quartile Value]]="", "",
   IF(Table13[[#This Row],[Quartile Value]] &lt; Table13[[#This Row],[Previous Quartile Value]], "Improved",
   IF(Table13[[#This Row],[Quartile Value]] &gt; Table13[[#This Row],[Previous Quartile Value]], "Dropped", "Same")))</f>
        <v>Same</v>
      </c>
      <c r="J477" s="10" t="s">
        <v>14</v>
      </c>
      <c r="K477" s="7" t="str">
        <f>VLOOKUP(J477,Introduction!$B$6:$C$14,2)</f>
        <v>South West</v>
      </c>
      <c r="L477" s="10">
        <v>843</v>
      </c>
      <c r="M477" s="8" t="s">
        <v>530</v>
      </c>
    </row>
    <row r="478" spans="1:13" ht="19.95" customHeight="1" x14ac:dyDescent="0.25">
      <c r="A478" s="41">
        <v>45444</v>
      </c>
      <c r="B478" s="47">
        <f>MONTH(Table13[[#This Row],[YearMonth]])</f>
        <v>6</v>
      </c>
      <c r="C478" s="9" t="s">
        <v>48</v>
      </c>
      <c r="D478" s="6" t="s">
        <v>330</v>
      </c>
      <c r="E478" s="6">
        <f>IF(Table13[[#This Row],[Quartile]]="TopQuartile", 1,
 IF(Table13[[#This Row],[Quartile]]="SecondQuartile", 2,
 IF(Table13[[#This Row],[Quartile]]="ThirdQuartile", 3,
 IF(Table13[[#This Row],[Quartile]]="FourthQuartile", 4, ""))))</f>
        <v>1</v>
      </c>
      <c r="F478" s="9" t="s">
        <v>534</v>
      </c>
      <c r="G478" s="9" t="str" cm="1">
        <f t="array" ref="G478">IFERROR(
  INDEX(Table13[Quartile],
    MATCH(1,
      (Table13[[#This Row],[OrgName]]=Table13[OrgName]) *
      (Table13[[#This Row],[Month Number]]-1=Table13[Month Number]),
    0)
  ),
"")</f>
        <v>TopQuartile</v>
      </c>
      <c r="H478" s="9">
        <f>IF(Table13[[#This Row],[Previous Quartile]]="TopQuartile", 1,
 IF(Table13[[#This Row],[Previous Quartile]]="SecondQuartile", 2,
 IF(Table13[[#This Row],[Previous Quartile]]="ThirdQuartile", 3,
 IF(Table13[[#This Row],[Previous Quartile]]="FourthQuartile", 4, ""))))</f>
        <v>1</v>
      </c>
      <c r="I478" s="9" t="str">
        <f>IF(Table13[[#This Row],[Previous Quartile Value]]="", "",
   IF(Table13[[#This Row],[Quartile Value]] &lt; Table13[[#This Row],[Previous Quartile Value]], "Improved",
   IF(Table13[[#This Row],[Quartile Value]] &gt; Table13[[#This Row],[Previous Quartile Value]], "Dropped", "Same")))</f>
        <v>Same</v>
      </c>
      <c r="J478" s="10" t="s">
        <v>22</v>
      </c>
      <c r="K478" s="7" t="str">
        <f>VLOOKUP(J478,Introduction!$B$6:$C$14,2)</f>
        <v>North West</v>
      </c>
      <c r="L478" s="10">
        <v>493</v>
      </c>
      <c r="M478" s="8" t="s">
        <v>530</v>
      </c>
    </row>
    <row r="479" spans="1:13" ht="19.95" customHeight="1" x14ac:dyDescent="0.25">
      <c r="A479" s="41">
        <v>45444</v>
      </c>
      <c r="B479" s="47">
        <f>MONTH(Table13[[#This Row],[YearMonth]])</f>
        <v>6</v>
      </c>
      <c r="C479" s="9" t="s">
        <v>51</v>
      </c>
      <c r="D479" s="6" t="s">
        <v>330</v>
      </c>
      <c r="E479" s="6">
        <f>IF(Table13[[#This Row],[Quartile]]="TopQuartile", 1,
 IF(Table13[[#This Row],[Quartile]]="SecondQuartile", 2,
 IF(Table13[[#This Row],[Quartile]]="ThirdQuartile", 3,
 IF(Table13[[#This Row],[Quartile]]="FourthQuartile", 4, ""))))</f>
        <v>1</v>
      </c>
      <c r="F479" s="9" t="s">
        <v>535</v>
      </c>
      <c r="G479" s="9" t="str" cm="1">
        <f t="array" ref="G479">IFERROR(
  INDEX(Table13[Quartile],
    MATCH(1,
      (Table13[[#This Row],[OrgName]]=Table13[OrgName]) *
      (Table13[[#This Row],[Month Number]]-1=Table13[Month Number]),
    0)
  ),
"")</f>
        <v>TopQuartile</v>
      </c>
      <c r="H479" s="9">
        <f>IF(Table13[[#This Row],[Previous Quartile]]="TopQuartile", 1,
 IF(Table13[[#This Row],[Previous Quartile]]="SecondQuartile", 2,
 IF(Table13[[#This Row],[Previous Quartile]]="ThirdQuartile", 3,
 IF(Table13[[#This Row],[Previous Quartile]]="FourthQuartile", 4, ""))))</f>
        <v>1</v>
      </c>
      <c r="I479" s="9" t="str">
        <f>IF(Table13[[#This Row],[Previous Quartile Value]]="", "",
   IF(Table13[[#This Row],[Quartile Value]] &lt; Table13[[#This Row],[Previous Quartile Value]], "Improved",
   IF(Table13[[#This Row],[Quartile Value]] &gt; Table13[[#This Row],[Previous Quartile Value]], "Dropped", "Same")))</f>
        <v>Same</v>
      </c>
      <c r="J479" s="10" t="s">
        <v>16</v>
      </c>
      <c r="K479" s="7" t="str">
        <f>VLOOKUP(J479,Introduction!$B$6:$C$14,2)</f>
        <v>South East</v>
      </c>
      <c r="L479" s="10">
        <v>482</v>
      </c>
      <c r="M479" s="8" t="s">
        <v>530</v>
      </c>
    </row>
    <row r="480" spans="1:13" ht="19.95" customHeight="1" x14ac:dyDescent="0.25">
      <c r="A480" s="41">
        <v>45444</v>
      </c>
      <c r="B480" s="47">
        <f>MONTH(Table13[[#This Row],[YearMonth]])</f>
        <v>6</v>
      </c>
      <c r="C480" s="9" t="s">
        <v>64</v>
      </c>
      <c r="D480" s="6" t="s">
        <v>330</v>
      </c>
      <c r="E480" s="6">
        <f>IF(Table13[[#This Row],[Quartile]]="TopQuartile", 1,
 IF(Table13[[#This Row],[Quartile]]="SecondQuartile", 2,
 IF(Table13[[#This Row],[Quartile]]="ThirdQuartile", 3,
 IF(Table13[[#This Row],[Quartile]]="FourthQuartile", 4, ""))))</f>
        <v>1</v>
      </c>
      <c r="F480" s="9" t="s">
        <v>537</v>
      </c>
      <c r="G480" s="9" t="str" cm="1">
        <f t="array" ref="G480">IFERROR(
  INDEX(Table13[Quartile],
    MATCH(1,
      (Table13[[#This Row],[OrgName]]=Table13[OrgName]) *
      (Table13[[#This Row],[Month Number]]-1=Table13[Month Number]),
    0)
  ),
"")</f>
        <v>TopQuartile</v>
      </c>
      <c r="H480" s="9">
        <f>IF(Table13[[#This Row],[Previous Quartile]]="TopQuartile", 1,
 IF(Table13[[#This Row],[Previous Quartile]]="SecondQuartile", 2,
 IF(Table13[[#This Row],[Previous Quartile]]="ThirdQuartile", 3,
 IF(Table13[[#This Row],[Previous Quartile]]="FourthQuartile", 4, ""))))</f>
        <v>1</v>
      </c>
      <c r="I480" s="9" t="str">
        <f>IF(Table13[[#This Row],[Previous Quartile Value]]="", "",
   IF(Table13[[#This Row],[Quartile Value]] &lt; Table13[[#This Row],[Previous Quartile Value]], "Improved",
   IF(Table13[[#This Row],[Quartile Value]] &gt; Table13[[#This Row],[Previous Quartile Value]], "Dropped", "Same")))</f>
        <v>Same</v>
      </c>
      <c r="J480" s="10" t="s">
        <v>20</v>
      </c>
      <c r="K480" s="7" t="str">
        <f>VLOOKUP(J480,Introduction!$B$6:$C$14,2)</f>
        <v>East of England</v>
      </c>
      <c r="L480" s="10">
        <v>465</v>
      </c>
      <c r="M480" s="8" t="s">
        <v>530</v>
      </c>
    </row>
    <row r="481" spans="1:13" ht="19.95" customHeight="1" x14ac:dyDescent="0.25">
      <c r="A481" s="41">
        <v>45444</v>
      </c>
      <c r="B481" s="47">
        <f>MONTH(Table13[[#This Row],[YearMonth]])</f>
        <v>6</v>
      </c>
      <c r="C481" s="9" t="s">
        <v>63</v>
      </c>
      <c r="D481" s="6" t="s">
        <v>330</v>
      </c>
      <c r="E481" s="6">
        <f>IF(Table13[[#This Row],[Quartile]]="TopQuartile", 1,
 IF(Table13[[#This Row],[Quartile]]="SecondQuartile", 2,
 IF(Table13[[#This Row],[Quartile]]="ThirdQuartile", 3,
 IF(Table13[[#This Row],[Quartile]]="FourthQuartile", 4, ""))))</f>
        <v>1</v>
      </c>
      <c r="F481" s="9" t="s">
        <v>536</v>
      </c>
      <c r="G481" s="9" t="str" cm="1">
        <f t="array" ref="G481">IFERROR(
  INDEX(Table13[Quartile],
    MATCH(1,
      (Table13[[#This Row],[OrgName]]=Table13[OrgName]) *
      (Table13[[#This Row],[Month Number]]-1=Table13[Month Number]),
    0)
  ),
"")</f>
        <v>TopQuartile</v>
      </c>
      <c r="H481" s="9">
        <f>IF(Table13[[#This Row],[Previous Quartile]]="TopQuartile", 1,
 IF(Table13[[#This Row],[Previous Quartile]]="SecondQuartile", 2,
 IF(Table13[[#This Row],[Previous Quartile]]="ThirdQuartile", 3,
 IF(Table13[[#This Row],[Previous Quartile]]="FourthQuartile", 4, ""))))</f>
        <v>1</v>
      </c>
      <c r="I481" s="9" t="str">
        <f>IF(Table13[[#This Row],[Previous Quartile Value]]="", "",
   IF(Table13[[#This Row],[Quartile Value]] &lt; Table13[[#This Row],[Previous Quartile Value]], "Improved",
   IF(Table13[[#This Row],[Quartile Value]] &gt; Table13[[#This Row],[Previous Quartile Value]], "Dropped", "Same")))</f>
        <v>Same</v>
      </c>
      <c r="J481" s="10" t="s">
        <v>14</v>
      </c>
      <c r="K481" s="7" t="str">
        <f>VLOOKUP(J481,Introduction!$B$6:$C$14,2)</f>
        <v>South West</v>
      </c>
      <c r="L481" s="10">
        <v>983</v>
      </c>
      <c r="M481" s="8" t="s">
        <v>530</v>
      </c>
    </row>
    <row r="482" spans="1:13" ht="19.95" customHeight="1" x14ac:dyDescent="0.25">
      <c r="A482" s="41">
        <v>45444</v>
      </c>
      <c r="B482" s="47">
        <f>MONTH(Table13[[#This Row],[YearMonth]])</f>
        <v>6</v>
      </c>
      <c r="C482" s="9" t="s">
        <v>73</v>
      </c>
      <c r="D482" s="6" t="s">
        <v>330</v>
      </c>
      <c r="E482" s="6">
        <f>IF(Table13[[#This Row],[Quartile]]="TopQuartile", 1,
 IF(Table13[[#This Row],[Quartile]]="SecondQuartile", 2,
 IF(Table13[[#This Row],[Quartile]]="ThirdQuartile", 3,
 IF(Table13[[#This Row],[Quartile]]="FourthQuartile", 4, ""))))</f>
        <v>1</v>
      </c>
      <c r="F482" s="9" t="s">
        <v>540</v>
      </c>
      <c r="G482" s="9" t="str" cm="1">
        <f t="array" ref="G482">IFERROR(
  INDEX(Table13[Quartile],
    MATCH(1,
      (Table13[[#This Row],[OrgName]]=Table13[OrgName]) *
      (Table13[[#This Row],[Month Number]]-1=Table13[Month Number]),
    0)
  ),
"")</f>
        <v>TopQuartile</v>
      </c>
      <c r="H482" s="9">
        <f>IF(Table13[[#This Row],[Previous Quartile]]="TopQuartile", 1,
 IF(Table13[[#This Row],[Previous Quartile]]="SecondQuartile", 2,
 IF(Table13[[#This Row],[Previous Quartile]]="ThirdQuartile", 3,
 IF(Table13[[#This Row],[Previous Quartile]]="FourthQuartile", 4, ""))))</f>
        <v>1</v>
      </c>
      <c r="I482" s="9" t="str">
        <f>IF(Table13[[#This Row],[Previous Quartile Value]]="", "",
   IF(Table13[[#This Row],[Quartile Value]] &lt; Table13[[#This Row],[Previous Quartile Value]], "Improved",
   IF(Table13[[#This Row],[Quartile Value]] &gt; Table13[[#This Row],[Previous Quartile Value]], "Dropped", "Same")))</f>
        <v>Same</v>
      </c>
      <c r="J482" s="10" t="s">
        <v>14</v>
      </c>
      <c r="K482" s="7" t="str">
        <f>VLOOKUP(J482,Introduction!$B$6:$C$14,2)</f>
        <v>South West</v>
      </c>
      <c r="L482" s="10">
        <v>462</v>
      </c>
      <c r="M482" s="8" t="s">
        <v>530</v>
      </c>
    </row>
    <row r="483" spans="1:13" ht="19.95" customHeight="1" x14ac:dyDescent="0.25">
      <c r="A483" s="41">
        <v>45444</v>
      </c>
      <c r="B483" s="47">
        <f>MONTH(Table13[[#This Row],[YearMonth]])</f>
        <v>6</v>
      </c>
      <c r="C483" s="9" t="s">
        <v>65</v>
      </c>
      <c r="D483" s="6" t="s">
        <v>330</v>
      </c>
      <c r="E483" s="6">
        <f>IF(Table13[[#This Row],[Quartile]]="TopQuartile", 1,
 IF(Table13[[#This Row],[Quartile]]="SecondQuartile", 2,
 IF(Table13[[#This Row],[Quartile]]="ThirdQuartile", 3,
 IF(Table13[[#This Row],[Quartile]]="FourthQuartile", 4, ""))))</f>
        <v>1</v>
      </c>
      <c r="F483" s="9" t="s">
        <v>538</v>
      </c>
      <c r="G483" s="9" t="str" cm="1">
        <f t="array" ref="G483">IFERROR(
  INDEX(Table13[Quartile],
    MATCH(1,
      (Table13[[#This Row],[OrgName]]=Table13[OrgName]) *
      (Table13[[#This Row],[Month Number]]-1=Table13[Month Number]),
    0)
  ),
"")</f>
        <v>TopQuartile</v>
      </c>
      <c r="H483" s="9">
        <f>IF(Table13[[#This Row],[Previous Quartile]]="TopQuartile", 1,
 IF(Table13[[#This Row],[Previous Quartile]]="SecondQuartile", 2,
 IF(Table13[[#This Row],[Previous Quartile]]="ThirdQuartile", 3,
 IF(Table13[[#This Row],[Previous Quartile]]="FourthQuartile", 4, ""))))</f>
        <v>1</v>
      </c>
      <c r="I483" s="9" t="str">
        <f>IF(Table13[[#This Row],[Previous Quartile Value]]="", "",
   IF(Table13[[#This Row],[Quartile Value]] &lt; Table13[[#This Row],[Previous Quartile Value]], "Improved",
   IF(Table13[[#This Row],[Quartile Value]] &gt; Table13[[#This Row],[Previous Quartile Value]], "Dropped", "Same")))</f>
        <v>Same</v>
      </c>
      <c r="J483" s="10" t="s">
        <v>18</v>
      </c>
      <c r="K483" s="7" t="str">
        <f>VLOOKUP(J483,Introduction!$B$6:$C$14,2)</f>
        <v>Midlands</v>
      </c>
      <c r="L483" s="10">
        <v>86</v>
      </c>
      <c r="M483" s="8" t="s">
        <v>530</v>
      </c>
    </row>
    <row r="484" spans="1:13" ht="19.95" customHeight="1" x14ac:dyDescent="0.25">
      <c r="A484" s="41">
        <v>45444</v>
      </c>
      <c r="B484" s="47">
        <f>MONTH(Table13[[#This Row],[YearMonth]])</f>
        <v>6</v>
      </c>
      <c r="C484" s="9" t="s">
        <v>72</v>
      </c>
      <c r="D484" s="6" t="s">
        <v>330</v>
      </c>
      <c r="E484" s="6">
        <f>IF(Table13[[#This Row],[Quartile]]="TopQuartile", 1,
 IF(Table13[[#This Row],[Quartile]]="SecondQuartile", 2,
 IF(Table13[[#This Row],[Quartile]]="ThirdQuartile", 3,
 IF(Table13[[#This Row],[Quartile]]="FourthQuartile", 4, ""))))</f>
        <v>1</v>
      </c>
      <c r="F484" s="9" t="s">
        <v>539</v>
      </c>
      <c r="G484" s="9" t="str" cm="1">
        <f t="array" ref="G484">IFERROR(
  INDEX(Table13[Quartile],
    MATCH(1,
      (Table13[[#This Row],[OrgName]]=Table13[OrgName]) *
      (Table13[[#This Row],[Month Number]]-1=Table13[Month Number]),
    0)
  ),
"")</f>
        <v>TopQuartile</v>
      </c>
      <c r="H484" s="9">
        <f>IF(Table13[[#This Row],[Previous Quartile]]="TopQuartile", 1,
 IF(Table13[[#This Row],[Previous Quartile]]="SecondQuartile", 2,
 IF(Table13[[#This Row],[Previous Quartile]]="ThirdQuartile", 3,
 IF(Table13[[#This Row],[Previous Quartile]]="FourthQuartile", 4, ""))))</f>
        <v>1</v>
      </c>
      <c r="I484" s="9" t="str">
        <f>IF(Table13[[#This Row],[Previous Quartile Value]]="", "",
   IF(Table13[[#This Row],[Quartile Value]] &lt; Table13[[#This Row],[Previous Quartile Value]], "Improved",
   IF(Table13[[#This Row],[Quartile Value]] &gt; Table13[[#This Row],[Previous Quartile Value]], "Dropped", "Same")))</f>
        <v>Same</v>
      </c>
      <c r="J484" s="10" t="s">
        <v>18</v>
      </c>
      <c r="K484" s="7" t="str">
        <f>VLOOKUP(J484,Introduction!$B$6:$C$14,2)</f>
        <v>Midlands</v>
      </c>
      <c r="L484" s="10">
        <v>66</v>
      </c>
      <c r="M484" s="8" t="s">
        <v>530</v>
      </c>
    </row>
    <row r="485" spans="1:13" ht="19.95" customHeight="1" x14ac:dyDescent="0.25">
      <c r="A485" s="41">
        <v>45444</v>
      </c>
      <c r="B485" s="47">
        <f>MONTH(Table13[[#This Row],[YearMonth]])</f>
        <v>6</v>
      </c>
      <c r="C485" s="9" t="s">
        <v>83</v>
      </c>
      <c r="D485" s="6" t="s">
        <v>330</v>
      </c>
      <c r="E485" s="6">
        <f>IF(Table13[[#This Row],[Quartile]]="TopQuartile", 1,
 IF(Table13[[#This Row],[Quartile]]="SecondQuartile", 2,
 IF(Table13[[#This Row],[Quartile]]="ThirdQuartile", 3,
 IF(Table13[[#This Row],[Quartile]]="FourthQuartile", 4, ""))))</f>
        <v>1</v>
      </c>
      <c r="F485" s="9" t="s">
        <v>542</v>
      </c>
      <c r="G485" s="9" t="str" cm="1">
        <f t="array" ref="G485">IFERROR(
  INDEX(Table13[Quartile],
    MATCH(1,
      (Table13[[#This Row],[OrgName]]=Table13[OrgName]) *
      (Table13[[#This Row],[Month Number]]-1=Table13[Month Number]),
    0)
  ),
"")</f>
        <v>TopQuartile</v>
      </c>
      <c r="H485" s="9">
        <f>IF(Table13[[#This Row],[Previous Quartile]]="TopQuartile", 1,
 IF(Table13[[#This Row],[Previous Quartile]]="SecondQuartile", 2,
 IF(Table13[[#This Row],[Previous Quartile]]="ThirdQuartile", 3,
 IF(Table13[[#This Row],[Previous Quartile]]="FourthQuartile", 4, ""))))</f>
        <v>1</v>
      </c>
      <c r="I485" s="9" t="str">
        <f>IF(Table13[[#This Row],[Previous Quartile Value]]="", "",
   IF(Table13[[#This Row],[Quartile Value]] &lt; Table13[[#This Row],[Previous Quartile Value]], "Improved",
   IF(Table13[[#This Row],[Quartile Value]] &gt; Table13[[#This Row],[Previous Quartile Value]], "Dropped", "Same")))</f>
        <v>Same</v>
      </c>
      <c r="J485" s="10" t="s">
        <v>18</v>
      </c>
      <c r="K485" s="7" t="str">
        <f>VLOOKUP(J485,Introduction!$B$6:$C$14,2)</f>
        <v>Midlands</v>
      </c>
      <c r="L485" s="10">
        <v>116</v>
      </c>
      <c r="M485" s="8" t="s">
        <v>530</v>
      </c>
    </row>
    <row r="486" spans="1:13" ht="19.95" customHeight="1" x14ac:dyDescent="0.25">
      <c r="A486" s="41">
        <v>45444</v>
      </c>
      <c r="B486" s="47">
        <f>MONTH(Table13[[#This Row],[YearMonth]])</f>
        <v>6</v>
      </c>
      <c r="C486" s="9" t="s">
        <v>110</v>
      </c>
      <c r="D486" s="6" t="s">
        <v>330</v>
      </c>
      <c r="E486" s="6">
        <f>IF(Table13[[#This Row],[Quartile]]="TopQuartile", 1,
 IF(Table13[[#This Row],[Quartile]]="SecondQuartile", 2,
 IF(Table13[[#This Row],[Quartile]]="ThirdQuartile", 3,
 IF(Table13[[#This Row],[Quartile]]="FourthQuartile", 4, ""))))</f>
        <v>1</v>
      </c>
      <c r="F486" s="9" t="s">
        <v>545</v>
      </c>
      <c r="G486" s="9" t="str" cm="1">
        <f t="array" ref="G486">IFERROR(
  INDEX(Table13[Quartile],
    MATCH(1,
      (Table13[[#This Row],[OrgName]]=Table13[OrgName]) *
      (Table13[[#This Row],[Month Number]]-1=Table13[Month Number]),
    0)
  ),
"")</f>
        <v>TopQuartile</v>
      </c>
      <c r="H486" s="9">
        <f>IF(Table13[[#This Row],[Previous Quartile]]="TopQuartile", 1,
 IF(Table13[[#This Row],[Previous Quartile]]="SecondQuartile", 2,
 IF(Table13[[#This Row],[Previous Quartile]]="ThirdQuartile", 3,
 IF(Table13[[#This Row],[Previous Quartile]]="FourthQuartile", 4, ""))))</f>
        <v>1</v>
      </c>
      <c r="I486" s="9" t="str">
        <f>IF(Table13[[#This Row],[Previous Quartile Value]]="", "",
   IF(Table13[[#This Row],[Quartile Value]] &lt; Table13[[#This Row],[Previous Quartile Value]], "Improved",
   IF(Table13[[#This Row],[Quartile Value]] &gt; Table13[[#This Row],[Previous Quartile Value]], "Dropped", "Same")))</f>
        <v>Same</v>
      </c>
      <c r="J486" s="10" t="s">
        <v>16</v>
      </c>
      <c r="K486" s="7" t="str">
        <f>VLOOKUP(J486,Introduction!$B$6:$C$14,2)</f>
        <v>South East</v>
      </c>
      <c r="L486" s="10">
        <v>104</v>
      </c>
      <c r="M486" s="8" t="s">
        <v>530</v>
      </c>
    </row>
    <row r="487" spans="1:13" ht="19.95" customHeight="1" x14ac:dyDescent="0.25">
      <c r="A487" s="41">
        <v>45444</v>
      </c>
      <c r="B487" s="47">
        <f>MONTH(Table13[[#This Row],[YearMonth]])</f>
        <v>6</v>
      </c>
      <c r="C487" s="9" t="s">
        <v>93</v>
      </c>
      <c r="D487" s="6" t="s">
        <v>330</v>
      </c>
      <c r="E487" s="6">
        <f>IF(Table13[[#This Row],[Quartile]]="TopQuartile", 1,
 IF(Table13[[#This Row],[Quartile]]="SecondQuartile", 2,
 IF(Table13[[#This Row],[Quartile]]="ThirdQuartile", 3,
 IF(Table13[[#This Row],[Quartile]]="FourthQuartile", 4, ""))))</f>
        <v>1</v>
      </c>
      <c r="F487" s="9" t="s">
        <v>543</v>
      </c>
      <c r="G487" s="9" t="str" cm="1">
        <f t="array" ref="G487">IFERROR(
  INDEX(Table13[Quartile],
    MATCH(1,
      (Table13[[#This Row],[OrgName]]=Table13[OrgName]) *
      (Table13[[#This Row],[Month Number]]-1=Table13[Month Number]),
    0)
  ),
"")</f>
        <v>SecondQuartile</v>
      </c>
      <c r="H487" s="9">
        <f>IF(Table13[[#This Row],[Previous Quartile]]="TopQuartile", 1,
 IF(Table13[[#This Row],[Previous Quartile]]="SecondQuartile", 2,
 IF(Table13[[#This Row],[Previous Quartile]]="ThirdQuartile", 3,
 IF(Table13[[#This Row],[Previous Quartile]]="FourthQuartile", 4, ""))))</f>
        <v>2</v>
      </c>
      <c r="I487" s="9" t="str">
        <f>IF(Table13[[#This Row],[Previous Quartile Value]]="", "",
   IF(Table13[[#This Row],[Quartile Value]] &lt; Table13[[#This Row],[Previous Quartile Value]], "Improved",
   IF(Table13[[#This Row],[Quartile Value]] &gt; Table13[[#This Row],[Previous Quartile Value]], "Dropped", "Same")))</f>
        <v>Improved</v>
      </c>
      <c r="J487" s="10" t="s">
        <v>16</v>
      </c>
      <c r="K487" s="7" t="str">
        <f>VLOOKUP(J487,Introduction!$B$6:$C$14,2)</f>
        <v>South East</v>
      </c>
      <c r="L487" s="10">
        <v>495</v>
      </c>
      <c r="M487" s="8" t="s">
        <v>530</v>
      </c>
    </row>
    <row r="488" spans="1:13" ht="19.95" customHeight="1" x14ac:dyDescent="0.25">
      <c r="A488" s="41">
        <v>45444</v>
      </c>
      <c r="B488" s="47">
        <f>MONTH(Table13[[#This Row],[YearMonth]])</f>
        <v>6</v>
      </c>
      <c r="C488" s="9" t="s">
        <v>115</v>
      </c>
      <c r="D488" s="6" t="s">
        <v>330</v>
      </c>
      <c r="E488" s="6">
        <f>IF(Table13[[#This Row],[Quartile]]="TopQuartile", 1,
 IF(Table13[[#This Row],[Quartile]]="SecondQuartile", 2,
 IF(Table13[[#This Row],[Quartile]]="ThirdQuartile", 3,
 IF(Table13[[#This Row],[Quartile]]="FourthQuartile", 4, ""))))</f>
        <v>1</v>
      </c>
      <c r="F488" s="9" t="s">
        <v>546</v>
      </c>
      <c r="G488" s="9" t="str" cm="1">
        <f t="array" ref="G488">IFERROR(
  INDEX(Table13[Quartile],
    MATCH(1,
      (Table13[[#This Row],[OrgName]]=Table13[OrgName]) *
      (Table13[[#This Row],[Month Number]]-1=Table13[Month Number]),
    0)
  ),
"")</f>
        <v>ThirdQuartile</v>
      </c>
      <c r="H488" s="9">
        <f>IF(Table13[[#This Row],[Previous Quartile]]="TopQuartile", 1,
 IF(Table13[[#This Row],[Previous Quartile]]="SecondQuartile", 2,
 IF(Table13[[#This Row],[Previous Quartile]]="ThirdQuartile", 3,
 IF(Table13[[#This Row],[Previous Quartile]]="FourthQuartile", 4, ""))))</f>
        <v>3</v>
      </c>
      <c r="I488" s="9" t="str">
        <f>IF(Table13[[#This Row],[Previous Quartile Value]]="", "",
   IF(Table13[[#This Row],[Quartile Value]] &lt; Table13[[#This Row],[Previous Quartile Value]], "Improved",
   IF(Table13[[#This Row],[Quartile Value]] &gt; Table13[[#This Row],[Previous Quartile Value]], "Dropped", "Same")))</f>
        <v>Improved</v>
      </c>
      <c r="J488" s="10" t="s">
        <v>18</v>
      </c>
      <c r="K488" s="7" t="str">
        <f>VLOOKUP(J488,Introduction!$B$6:$C$14,2)</f>
        <v>Midlands</v>
      </c>
      <c r="L488" s="10">
        <v>942</v>
      </c>
      <c r="M488" s="8" t="s">
        <v>530</v>
      </c>
    </row>
    <row r="489" spans="1:13" ht="19.95" customHeight="1" x14ac:dyDescent="0.25">
      <c r="A489" s="41">
        <v>45444</v>
      </c>
      <c r="B489" s="47">
        <f>MONTH(Table13[[#This Row],[YearMonth]])</f>
        <v>6</v>
      </c>
      <c r="C489" s="9" t="s">
        <v>28</v>
      </c>
      <c r="D489" s="6" t="s">
        <v>330</v>
      </c>
      <c r="E489" s="6">
        <f>IF(Table13[[#This Row],[Quartile]]="TopQuartile", 1,
 IF(Table13[[#This Row],[Quartile]]="SecondQuartile", 2,
 IF(Table13[[#This Row],[Quartile]]="ThirdQuartile", 3,
 IF(Table13[[#This Row],[Quartile]]="FourthQuartile", 4, ""))))</f>
        <v>1</v>
      </c>
      <c r="F489" s="9" t="s">
        <v>529</v>
      </c>
      <c r="G489" s="9" t="str" cm="1">
        <f t="array" ref="G489">IFERROR(
  INDEX(Table13[Quartile],
    MATCH(1,
      (Table13[[#This Row],[OrgName]]=Table13[OrgName]) *
      (Table13[[#This Row],[Month Number]]-1=Table13[Month Number]),
    0)
  ),
"")</f>
        <v>TopQuartile</v>
      </c>
      <c r="H489" s="9">
        <f>IF(Table13[[#This Row],[Previous Quartile]]="TopQuartile", 1,
 IF(Table13[[#This Row],[Previous Quartile]]="SecondQuartile", 2,
 IF(Table13[[#This Row],[Previous Quartile]]="ThirdQuartile", 3,
 IF(Table13[[#This Row],[Previous Quartile]]="FourthQuartile", 4, ""))))</f>
        <v>1</v>
      </c>
      <c r="I489" s="9" t="str">
        <f>IF(Table13[[#This Row],[Previous Quartile Value]]="", "",
   IF(Table13[[#This Row],[Quartile Value]] &lt; Table13[[#This Row],[Previous Quartile Value]], "Improved",
   IF(Table13[[#This Row],[Quartile Value]] &gt; Table13[[#This Row],[Previous Quartile Value]], "Dropped", "Same")))</f>
        <v>Same</v>
      </c>
      <c r="J489" s="10" t="s">
        <v>16</v>
      </c>
      <c r="K489" s="7" t="str">
        <f>VLOOKUP(J489,Introduction!$B$6:$C$14,2)</f>
        <v>South East</v>
      </c>
      <c r="L489" s="10">
        <v>146</v>
      </c>
      <c r="M489" s="8" t="s">
        <v>530</v>
      </c>
    </row>
    <row r="490" spans="1:13" ht="19.95" customHeight="1" x14ac:dyDescent="0.25">
      <c r="A490" s="41">
        <v>45444</v>
      </c>
      <c r="B490" s="47">
        <f>MONTH(Table13[[#This Row],[YearMonth]])</f>
        <v>6</v>
      </c>
      <c r="C490" s="9" t="s">
        <v>76</v>
      </c>
      <c r="D490" s="6" t="s">
        <v>330</v>
      </c>
      <c r="E490" s="6">
        <f>IF(Table13[[#This Row],[Quartile]]="TopQuartile", 1,
 IF(Table13[[#This Row],[Quartile]]="SecondQuartile", 2,
 IF(Table13[[#This Row],[Quartile]]="ThirdQuartile", 3,
 IF(Table13[[#This Row],[Quartile]]="FourthQuartile", 4, ""))))</f>
        <v>1</v>
      </c>
      <c r="F490" s="9" t="s">
        <v>541</v>
      </c>
      <c r="G490" s="9" t="str" cm="1">
        <f t="array" ref="G490">IFERROR(
  INDEX(Table13[Quartile],
    MATCH(1,
      (Table13[[#This Row],[OrgName]]=Table13[OrgName]) *
      (Table13[[#This Row],[Month Number]]-1=Table13[Month Number]),
    0)
  ),
"")</f>
        <v>TopQuartile</v>
      </c>
      <c r="H490" s="9">
        <f>IF(Table13[[#This Row],[Previous Quartile]]="TopQuartile", 1,
 IF(Table13[[#This Row],[Previous Quartile]]="SecondQuartile", 2,
 IF(Table13[[#This Row],[Previous Quartile]]="ThirdQuartile", 3,
 IF(Table13[[#This Row],[Previous Quartile]]="FourthQuartile", 4, ""))))</f>
        <v>1</v>
      </c>
      <c r="I490" s="9" t="str">
        <f>IF(Table13[[#This Row],[Previous Quartile Value]]="", "",
   IF(Table13[[#This Row],[Quartile Value]] &lt; Table13[[#This Row],[Previous Quartile Value]], "Improved",
   IF(Table13[[#This Row],[Quartile Value]] &gt; Table13[[#This Row],[Previous Quartile Value]], "Dropped", "Same")))</f>
        <v>Same</v>
      </c>
      <c r="J490" s="10" t="s">
        <v>14</v>
      </c>
      <c r="K490" s="7" t="str">
        <f>VLOOKUP(J490,Introduction!$B$6:$C$14,2)</f>
        <v>South West</v>
      </c>
      <c r="L490" s="10">
        <v>144</v>
      </c>
      <c r="M490" s="8" t="s">
        <v>530</v>
      </c>
    </row>
    <row r="491" spans="1:13" ht="19.95" customHeight="1" x14ac:dyDescent="0.25">
      <c r="A491" s="41">
        <v>45444</v>
      </c>
      <c r="B491" s="47">
        <f>MONTH(Table13[[#This Row],[YearMonth]])</f>
        <v>6</v>
      </c>
      <c r="C491" s="9" t="s">
        <v>100</v>
      </c>
      <c r="D491" s="6" t="s">
        <v>330</v>
      </c>
      <c r="E491" s="6">
        <f>IF(Table13[[#This Row],[Quartile]]="TopQuartile", 1,
 IF(Table13[[#This Row],[Quartile]]="SecondQuartile", 2,
 IF(Table13[[#This Row],[Quartile]]="ThirdQuartile", 3,
 IF(Table13[[#This Row],[Quartile]]="FourthQuartile", 4, ""))))</f>
        <v>1</v>
      </c>
      <c r="F491" s="9" t="s">
        <v>544</v>
      </c>
      <c r="G491" s="9" t="str" cm="1">
        <f t="array" ref="G491">IFERROR(
  INDEX(Table13[Quartile],
    MATCH(1,
      (Table13[[#This Row],[OrgName]]=Table13[OrgName]) *
      (Table13[[#This Row],[Month Number]]-1=Table13[Month Number]),
    0)
  ),
"")</f>
        <v>TopQuartile</v>
      </c>
      <c r="H491" s="9">
        <f>IF(Table13[[#This Row],[Previous Quartile]]="TopQuartile", 1,
 IF(Table13[[#This Row],[Previous Quartile]]="SecondQuartile", 2,
 IF(Table13[[#This Row],[Previous Quartile]]="ThirdQuartile", 3,
 IF(Table13[[#This Row],[Previous Quartile]]="FourthQuartile", 4, ""))))</f>
        <v>1</v>
      </c>
      <c r="I491" s="9" t="str">
        <f>IF(Table13[[#This Row],[Previous Quartile Value]]="", "",
   IF(Table13[[#This Row],[Quartile Value]] &lt; Table13[[#This Row],[Previous Quartile Value]], "Improved",
   IF(Table13[[#This Row],[Quartile Value]] &gt; Table13[[#This Row],[Previous Quartile Value]], "Dropped", "Same")))</f>
        <v>Same</v>
      </c>
      <c r="J491" s="10" t="s">
        <v>24</v>
      </c>
      <c r="K491" s="7" t="str">
        <f>VLOOKUP(J491,Introduction!$B$6:$C$14,2)</f>
        <v>North East and Yorkshire</v>
      </c>
      <c r="L491" s="10">
        <v>133</v>
      </c>
      <c r="M491" s="8" t="s">
        <v>530</v>
      </c>
    </row>
    <row r="492" spans="1:13" ht="19.95" customHeight="1" x14ac:dyDescent="0.25">
      <c r="A492" s="41">
        <v>45444</v>
      </c>
      <c r="B492" s="47">
        <f>MONTH(Table13[[#This Row],[YearMonth]])</f>
        <v>6</v>
      </c>
      <c r="C492" s="9" t="s">
        <v>30</v>
      </c>
      <c r="D492" s="6" t="s">
        <v>338</v>
      </c>
      <c r="E492" s="6">
        <f>IF(Table13[[#This Row],[Quartile]]="TopQuartile", 1,
 IF(Table13[[#This Row],[Quartile]]="SecondQuartile", 2,
 IF(Table13[[#This Row],[Quartile]]="ThirdQuartile", 3,
 IF(Table13[[#This Row],[Quartile]]="FourthQuartile", 4, ""))))</f>
        <v>2</v>
      </c>
      <c r="F492" s="9" t="s">
        <v>532</v>
      </c>
      <c r="G492" s="9" t="str" cm="1">
        <f t="array" ref="G492">IFERROR(
  INDEX(Table13[Quartile],
    MATCH(1,
      (Table13[[#This Row],[OrgName]]=Table13[OrgName]) *
      (Table13[[#This Row],[Month Number]]-1=Table13[Month Number]),
    0)
  ),
"")</f>
        <v>TopQuartile</v>
      </c>
      <c r="H492" s="9">
        <f>IF(Table13[[#This Row],[Previous Quartile]]="TopQuartile", 1,
 IF(Table13[[#This Row],[Previous Quartile]]="SecondQuartile", 2,
 IF(Table13[[#This Row],[Previous Quartile]]="ThirdQuartile", 3,
 IF(Table13[[#This Row],[Previous Quartile]]="FourthQuartile", 4, ""))))</f>
        <v>1</v>
      </c>
      <c r="I492" s="9" t="str">
        <f>IF(Table13[[#This Row],[Previous Quartile Value]]="", "",
   IF(Table13[[#This Row],[Quartile Value]] &lt; Table13[[#This Row],[Previous Quartile Value]], "Improved",
   IF(Table13[[#This Row],[Quartile Value]] &gt; Table13[[#This Row],[Previous Quartile Value]], "Dropped", "Same")))</f>
        <v>Dropped</v>
      </c>
      <c r="J492" s="10" t="s">
        <v>14</v>
      </c>
      <c r="K492" s="7" t="str">
        <f>VLOOKUP(J492,Introduction!$B$6:$C$14,2)</f>
        <v>South West</v>
      </c>
      <c r="L492" s="10">
        <v>461</v>
      </c>
      <c r="M492" s="8" t="s">
        <v>530</v>
      </c>
    </row>
    <row r="493" spans="1:13" ht="19.95" customHeight="1" x14ac:dyDescent="0.25">
      <c r="A493" s="41">
        <v>45444</v>
      </c>
      <c r="B493" s="47">
        <f>MONTH(Table13[[#This Row],[YearMonth]])</f>
        <v>6</v>
      </c>
      <c r="C493" s="9" t="s">
        <v>124</v>
      </c>
      <c r="D493" s="6" t="s">
        <v>338</v>
      </c>
      <c r="E493" s="6">
        <f>IF(Table13[[#This Row],[Quartile]]="TopQuartile", 1,
 IF(Table13[[#This Row],[Quartile]]="SecondQuartile", 2,
 IF(Table13[[#This Row],[Quartile]]="ThirdQuartile", 3,
 IF(Table13[[#This Row],[Quartile]]="FourthQuartile", 4, ""))))</f>
        <v>2</v>
      </c>
      <c r="F493" s="9" t="s">
        <v>547</v>
      </c>
      <c r="G493" s="9" t="str" cm="1">
        <f t="array" ref="G493">IFERROR(
  INDEX(Table13[Quartile],
    MATCH(1,
      (Table13[[#This Row],[OrgName]]=Table13[OrgName]) *
      (Table13[[#This Row],[Month Number]]-1=Table13[Month Number]),
    0)
  ),
"")</f>
        <v>SecondQuartile</v>
      </c>
      <c r="H493" s="9">
        <f>IF(Table13[[#This Row],[Previous Quartile]]="TopQuartile", 1,
 IF(Table13[[#This Row],[Previous Quartile]]="SecondQuartile", 2,
 IF(Table13[[#This Row],[Previous Quartile]]="ThirdQuartile", 3,
 IF(Table13[[#This Row],[Previous Quartile]]="FourthQuartile", 4, ""))))</f>
        <v>2</v>
      </c>
      <c r="I493" s="9" t="str">
        <f>IF(Table13[[#This Row],[Previous Quartile Value]]="", "",
   IF(Table13[[#This Row],[Quartile Value]] &lt; Table13[[#This Row],[Previous Quartile Value]], "Improved",
   IF(Table13[[#This Row],[Quartile Value]] &gt; Table13[[#This Row],[Previous Quartile Value]], "Dropped", "Same")))</f>
        <v>Same</v>
      </c>
      <c r="J493" s="10" t="s">
        <v>18</v>
      </c>
      <c r="K493" s="7" t="str">
        <f>VLOOKUP(J493,Introduction!$B$6:$C$14,2)</f>
        <v>Midlands</v>
      </c>
      <c r="L493" s="10">
        <v>994</v>
      </c>
      <c r="M493" s="8" t="s">
        <v>530</v>
      </c>
    </row>
    <row r="494" spans="1:13" ht="19.95" customHeight="1" x14ac:dyDescent="0.25">
      <c r="A494" s="41">
        <v>45444</v>
      </c>
      <c r="B494" s="47">
        <f>MONTH(Table13[[#This Row],[YearMonth]])</f>
        <v>6</v>
      </c>
      <c r="C494" s="9" t="s">
        <v>126</v>
      </c>
      <c r="D494" s="6" t="s">
        <v>338</v>
      </c>
      <c r="E494" s="6">
        <f>IF(Table13[[#This Row],[Quartile]]="TopQuartile", 1,
 IF(Table13[[#This Row],[Quartile]]="SecondQuartile", 2,
 IF(Table13[[#This Row],[Quartile]]="ThirdQuartile", 3,
 IF(Table13[[#This Row],[Quartile]]="FourthQuartile", 4, ""))))</f>
        <v>2</v>
      </c>
      <c r="F494" s="9" t="s">
        <v>548</v>
      </c>
      <c r="G494" s="9" t="str" cm="1">
        <f t="array" ref="G494">IFERROR(
  INDEX(Table13[Quartile],
    MATCH(1,
      (Table13[[#This Row],[OrgName]]=Table13[OrgName]) *
      (Table13[[#This Row],[Month Number]]-1=Table13[Month Number]),
    0)
  ),
"")</f>
        <v>SecondQuartile</v>
      </c>
      <c r="H494" s="9">
        <f>IF(Table13[[#This Row],[Previous Quartile]]="TopQuartile", 1,
 IF(Table13[[#This Row],[Previous Quartile]]="SecondQuartile", 2,
 IF(Table13[[#This Row],[Previous Quartile]]="ThirdQuartile", 3,
 IF(Table13[[#This Row],[Previous Quartile]]="FourthQuartile", 4, ""))))</f>
        <v>2</v>
      </c>
      <c r="I494" s="9" t="str">
        <f>IF(Table13[[#This Row],[Previous Quartile Value]]="", "",
   IF(Table13[[#This Row],[Quartile Value]] &lt; Table13[[#This Row],[Previous Quartile Value]], "Improved",
   IF(Table13[[#This Row],[Quartile Value]] &gt; Table13[[#This Row],[Previous Quartile Value]], "Dropped", "Same")))</f>
        <v>Same</v>
      </c>
      <c r="J494" s="10" t="s">
        <v>12</v>
      </c>
      <c r="K494" s="7" t="str">
        <f>VLOOKUP(J494,Introduction!$B$6:$C$14,2)</f>
        <v>London</v>
      </c>
      <c r="L494" s="10">
        <v>487</v>
      </c>
      <c r="M494" s="8" t="s">
        <v>530</v>
      </c>
    </row>
    <row r="495" spans="1:13" ht="19.95" customHeight="1" x14ac:dyDescent="0.25">
      <c r="A495" s="41">
        <v>45444</v>
      </c>
      <c r="B495" s="47">
        <f>MONTH(Table13[[#This Row],[YearMonth]])</f>
        <v>6</v>
      </c>
      <c r="C495" s="9" t="s">
        <v>131</v>
      </c>
      <c r="D495" s="6" t="s">
        <v>338</v>
      </c>
      <c r="E495" s="6">
        <f>IF(Table13[[#This Row],[Quartile]]="TopQuartile", 1,
 IF(Table13[[#This Row],[Quartile]]="SecondQuartile", 2,
 IF(Table13[[#This Row],[Quartile]]="ThirdQuartile", 3,
 IF(Table13[[#This Row],[Quartile]]="FourthQuartile", 4, ""))))</f>
        <v>2</v>
      </c>
      <c r="F495" s="9" t="s">
        <v>549</v>
      </c>
      <c r="G495" s="9" t="str" cm="1">
        <f t="array" ref="G495">IFERROR(
  INDEX(Table13[Quartile],
    MATCH(1,
      (Table13[[#This Row],[OrgName]]=Table13[OrgName]) *
      (Table13[[#This Row],[Month Number]]-1=Table13[Month Number]),
    0)
  ),
"")</f>
        <v>SecondQuartile</v>
      </c>
      <c r="H495" s="9">
        <f>IF(Table13[[#This Row],[Previous Quartile]]="TopQuartile", 1,
 IF(Table13[[#This Row],[Previous Quartile]]="SecondQuartile", 2,
 IF(Table13[[#This Row],[Previous Quartile]]="ThirdQuartile", 3,
 IF(Table13[[#This Row],[Previous Quartile]]="FourthQuartile", 4, ""))))</f>
        <v>2</v>
      </c>
      <c r="I495" s="9" t="str">
        <f>IF(Table13[[#This Row],[Previous Quartile Value]]="", "",
   IF(Table13[[#This Row],[Quartile Value]] &lt; Table13[[#This Row],[Previous Quartile Value]], "Improved",
   IF(Table13[[#This Row],[Quartile Value]] &gt; Table13[[#This Row],[Previous Quartile Value]], "Dropped", "Same")))</f>
        <v>Same</v>
      </c>
      <c r="J495" s="10" t="s">
        <v>18</v>
      </c>
      <c r="K495" s="7" t="str">
        <f>VLOOKUP(J495,Introduction!$B$6:$C$14,2)</f>
        <v>Midlands</v>
      </c>
      <c r="L495" s="10">
        <v>105</v>
      </c>
      <c r="M495" s="8" t="s">
        <v>530</v>
      </c>
    </row>
    <row r="496" spans="1:13" ht="19.95" customHeight="1" x14ac:dyDescent="0.25">
      <c r="A496" s="41">
        <v>45444</v>
      </c>
      <c r="B496" s="47">
        <f>MONTH(Table13[[#This Row],[YearMonth]])</f>
        <v>6</v>
      </c>
      <c r="C496" s="9" t="s">
        <v>139</v>
      </c>
      <c r="D496" s="6" t="s">
        <v>338</v>
      </c>
      <c r="E496" s="6">
        <f>IF(Table13[[#This Row],[Quartile]]="TopQuartile", 1,
 IF(Table13[[#This Row],[Quartile]]="SecondQuartile", 2,
 IF(Table13[[#This Row],[Quartile]]="ThirdQuartile", 3,
 IF(Table13[[#This Row],[Quartile]]="FourthQuartile", 4, ""))))</f>
        <v>2</v>
      </c>
      <c r="F496" s="9" t="s">
        <v>550</v>
      </c>
      <c r="G496" s="9" t="str" cm="1">
        <f t="array" ref="G496">IFERROR(
  INDEX(Table13[Quartile],
    MATCH(1,
      (Table13[[#This Row],[OrgName]]=Table13[OrgName]) *
      (Table13[[#This Row],[Month Number]]-1=Table13[Month Number]),
    0)
  ),
"")</f>
        <v>SecondQuartile</v>
      </c>
      <c r="H496" s="9">
        <f>IF(Table13[[#This Row],[Previous Quartile]]="TopQuartile", 1,
 IF(Table13[[#This Row],[Previous Quartile]]="SecondQuartile", 2,
 IF(Table13[[#This Row],[Previous Quartile]]="ThirdQuartile", 3,
 IF(Table13[[#This Row],[Previous Quartile]]="FourthQuartile", 4, ""))))</f>
        <v>2</v>
      </c>
      <c r="I496" s="9" t="str">
        <f>IF(Table13[[#This Row],[Previous Quartile Value]]="", "",
   IF(Table13[[#This Row],[Quartile Value]] &lt; Table13[[#This Row],[Previous Quartile Value]], "Improved",
   IF(Table13[[#This Row],[Quartile Value]] &gt; Table13[[#This Row],[Previous Quartile Value]], "Dropped", "Same")))</f>
        <v>Same</v>
      </c>
      <c r="J496" s="10" t="s">
        <v>18</v>
      </c>
      <c r="K496" s="7" t="str">
        <f>VLOOKUP(J496,Introduction!$B$6:$C$14,2)</f>
        <v>Midlands</v>
      </c>
      <c r="L496" s="10">
        <v>529</v>
      </c>
      <c r="M496" s="8" t="s">
        <v>530</v>
      </c>
    </row>
    <row r="497" spans="1:13" ht="19.95" customHeight="1" x14ac:dyDescent="0.25">
      <c r="A497" s="41">
        <v>45444</v>
      </c>
      <c r="B497" s="47">
        <f>MONTH(Table13[[#This Row],[YearMonth]])</f>
        <v>6</v>
      </c>
      <c r="C497" s="9" t="s">
        <v>151</v>
      </c>
      <c r="D497" s="6" t="s">
        <v>338</v>
      </c>
      <c r="E497" s="6">
        <f>IF(Table13[[#This Row],[Quartile]]="TopQuartile", 1,
 IF(Table13[[#This Row],[Quartile]]="SecondQuartile", 2,
 IF(Table13[[#This Row],[Quartile]]="ThirdQuartile", 3,
 IF(Table13[[#This Row],[Quartile]]="FourthQuartile", 4, ""))))</f>
        <v>2</v>
      </c>
      <c r="F497" s="9" t="s">
        <v>551</v>
      </c>
      <c r="G497" s="9" t="str" cm="1">
        <f t="array" ref="G497">IFERROR(
  INDEX(Table13[Quartile],
    MATCH(1,
      (Table13[[#This Row],[OrgName]]=Table13[OrgName]) *
      (Table13[[#This Row],[Month Number]]-1=Table13[Month Number]),
    0)
  ),
"")</f>
        <v>SecondQuartile</v>
      </c>
      <c r="H497" s="9">
        <f>IF(Table13[[#This Row],[Previous Quartile]]="TopQuartile", 1,
 IF(Table13[[#This Row],[Previous Quartile]]="SecondQuartile", 2,
 IF(Table13[[#This Row],[Previous Quartile]]="ThirdQuartile", 3,
 IF(Table13[[#This Row],[Previous Quartile]]="FourthQuartile", 4, ""))))</f>
        <v>2</v>
      </c>
      <c r="I497" s="9" t="str">
        <f>IF(Table13[[#This Row],[Previous Quartile Value]]="", "",
   IF(Table13[[#This Row],[Quartile Value]] &lt; Table13[[#This Row],[Previous Quartile Value]], "Improved",
   IF(Table13[[#This Row],[Quartile Value]] &gt; Table13[[#This Row],[Previous Quartile Value]], "Dropped", "Same")))</f>
        <v>Same</v>
      </c>
      <c r="J497" s="10" t="s">
        <v>18</v>
      </c>
      <c r="K497" s="7" t="str">
        <f>VLOOKUP(J497,Introduction!$B$6:$C$14,2)</f>
        <v>Midlands</v>
      </c>
      <c r="L497" s="10">
        <v>111</v>
      </c>
      <c r="M497" s="8" t="s">
        <v>530</v>
      </c>
    </row>
    <row r="498" spans="1:13" ht="19.95" customHeight="1" x14ac:dyDescent="0.25">
      <c r="A498" s="41">
        <v>45444</v>
      </c>
      <c r="B498" s="47">
        <f>MONTH(Table13[[#This Row],[YearMonth]])</f>
        <v>6</v>
      </c>
      <c r="C498" s="9" t="s">
        <v>159</v>
      </c>
      <c r="D498" s="6" t="s">
        <v>338</v>
      </c>
      <c r="E498" s="6">
        <f>IF(Table13[[#This Row],[Quartile]]="TopQuartile", 1,
 IF(Table13[[#This Row],[Quartile]]="SecondQuartile", 2,
 IF(Table13[[#This Row],[Quartile]]="ThirdQuartile", 3,
 IF(Table13[[#This Row],[Quartile]]="FourthQuartile", 4, ""))))</f>
        <v>2</v>
      </c>
      <c r="F498" s="9" t="s">
        <v>552</v>
      </c>
      <c r="G498" s="9" t="str" cm="1">
        <f t="array" ref="G498">IFERROR(
  INDEX(Table13[Quartile],
    MATCH(1,
      (Table13[[#This Row],[OrgName]]=Table13[OrgName]) *
      (Table13[[#This Row],[Month Number]]-1=Table13[Month Number]),
    0)
  ),
"")</f>
        <v>SecondQuartile</v>
      </c>
      <c r="H498" s="9">
        <f>IF(Table13[[#This Row],[Previous Quartile]]="TopQuartile", 1,
 IF(Table13[[#This Row],[Previous Quartile]]="SecondQuartile", 2,
 IF(Table13[[#This Row],[Previous Quartile]]="ThirdQuartile", 3,
 IF(Table13[[#This Row],[Previous Quartile]]="FourthQuartile", 4, ""))))</f>
        <v>2</v>
      </c>
      <c r="I498" s="9" t="str">
        <f>IF(Table13[[#This Row],[Previous Quartile Value]]="", "",
   IF(Table13[[#This Row],[Quartile Value]] &lt; Table13[[#This Row],[Previous Quartile Value]], "Improved",
   IF(Table13[[#This Row],[Quartile Value]] &gt; Table13[[#This Row],[Previous Quartile Value]], "Dropped", "Same")))</f>
        <v>Same</v>
      </c>
      <c r="J498" s="10" t="s">
        <v>20</v>
      </c>
      <c r="K498" s="7" t="str">
        <f>VLOOKUP(J498,Introduction!$B$6:$C$14,2)</f>
        <v>East of England</v>
      </c>
      <c r="L498" s="10">
        <v>137</v>
      </c>
      <c r="M498" s="8" t="s">
        <v>530</v>
      </c>
    </row>
    <row r="499" spans="1:13" ht="19.95" customHeight="1" x14ac:dyDescent="0.25">
      <c r="A499" s="41">
        <v>45444</v>
      </c>
      <c r="B499" s="47">
        <f>MONTH(Table13[[#This Row],[YearMonth]])</f>
        <v>6</v>
      </c>
      <c r="C499" s="9" t="s">
        <v>162</v>
      </c>
      <c r="D499" s="6" t="s">
        <v>338</v>
      </c>
      <c r="E499" s="6">
        <f>IF(Table13[[#This Row],[Quartile]]="TopQuartile", 1,
 IF(Table13[[#This Row],[Quartile]]="SecondQuartile", 2,
 IF(Table13[[#This Row],[Quartile]]="ThirdQuartile", 3,
 IF(Table13[[#This Row],[Quartile]]="FourthQuartile", 4, ""))))</f>
        <v>2</v>
      </c>
      <c r="F499" s="9" t="s">
        <v>553</v>
      </c>
      <c r="G499" s="9" t="str" cm="1">
        <f t="array" ref="G499">IFERROR(
  INDEX(Table13[Quartile],
    MATCH(1,
      (Table13[[#This Row],[OrgName]]=Table13[OrgName]) *
      (Table13[[#This Row],[Month Number]]-1=Table13[Month Number]),
    0)
  ),
"")</f>
        <v>SecondQuartile</v>
      </c>
      <c r="H499" s="9">
        <f>IF(Table13[[#This Row],[Previous Quartile]]="TopQuartile", 1,
 IF(Table13[[#This Row],[Previous Quartile]]="SecondQuartile", 2,
 IF(Table13[[#This Row],[Previous Quartile]]="ThirdQuartile", 3,
 IF(Table13[[#This Row],[Previous Quartile]]="FourthQuartile", 4, ""))))</f>
        <v>2</v>
      </c>
      <c r="I499" s="9" t="str">
        <f>IF(Table13[[#This Row],[Previous Quartile Value]]="", "",
   IF(Table13[[#This Row],[Quartile Value]] &lt; Table13[[#This Row],[Previous Quartile Value]], "Improved",
   IF(Table13[[#This Row],[Quartile Value]] &gt; Table13[[#This Row],[Previous Quartile Value]], "Dropped", "Same")))</f>
        <v>Same</v>
      </c>
      <c r="J499" s="10" t="s">
        <v>14</v>
      </c>
      <c r="K499" s="7" t="str">
        <f>VLOOKUP(J499,Introduction!$B$6:$C$14,2)</f>
        <v>South West</v>
      </c>
      <c r="L499" s="10">
        <v>471</v>
      </c>
      <c r="M499" s="8" t="s">
        <v>530</v>
      </c>
    </row>
    <row r="500" spans="1:13" ht="19.95" customHeight="1" x14ac:dyDescent="0.25">
      <c r="A500" s="41">
        <v>45444</v>
      </c>
      <c r="B500" s="47">
        <f>MONTH(Table13[[#This Row],[YearMonth]])</f>
        <v>6</v>
      </c>
      <c r="C500" s="9" t="s">
        <v>166</v>
      </c>
      <c r="D500" s="6" t="s">
        <v>338</v>
      </c>
      <c r="E500" s="6">
        <f>IF(Table13[[#This Row],[Quartile]]="TopQuartile", 1,
 IF(Table13[[#This Row],[Quartile]]="SecondQuartile", 2,
 IF(Table13[[#This Row],[Quartile]]="ThirdQuartile", 3,
 IF(Table13[[#This Row],[Quartile]]="FourthQuartile", 4, ""))))</f>
        <v>2</v>
      </c>
      <c r="F500" s="9" t="s">
        <v>554</v>
      </c>
      <c r="G500" s="9" t="str" cm="1">
        <f t="array" ref="G500">IFERROR(
  INDEX(Table13[Quartile],
    MATCH(1,
      (Table13[[#This Row],[OrgName]]=Table13[OrgName]) *
      (Table13[[#This Row],[Month Number]]-1=Table13[Month Number]),
    0)
  ),
"")</f>
        <v>SecondQuartile</v>
      </c>
      <c r="H500" s="9">
        <f>IF(Table13[[#This Row],[Previous Quartile]]="TopQuartile", 1,
 IF(Table13[[#This Row],[Previous Quartile]]="SecondQuartile", 2,
 IF(Table13[[#This Row],[Previous Quartile]]="ThirdQuartile", 3,
 IF(Table13[[#This Row],[Previous Quartile]]="FourthQuartile", 4, ""))))</f>
        <v>2</v>
      </c>
      <c r="I500" s="9" t="str">
        <f>IF(Table13[[#This Row],[Previous Quartile Value]]="", "",
   IF(Table13[[#This Row],[Quartile Value]] &lt; Table13[[#This Row],[Previous Quartile Value]], "Improved",
   IF(Table13[[#This Row],[Quartile Value]] &gt; Table13[[#This Row],[Previous Quartile Value]], "Dropped", "Same")))</f>
        <v>Same</v>
      </c>
      <c r="J500" s="10" t="s">
        <v>18</v>
      </c>
      <c r="K500" s="7" t="str">
        <f>VLOOKUP(J500,Introduction!$B$6:$C$14,2)</f>
        <v>Midlands</v>
      </c>
      <c r="L500" s="10">
        <v>996</v>
      </c>
      <c r="M500" s="8" t="s">
        <v>530</v>
      </c>
    </row>
    <row r="501" spans="1:13" ht="19.95" customHeight="1" x14ac:dyDescent="0.25">
      <c r="A501" s="41">
        <v>45444</v>
      </c>
      <c r="B501" s="47">
        <f>MONTH(Table13[[#This Row],[YearMonth]])</f>
        <v>6</v>
      </c>
      <c r="C501" s="9" t="s">
        <v>206</v>
      </c>
      <c r="D501" s="6" t="s">
        <v>341</v>
      </c>
      <c r="E501" s="6">
        <f>IF(Table13[[#This Row],[Quartile]]="TopQuartile", 1,
 IF(Table13[[#This Row],[Quartile]]="SecondQuartile", 2,
 IF(Table13[[#This Row],[Quartile]]="ThirdQuartile", 3,
 IF(Table13[[#This Row],[Quartile]]="FourthQuartile", 4, ""))))</f>
        <v>3</v>
      </c>
      <c r="F501" s="9" t="s">
        <v>555</v>
      </c>
      <c r="G501" s="9" t="str" cm="1">
        <f t="array" ref="G501">IFERROR(
  INDEX(Table13[Quartile],
    MATCH(1,
      (Table13[[#This Row],[OrgName]]=Table13[OrgName]) *
      (Table13[[#This Row],[Month Number]]-1=Table13[Month Number]),
    0)
  ),
"")</f>
        <v>ThirdQuartile</v>
      </c>
      <c r="H501" s="9">
        <f>IF(Table13[[#This Row],[Previous Quartile]]="TopQuartile", 1,
 IF(Table13[[#This Row],[Previous Quartile]]="SecondQuartile", 2,
 IF(Table13[[#This Row],[Previous Quartile]]="ThirdQuartile", 3,
 IF(Table13[[#This Row],[Previous Quartile]]="FourthQuartile", 4, ""))))</f>
        <v>3</v>
      </c>
      <c r="I501" s="9" t="str">
        <f>IF(Table13[[#This Row],[Previous Quartile Value]]="", "",
   IF(Table13[[#This Row],[Quartile Value]] &lt; Table13[[#This Row],[Previous Quartile Value]], "Improved",
   IF(Table13[[#This Row],[Quartile Value]] &gt; Table13[[#This Row],[Previous Quartile Value]], "Dropped", "Same")))</f>
        <v>Same</v>
      </c>
      <c r="J501" s="10" t="s">
        <v>12</v>
      </c>
      <c r="K501" s="7" t="str">
        <f>VLOOKUP(J501,Introduction!$B$6:$C$14,2)</f>
        <v>London</v>
      </c>
      <c r="L501" s="10">
        <v>807</v>
      </c>
      <c r="M501" s="8" t="s">
        <v>530</v>
      </c>
    </row>
    <row r="502" spans="1:13" ht="19.95" customHeight="1" x14ac:dyDescent="0.25">
      <c r="A502" s="41">
        <v>45444</v>
      </c>
      <c r="B502" s="47">
        <f>MONTH(Table13[[#This Row],[YearMonth]])</f>
        <v>6</v>
      </c>
      <c r="C502" s="9" t="s">
        <v>216</v>
      </c>
      <c r="D502" s="6" t="s">
        <v>341</v>
      </c>
      <c r="E502" s="6">
        <f>IF(Table13[[#This Row],[Quartile]]="TopQuartile", 1,
 IF(Table13[[#This Row],[Quartile]]="SecondQuartile", 2,
 IF(Table13[[#This Row],[Quartile]]="ThirdQuartile", 3,
 IF(Table13[[#This Row],[Quartile]]="FourthQuartile", 4, ""))))</f>
        <v>3</v>
      </c>
      <c r="F502" s="9" t="s">
        <v>556</v>
      </c>
      <c r="G502" s="9" t="str" cm="1">
        <f t="array" ref="G502">IFERROR(
  INDEX(Table13[Quartile],
    MATCH(1,
      (Table13[[#This Row],[OrgName]]=Table13[OrgName]) *
      (Table13[[#This Row],[Month Number]]-1=Table13[Month Number]),
    0)
  ),
"")</f>
        <v>ThirdQuartile</v>
      </c>
      <c r="H502" s="9">
        <f>IF(Table13[[#This Row],[Previous Quartile]]="TopQuartile", 1,
 IF(Table13[[#This Row],[Previous Quartile]]="SecondQuartile", 2,
 IF(Table13[[#This Row],[Previous Quartile]]="ThirdQuartile", 3,
 IF(Table13[[#This Row],[Previous Quartile]]="FourthQuartile", 4, ""))))</f>
        <v>3</v>
      </c>
      <c r="I502" s="9" t="str">
        <f>IF(Table13[[#This Row],[Previous Quartile Value]]="", "",
   IF(Table13[[#This Row],[Quartile Value]] &lt; Table13[[#This Row],[Previous Quartile Value]], "Improved",
   IF(Table13[[#This Row],[Quartile Value]] &gt; Table13[[#This Row],[Previous Quartile Value]], "Dropped", "Same")))</f>
        <v>Same</v>
      </c>
      <c r="J502" s="10" t="s">
        <v>12</v>
      </c>
      <c r="K502" s="7" t="str">
        <f>VLOOKUP(J502,Introduction!$B$6:$C$14,2)</f>
        <v>London</v>
      </c>
      <c r="L502" s="10">
        <v>985</v>
      </c>
      <c r="M502" s="8" t="s">
        <v>530</v>
      </c>
    </row>
    <row r="503" spans="1:13" ht="19.95" customHeight="1" x14ac:dyDescent="0.25">
      <c r="A503" s="41">
        <v>45444</v>
      </c>
      <c r="B503" s="47">
        <f>MONTH(Table13[[#This Row],[YearMonth]])</f>
        <v>6</v>
      </c>
      <c r="C503" s="9" t="s">
        <v>221</v>
      </c>
      <c r="D503" s="6" t="s">
        <v>341</v>
      </c>
      <c r="E503" s="6">
        <f>IF(Table13[[#This Row],[Quartile]]="TopQuartile", 1,
 IF(Table13[[#This Row],[Quartile]]="SecondQuartile", 2,
 IF(Table13[[#This Row],[Quartile]]="ThirdQuartile", 3,
 IF(Table13[[#This Row],[Quartile]]="FourthQuartile", 4, ""))))</f>
        <v>3</v>
      </c>
      <c r="F503" s="9" t="s">
        <v>557</v>
      </c>
      <c r="G503" s="9" t="str" cm="1">
        <f t="array" ref="G503">IFERROR(
  INDEX(Table13[Quartile],
    MATCH(1,
      (Table13[[#This Row],[OrgName]]=Table13[OrgName]) *
      (Table13[[#This Row],[Month Number]]-1=Table13[Month Number]),
    0)
  ),
"")</f>
        <v>FourthQuartile</v>
      </c>
      <c r="H503" s="9">
        <f>IF(Table13[[#This Row],[Previous Quartile]]="TopQuartile", 1,
 IF(Table13[[#This Row],[Previous Quartile]]="SecondQuartile", 2,
 IF(Table13[[#This Row],[Previous Quartile]]="ThirdQuartile", 3,
 IF(Table13[[#This Row],[Previous Quartile]]="FourthQuartile", 4, ""))))</f>
        <v>4</v>
      </c>
      <c r="I503" s="9" t="str">
        <f>IF(Table13[[#This Row],[Previous Quartile Value]]="", "",
   IF(Table13[[#This Row],[Quartile Value]] &lt; Table13[[#This Row],[Previous Quartile Value]], "Improved",
   IF(Table13[[#This Row],[Quartile Value]] &gt; Table13[[#This Row],[Previous Quartile Value]], "Dropped", "Same")))</f>
        <v>Improved</v>
      </c>
      <c r="J503" s="10" t="s">
        <v>16</v>
      </c>
      <c r="K503" s="7" t="str">
        <f>VLOOKUP(J503,Introduction!$B$6:$C$14,2)</f>
        <v>South East</v>
      </c>
      <c r="L503" s="10">
        <v>95</v>
      </c>
      <c r="M503" s="8" t="s">
        <v>530</v>
      </c>
    </row>
    <row r="504" spans="1:13" ht="19.95" customHeight="1" x14ac:dyDescent="0.25">
      <c r="A504" s="41">
        <v>45444</v>
      </c>
      <c r="B504" s="47">
        <f>MONTH(Table13[[#This Row],[YearMonth]])</f>
        <v>6</v>
      </c>
      <c r="C504" s="9" t="s">
        <v>231</v>
      </c>
      <c r="D504" s="6" t="s">
        <v>341</v>
      </c>
      <c r="E504" s="6">
        <f>IF(Table13[[#This Row],[Quartile]]="TopQuartile", 1,
 IF(Table13[[#This Row],[Quartile]]="SecondQuartile", 2,
 IF(Table13[[#This Row],[Quartile]]="ThirdQuartile", 3,
 IF(Table13[[#This Row],[Quartile]]="FourthQuartile", 4, ""))))</f>
        <v>3</v>
      </c>
      <c r="F504" s="9" t="s">
        <v>558</v>
      </c>
      <c r="G504" s="9" t="str" cm="1">
        <f t="array" ref="G504">IFERROR(
  INDEX(Table13[Quartile],
    MATCH(1,
      (Table13[[#This Row],[OrgName]]=Table13[OrgName]) *
      (Table13[[#This Row],[Month Number]]-1=Table13[Month Number]),
    0)
  ),
"")</f>
        <v>ThirdQuartile</v>
      </c>
      <c r="H504" s="9">
        <f>IF(Table13[[#This Row],[Previous Quartile]]="TopQuartile", 1,
 IF(Table13[[#This Row],[Previous Quartile]]="SecondQuartile", 2,
 IF(Table13[[#This Row],[Previous Quartile]]="ThirdQuartile", 3,
 IF(Table13[[#This Row],[Previous Quartile]]="FourthQuartile", 4, ""))))</f>
        <v>3</v>
      </c>
      <c r="I504" s="9" t="str">
        <f>IF(Table13[[#This Row],[Previous Quartile Value]]="", "",
   IF(Table13[[#This Row],[Quartile Value]] &lt; Table13[[#This Row],[Previous Quartile Value]], "Improved",
   IF(Table13[[#This Row],[Quartile Value]] &gt; Table13[[#This Row],[Previous Quartile Value]], "Dropped", "Same")))</f>
        <v>Same</v>
      </c>
      <c r="J504" s="10" t="s">
        <v>12</v>
      </c>
      <c r="K504" s="7" t="str">
        <f>VLOOKUP(J504,Introduction!$B$6:$C$14,2)</f>
        <v>London</v>
      </c>
      <c r="L504" s="10">
        <v>491</v>
      </c>
      <c r="M504" s="8" t="s">
        <v>530</v>
      </c>
    </row>
    <row r="505" spans="1:13" ht="19.95" customHeight="1" x14ac:dyDescent="0.25">
      <c r="A505" s="41">
        <v>45444</v>
      </c>
      <c r="B505" s="47">
        <f>MONTH(Table13[[#This Row],[YearMonth]])</f>
        <v>6</v>
      </c>
      <c r="C505" s="9" t="s">
        <v>234</v>
      </c>
      <c r="D505" s="6" t="s">
        <v>341</v>
      </c>
      <c r="E505" s="6">
        <f>IF(Table13[[#This Row],[Quartile]]="TopQuartile", 1,
 IF(Table13[[#This Row],[Quartile]]="SecondQuartile", 2,
 IF(Table13[[#This Row],[Quartile]]="ThirdQuartile", 3,
 IF(Table13[[#This Row],[Quartile]]="FourthQuartile", 4, ""))))</f>
        <v>3</v>
      </c>
      <c r="F505" s="9" t="s">
        <v>559</v>
      </c>
      <c r="G505" s="9" t="str" cm="1">
        <f t="array" ref="G505">IFERROR(
  INDEX(Table13[Quartile],
    MATCH(1,
      (Table13[[#This Row],[OrgName]]=Table13[OrgName]) *
      (Table13[[#This Row],[Month Number]]-1=Table13[Month Number]),
    0)
  ),
"")</f>
        <v>FourthQuartile</v>
      </c>
      <c r="H505" s="9">
        <f>IF(Table13[[#This Row],[Previous Quartile]]="TopQuartile", 1,
 IF(Table13[[#This Row],[Previous Quartile]]="SecondQuartile", 2,
 IF(Table13[[#This Row],[Previous Quartile]]="ThirdQuartile", 3,
 IF(Table13[[#This Row],[Previous Quartile]]="FourthQuartile", 4, ""))))</f>
        <v>4</v>
      </c>
      <c r="I505" s="9" t="str">
        <f>IF(Table13[[#This Row],[Previous Quartile Value]]="", "",
   IF(Table13[[#This Row],[Quartile Value]] &lt; Table13[[#This Row],[Previous Quartile Value]], "Improved",
   IF(Table13[[#This Row],[Quartile Value]] &gt; Table13[[#This Row],[Previous Quartile Value]], "Dropped", "Same")))</f>
        <v>Improved</v>
      </c>
      <c r="J505" s="10" t="s">
        <v>22</v>
      </c>
      <c r="K505" s="7" t="str">
        <f>VLOOKUP(J505,Introduction!$B$6:$C$14,2)</f>
        <v>North West</v>
      </c>
      <c r="L505" s="10">
        <v>125</v>
      </c>
      <c r="M505" s="8" t="s">
        <v>530</v>
      </c>
    </row>
    <row r="506" spans="1:13" ht="19.95" customHeight="1" x14ac:dyDescent="0.25">
      <c r="A506" s="41">
        <v>45444</v>
      </c>
      <c r="B506" s="47">
        <f>MONTH(Table13[[#This Row],[YearMonth]])</f>
        <v>6</v>
      </c>
      <c r="C506" s="9" t="s">
        <v>247</v>
      </c>
      <c r="D506" s="6" t="s">
        <v>350</v>
      </c>
      <c r="E506" s="6">
        <f>IF(Table13[[#This Row],[Quartile]]="TopQuartile", 1,
 IF(Table13[[#This Row],[Quartile]]="SecondQuartile", 2,
 IF(Table13[[#This Row],[Quartile]]="ThirdQuartile", 3,
 IF(Table13[[#This Row],[Quartile]]="FourthQuartile", 4, ""))))</f>
        <v>4</v>
      </c>
      <c r="F506" s="9" t="s">
        <v>560</v>
      </c>
      <c r="G506" s="9" t="str" cm="1">
        <f t="array" ref="G506">IFERROR(
  INDEX(Table13[Quartile],
    MATCH(1,
      (Table13[[#This Row],[OrgName]]=Table13[OrgName]) *
      (Table13[[#This Row],[Month Number]]-1=Table13[Month Number]),
    0)
  ),
"")</f>
        <v>FourthQuartile</v>
      </c>
      <c r="H506" s="9">
        <f>IF(Table13[[#This Row],[Previous Quartile]]="TopQuartile", 1,
 IF(Table13[[#This Row],[Previous Quartile]]="SecondQuartile", 2,
 IF(Table13[[#This Row],[Previous Quartile]]="ThirdQuartile", 3,
 IF(Table13[[#This Row],[Previous Quartile]]="FourthQuartile", 4, ""))))</f>
        <v>4</v>
      </c>
      <c r="I506" s="9" t="str">
        <f>IF(Table13[[#This Row],[Previous Quartile Value]]="", "",
   IF(Table13[[#This Row],[Quartile Value]] &lt; Table13[[#This Row],[Previous Quartile Value]], "Improved",
   IF(Table13[[#This Row],[Quartile Value]] &gt; Table13[[#This Row],[Previous Quartile Value]], "Dropped", "Same")))</f>
        <v>Same</v>
      </c>
      <c r="J506" s="10" t="s">
        <v>24</v>
      </c>
      <c r="K506" s="7" t="str">
        <f>VLOOKUP(J506,Introduction!$B$6:$C$14,2)</f>
        <v>North East and Yorkshire</v>
      </c>
      <c r="L506" s="10">
        <v>134</v>
      </c>
      <c r="M506" s="8" t="s">
        <v>530</v>
      </c>
    </row>
    <row r="507" spans="1:13" ht="19.95" customHeight="1" x14ac:dyDescent="0.25">
      <c r="A507" s="41">
        <v>45444</v>
      </c>
      <c r="B507" s="47">
        <f>MONTH(Table13[[#This Row],[YearMonth]])</f>
        <v>6</v>
      </c>
      <c r="C507" s="9" t="s">
        <v>265</v>
      </c>
      <c r="D507" s="6" t="s">
        <v>350</v>
      </c>
      <c r="E507" s="6">
        <f>IF(Table13[[#This Row],[Quartile]]="TopQuartile", 1,
 IF(Table13[[#This Row],[Quartile]]="SecondQuartile", 2,
 IF(Table13[[#This Row],[Quartile]]="ThirdQuartile", 3,
 IF(Table13[[#This Row],[Quartile]]="FourthQuartile", 4, ""))))</f>
        <v>4</v>
      </c>
      <c r="F507" s="9" t="s">
        <v>562</v>
      </c>
      <c r="G507" s="9" t="str" cm="1">
        <f t="array" ref="G507">IFERROR(
  INDEX(Table13[Quartile],
    MATCH(1,
      (Table13[[#This Row],[OrgName]]=Table13[OrgName]) *
      (Table13[[#This Row],[Month Number]]-1=Table13[Month Number]),
    0)
  ),
"")</f>
        <v>FourthQuartile</v>
      </c>
      <c r="H507" s="9">
        <f>IF(Table13[[#This Row],[Previous Quartile]]="TopQuartile", 1,
 IF(Table13[[#This Row],[Previous Quartile]]="SecondQuartile", 2,
 IF(Table13[[#This Row],[Previous Quartile]]="ThirdQuartile", 3,
 IF(Table13[[#This Row],[Previous Quartile]]="FourthQuartile", 4, ""))))</f>
        <v>4</v>
      </c>
      <c r="I507" s="9" t="str">
        <f>IF(Table13[[#This Row],[Previous Quartile Value]]="", "",
   IF(Table13[[#This Row],[Quartile Value]] &lt; Table13[[#This Row],[Previous Quartile Value]], "Improved",
   IF(Table13[[#This Row],[Quartile Value]] &gt; Table13[[#This Row],[Previous Quartile Value]], "Dropped", "Same")))</f>
        <v>Same</v>
      </c>
      <c r="J507" s="10" t="s">
        <v>16</v>
      </c>
      <c r="K507" s="7" t="str">
        <f>VLOOKUP(J507,Introduction!$B$6:$C$14,2)</f>
        <v>South East</v>
      </c>
      <c r="L507" s="10">
        <v>256</v>
      </c>
      <c r="M507" s="8" t="s">
        <v>530</v>
      </c>
    </row>
    <row r="508" spans="1:13" ht="19.95" customHeight="1" x14ac:dyDescent="0.25">
      <c r="A508" s="41">
        <v>45444</v>
      </c>
      <c r="B508" s="47">
        <f>MONTH(Table13[[#This Row],[YearMonth]])</f>
        <v>6</v>
      </c>
      <c r="C508" s="9" t="s">
        <v>266</v>
      </c>
      <c r="D508" s="6" t="s">
        <v>350</v>
      </c>
      <c r="E508" s="6">
        <f>IF(Table13[[#This Row],[Quartile]]="TopQuartile", 1,
 IF(Table13[[#This Row],[Quartile]]="SecondQuartile", 2,
 IF(Table13[[#This Row],[Quartile]]="ThirdQuartile", 3,
 IF(Table13[[#This Row],[Quartile]]="FourthQuartile", 4, ""))))</f>
        <v>4</v>
      </c>
      <c r="F508" s="9" t="s">
        <v>563</v>
      </c>
      <c r="G508" s="9" t="str" cm="1">
        <f t="array" ref="G508">IFERROR(
  INDEX(Table13[Quartile],
    MATCH(1,
      (Table13[[#This Row],[OrgName]]=Table13[OrgName]) *
      (Table13[[#This Row],[Month Number]]-1=Table13[Month Number]),
    0)
  ),
"")</f>
        <v>FourthQuartile</v>
      </c>
      <c r="H508" s="9">
        <f>IF(Table13[[#This Row],[Previous Quartile]]="TopQuartile", 1,
 IF(Table13[[#This Row],[Previous Quartile]]="SecondQuartile", 2,
 IF(Table13[[#This Row],[Previous Quartile]]="ThirdQuartile", 3,
 IF(Table13[[#This Row],[Previous Quartile]]="FourthQuartile", 4, ""))))</f>
        <v>4</v>
      </c>
      <c r="I508" s="9" t="str">
        <f>IF(Table13[[#This Row],[Previous Quartile Value]]="", "",
   IF(Table13[[#This Row],[Quartile Value]] &lt; Table13[[#This Row],[Previous Quartile Value]], "Improved",
   IF(Table13[[#This Row],[Quartile Value]] &gt; Table13[[#This Row],[Previous Quartile Value]], "Dropped", "Same")))</f>
        <v>Same</v>
      </c>
      <c r="J508" s="10" t="s">
        <v>12</v>
      </c>
      <c r="K508" s="7" t="str">
        <f>VLOOKUP(J508,Introduction!$B$6:$C$14,2)</f>
        <v>London</v>
      </c>
      <c r="L508" s="10">
        <v>161</v>
      </c>
      <c r="M508" s="8" t="s">
        <v>530</v>
      </c>
    </row>
    <row r="509" spans="1:13" ht="19.95" customHeight="1" x14ac:dyDescent="0.25">
      <c r="A509" s="41">
        <v>45444</v>
      </c>
      <c r="B509" s="47">
        <f>MONTH(Table13[[#This Row],[YearMonth]])</f>
        <v>6</v>
      </c>
      <c r="C509" s="9" t="s">
        <v>272</v>
      </c>
      <c r="D509" s="6" t="s">
        <v>350</v>
      </c>
      <c r="E509" s="6">
        <f>IF(Table13[[#This Row],[Quartile]]="TopQuartile", 1,
 IF(Table13[[#This Row],[Quartile]]="SecondQuartile", 2,
 IF(Table13[[#This Row],[Quartile]]="ThirdQuartile", 3,
 IF(Table13[[#This Row],[Quartile]]="FourthQuartile", 4, ""))))</f>
        <v>4</v>
      </c>
      <c r="F509" s="9" t="s">
        <v>564</v>
      </c>
      <c r="G509" s="9" t="str" cm="1">
        <f t="array" ref="G509">IFERROR(
  INDEX(Table13[Quartile],
    MATCH(1,
      (Table13[[#This Row],[OrgName]]=Table13[OrgName]) *
      (Table13[[#This Row],[Month Number]]-1=Table13[Month Number]),
    0)
  ),
"")</f>
        <v>FourthQuartile</v>
      </c>
      <c r="H509" s="9">
        <f>IF(Table13[[#This Row],[Previous Quartile]]="TopQuartile", 1,
 IF(Table13[[#This Row],[Previous Quartile]]="SecondQuartile", 2,
 IF(Table13[[#This Row],[Previous Quartile]]="ThirdQuartile", 3,
 IF(Table13[[#This Row],[Previous Quartile]]="FourthQuartile", 4, ""))))</f>
        <v>4</v>
      </c>
      <c r="I509" s="9" t="str">
        <f>IF(Table13[[#This Row],[Previous Quartile Value]]="", "",
   IF(Table13[[#This Row],[Quartile Value]] &lt; Table13[[#This Row],[Previous Quartile Value]], "Improved",
   IF(Table13[[#This Row],[Quartile Value]] &gt; Table13[[#This Row],[Previous Quartile Value]], "Dropped", "Same")))</f>
        <v>Same</v>
      </c>
      <c r="J509" s="10" t="s">
        <v>20</v>
      </c>
      <c r="K509" s="7" t="str">
        <f>VLOOKUP(J509,Introduction!$B$6:$C$14,2)</f>
        <v>East of England</v>
      </c>
      <c r="L509" s="10">
        <v>708</v>
      </c>
      <c r="M509" s="8" t="s">
        <v>530</v>
      </c>
    </row>
    <row r="510" spans="1:13" ht="19.95" customHeight="1" x14ac:dyDescent="0.25">
      <c r="A510" s="41">
        <v>45444</v>
      </c>
      <c r="B510" s="47">
        <f>MONTH(Table13[[#This Row],[YearMonth]])</f>
        <v>6</v>
      </c>
      <c r="C510" s="9" t="s">
        <v>275</v>
      </c>
      <c r="D510" s="6" t="s">
        <v>350</v>
      </c>
      <c r="E510" s="6">
        <f>IF(Table13[[#This Row],[Quartile]]="TopQuartile", 1,
 IF(Table13[[#This Row],[Quartile]]="SecondQuartile", 2,
 IF(Table13[[#This Row],[Quartile]]="ThirdQuartile", 3,
 IF(Table13[[#This Row],[Quartile]]="FourthQuartile", 4, ""))))</f>
        <v>4</v>
      </c>
      <c r="F510" s="9" t="s">
        <v>565</v>
      </c>
      <c r="G510" s="9" t="str" cm="1">
        <f t="array" ref="G510">IFERROR(
  INDEX(Table13[Quartile],
    MATCH(1,
      (Table13[[#This Row],[OrgName]]=Table13[OrgName]) *
      (Table13[[#This Row],[Month Number]]-1=Table13[Month Number]),
    0)
  ),
"")</f>
        <v>FourthQuartile</v>
      </c>
      <c r="H510" s="9">
        <f>IF(Table13[[#This Row],[Previous Quartile]]="TopQuartile", 1,
 IF(Table13[[#This Row],[Previous Quartile]]="SecondQuartile", 2,
 IF(Table13[[#This Row],[Previous Quartile]]="ThirdQuartile", 3,
 IF(Table13[[#This Row],[Previous Quartile]]="FourthQuartile", 4, ""))))</f>
        <v>4</v>
      </c>
      <c r="I510" s="9" t="str">
        <f>IF(Table13[[#This Row],[Previous Quartile Value]]="", "",
   IF(Table13[[#This Row],[Quartile Value]] &lt; Table13[[#This Row],[Previous Quartile Value]], "Improved",
   IF(Table13[[#This Row],[Quartile Value]] &gt; Table13[[#This Row],[Previous Quartile Value]], "Dropped", "Same")))</f>
        <v>Same</v>
      </c>
      <c r="J510" s="10" t="s">
        <v>18</v>
      </c>
      <c r="K510" s="7" t="str">
        <f>VLOOKUP(J510,Introduction!$B$6:$C$14,2)</f>
        <v>Midlands</v>
      </c>
      <c r="L510" s="10">
        <v>118</v>
      </c>
      <c r="M510" s="8" t="s">
        <v>530</v>
      </c>
    </row>
    <row r="511" spans="1:13" ht="19.95" customHeight="1" x14ac:dyDescent="0.25">
      <c r="A511" s="41">
        <v>45444</v>
      </c>
      <c r="B511" s="47">
        <f>MONTH(Table13[[#This Row],[YearMonth]])</f>
        <v>6</v>
      </c>
      <c r="C511" s="9" t="s">
        <v>284</v>
      </c>
      <c r="D511" s="6" t="s">
        <v>350</v>
      </c>
      <c r="E511" s="6">
        <f>IF(Table13[[#This Row],[Quartile]]="TopQuartile", 1,
 IF(Table13[[#This Row],[Quartile]]="SecondQuartile", 2,
 IF(Table13[[#This Row],[Quartile]]="ThirdQuartile", 3,
 IF(Table13[[#This Row],[Quartile]]="FourthQuartile", 4, ""))))</f>
        <v>4</v>
      </c>
      <c r="F511" s="9" t="s">
        <v>566</v>
      </c>
      <c r="G511" s="9" t="str" cm="1">
        <f t="array" ref="G511">IFERROR(
  INDEX(Table13[Quartile],
    MATCH(1,
      (Table13[[#This Row],[OrgName]]=Table13[OrgName]) *
      (Table13[[#This Row],[Month Number]]-1=Table13[Month Number]),
    0)
  ),
"")</f>
        <v>FourthQuartile</v>
      </c>
      <c r="H511" s="9">
        <f>IF(Table13[[#This Row],[Previous Quartile]]="TopQuartile", 1,
 IF(Table13[[#This Row],[Previous Quartile]]="SecondQuartile", 2,
 IF(Table13[[#This Row],[Previous Quartile]]="ThirdQuartile", 3,
 IF(Table13[[#This Row],[Previous Quartile]]="FourthQuartile", 4, ""))))</f>
        <v>4</v>
      </c>
      <c r="I511" s="9" t="str">
        <f>IF(Table13[[#This Row],[Previous Quartile Value]]="", "",
   IF(Table13[[#This Row],[Quartile Value]] &lt; Table13[[#This Row],[Previous Quartile Value]], "Improved",
   IF(Table13[[#This Row],[Quartile Value]] &gt; Table13[[#This Row],[Previous Quartile Value]], "Dropped", "Same")))</f>
        <v>Same</v>
      </c>
      <c r="J511" s="10" t="s">
        <v>20</v>
      </c>
      <c r="K511" s="7" t="str">
        <f>VLOOKUP(J511,Introduction!$B$6:$C$14,2)</f>
        <v>East of England</v>
      </c>
      <c r="L511" s="10">
        <v>468</v>
      </c>
      <c r="M511" s="8" t="s">
        <v>530</v>
      </c>
    </row>
    <row r="512" spans="1:13" ht="19.95" customHeight="1" x14ac:dyDescent="0.25">
      <c r="A512" s="41">
        <v>45444</v>
      </c>
      <c r="B512" s="47">
        <f>MONTH(Table13[[#This Row],[YearMonth]])</f>
        <v>6</v>
      </c>
      <c r="C512" s="9" t="s">
        <v>262</v>
      </c>
      <c r="D512" s="6" t="s">
        <v>350</v>
      </c>
      <c r="E512" s="6">
        <f>IF(Table13[[#This Row],[Quartile]]="TopQuartile", 1,
 IF(Table13[[#This Row],[Quartile]]="SecondQuartile", 2,
 IF(Table13[[#This Row],[Quartile]]="ThirdQuartile", 3,
 IF(Table13[[#This Row],[Quartile]]="FourthQuartile", 4, ""))))</f>
        <v>4</v>
      </c>
      <c r="F512" s="9" t="s">
        <v>561</v>
      </c>
      <c r="G512" s="9" t="str" cm="1">
        <f t="array" ref="G512">IFERROR(
  INDEX(Table13[Quartile],
    MATCH(1,
      (Table13[[#This Row],[OrgName]]=Table13[OrgName]) *
      (Table13[[#This Row],[Month Number]]-1=Table13[Month Number]),
    0)
  ),
"")</f>
        <v>FourthQuartile</v>
      </c>
      <c r="H512" s="9">
        <f>IF(Table13[[#This Row],[Previous Quartile]]="TopQuartile", 1,
 IF(Table13[[#This Row],[Previous Quartile]]="SecondQuartile", 2,
 IF(Table13[[#This Row],[Previous Quartile]]="ThirdQuartile", 3,
 IF(Table13[[#This Row],[Previous Quartile]]="FourthQuartile", 4, ""))))</f>
        <v>4</v>
      </c>
      <c r="I512" s="9" t="str">
        <f>IF(Table13[[#This Row],[Previous Quartile Value]]="", "",
   IF(Table13[[#This Row],[Quartile Value]] &lt; Table13[[#This Row],[Previous Quartile Value]], "Improved",
   IF(Table13[[#This Row],[Quartile Value]] &gt; Table13[[#This Row],[Previous Quartile Value]], "Dropped", "Same")))</f>
        <v>Same</v>
      </c>
      <c r="J512" s="10" t="s">
        <v>22</v>
      </c>
      <c r="K512" s="7" t="str">
        <f>VLOOKUP(J512,Introduction!$B$6:$C$14,2)</f>
        <v>North West</v>
      </c>
      <c r="L512" s="10">
        <v>896</v>
      </c>
      <c r="M512" s="8" t="s">
        <v>530</v>
      </c>
    </row>
    <row r="513" spans="1:13" ht="19.95" customHeight="1" x14ac:dyDescent="0.25">
      <c r="A513" s="41">
        <v>45444</v>
      </c>
      <c r="B513" s="47">
        <f>MONTH(Table13[[#This Row],[YearMonth]])</f>
        <v>6</v>
      </c>
      <c r="C513" s="9" t="s">
        <v>302</v>
      </c>
      <c r="D513" s="6" t="s">
        <v>350</v>
      </c>
      <c r="E513" s="6">
        <f>IF(Table13[[#This Row],[Quartile]]="TopQuartile", 1,
 IF(Table13[[#This Row],[Quartile]]="SecondQuartile", 2,
 IF(Table13[[#This Row],[Quartile]]="ThirdQuartile", 3,
 IF(Table13[[#This Row],[Quartile]]="FourthQuartile", 4, ""))))</f>
        <v>4</v>
      </c>
      <c r="F513" s="9" t="s">
        <v>567</v>
      </c>
      <c r="G513" s="9" t="str" cm="1">
        <f t="array" ref="G513">IFERROR(
  INDEX(Table13[Quartile],
    MATCH(1,
      (Table13[[#This Row],[OrgName]]=Table13[OrgName]) *
      (Table13[[#This Row],[Month Number]]-1=Table13[Month Number]),
    0)
  ),
"")</f>
        <v>FourthQuartile</v>
      </c>
      <c r="H513" s="9">
        <f>IF(Table13[[#This Row],[Previous Quartile]]="TopQuartile", 1,
 IF(Table13[[#This Row],[Previous Quartile]]="SecondQuartile", 2,
 IF(Table13[[#This Row],[Previous Quartile]]="ThirdQuartile", 3,
 IF(Table13[[#This Row],[Previous Quartile]]="FourthQuartile", 4, ""))))</f>
        <v>4</v>
      </c>
      <c r="I513" s="9" t="str">
        <f>IF(Table13[[#This Row],[Previous Quartile Value]]="", "",
   IF(Table13[[#This Row],[Quartile Value]] &lt; Table13[[#This Row],[Previous Quartile Value]], "Improved",
   IF(Table13[[#This Row],[Quartile Value]] &gt; Table13[[#This Row],[Previous Quartile Value]], "Dropped", "Same")))</f>
        <v>Same</v>
      </c>
      <c r="J513" s="10" t="s">
        <v>24</v>
      </c>
      <c r="K513" s="7" t="str">
        <f>VLOOKUP(J513,Introduction!$B$6:$C$14,2)</f>
        <v>North East and Yorkshire</v>
      </c>
      <c r="L513" s="10">
        <v>475</v>
      </c>
      <c r="M513" s="8" t="s">
        <v>530</v>
      </c>
    </row>
    <row r="514" spans="1:13" ht="19.95" customHeight="1" x14ac:dyDescent="0.25">
      <c r="A514" s="41">
        <v>45444</v>
      </c>
      <c r="B514" s="47">
        <f>MONTH(Table13[[#This Row],[YearMonth]])</f>
        <v>6</v>
      </c>
      <c r="C514" s="9" t="s">
        <v>304</v>
      </c>
      <c r="D514" s="6" t="s">
        <v>350</v>
      </c>
      <c r="E514" s="6">
        <f>IF(Table13[[#This Row],[Quartile]]="TopQuartile", 1,
 IF(Table13[[#This Row],[Quartile]]="SecondQuartile", 2,
 IF(Table13[[#This Row],[Quartile]]="ThirdQuartile", 3,
 IF(Table13[[#This Row],[Quartile]]="FourthQuartile", 4, ""))))</f>
        <v>4</v>
      </c>
      <c r="F514" s="9" t="s">
        <v>569</v>
      </c>
      <c r="G514" s="9" t="str" cm="1">
        <f t="array" ref="G514">IFERROR(
  INDEX(Table13[Quartile],
    MATCH(1,
      (Table13[[#This Row],[OrgName]]=Table13[OrgName]) *
      (Table13[[#This Row],[Month Number]]-1=Table13[Month Number]),
    0)
  ),
"")</f>
        <v>FourthQuartile</v>
      </c>
      <c r="H514" s="9">
        <f>IF(Table13[[#This Row],[Previous Quartile]]="TopQuartile", 1,
 IF(Table13[[#This Row],[Previous Quartile]]="SecondQuartile", 2,
 IF(Table13[[#This Row],[Previous Quartile]]="ThirdQuartile", 3,
 IF(Table13[[#This Row],[Previous Quartile]]="FourthQuartile", 4, ""))))</f>
        <v>4</v>
      </c>
      <c r="I514" s="9" t="str">
        <f>IF(Table13[[#This Row],[Previous Quartile Value]]="", "",
   IF(Table13[[#This Row],[Quartile Value]] &lt; Table13[[#This Row],[Previous Quartile Value]], "Improved",
   IF(Table13[[#This Row],[Quartile Value]] &gt; Table13[[#This Row],[Previous Quartile Value]], "Dropped", "Same")))</f>
        <v>Same</v>
      </c>
      <c r="J514" s="10" t="s">
        <v>20</v>
      </c>
      <c r="K514" s="7" t="str">
        <f>VLOOKUP(J514,Introduction!$B$6:$C$14,2)</f>
        <v>East of England</v>
      </c>
      <c r="L514" s="10">
        <v>710</v>
      </c>
      <c r="M514" s="8" t="s">
        <v>530</v>
      </c>
    </row>
    <row r="515" spans="1:13" ht="19.95" customHeight="1" x14ac:dyDescent="0.25">
      <c r="A515" s="41">
        <v>45444</v>
      </c>
      <c r="B515" s="47">
        <f>MONTH(Table13[[#This Row],[YearMonth]])</f>
        <v>6</v>
      </c>
      <c r="C515" s="9" t="s">
        <v>303</v>
      </c>
      <c r="D515" s="6" t="s">
        <v>350</v>
      </c>
      <c r="E515" s="6">
        <f>IF(Table13[[#This Row],[Quartile]]="TopQuartile", 1,
 IF(Table13[[#This Row],[Quartile]]="SecondQuartile", 2,
 IF(Table13[[#This Row],[Quartile]]="ThirdQuartile", 3,
 IF(Table13[[#This Row],[Quartile]]="FourthQuartile", 4, ""))))</f>
        <v>4</v>
      </c>
      <c r="F515" s="9" t="s">
        <v>568</v>
      </c>
      <c r="G515" s="9" t="str" cm="1">
        <f t="array" ref="G515">IFERROR(
  INDEX(Table13[Quartile],
    MATCH(1,
      (Table13[[#This Row],[OrgName]]=Table13[OrgName]) *
      (Table13[[#This Row],[Month Number]]-1=Table13[Month Number]),
    0)
  ),
"")</f>
        <v>FourthQuartile</v>
      </c>
      <c r="H515" s="9">
        <f>IF(Table13[[#This Row],[Previous Quartile]]="TopQuartile", 1,
 IF(Table13[[#This Row],[Previous Quartile]]="SecondQuartile", 2,
 IF(Table13[[#This Row],[Previous Quartile]]="ThirdQuartile", 3,
 IF(Table13[[#This Row],[Previous Quartile]]="FourthQuartile", 4, ""))))</f>
        <v>4</v>
      </c>
      <c r="I515" s="9" t="str">
        <f>IF(Table13[[#This Row],[Previous Quartile Value]]="", "",
   IF(Table13[[#This Row],[Quartile Value]] &lt; Table13[[#This Row],[Previous Quartile Value]], "Improved",
   IF(Table13[[#This Row],[Quartile Value]] &gt; Table13[[#This Row],[Previous Quartile Value]], "Dropped", "Same")))</f>
        <v>Same</v>
      </c>
      <c r="J515" s="10" t="s">
        <v>14</v>
      </c>
      <c r="K515" s="7" t="str">
        <f>VLOOKUP(J515,Introduction!$B$6:$C$14,2)</f>
        <v>South West</v>
      </c>
      <c r="L515" s="10">
        <v>467</v>
      </c>
      <c r="M515" s="8" t="s">
        <v>530</v>
      </c>
    </row>
    <row r="516" spans="1:13" ht="19.95" customHeight="1" x14ac:dyDescent="0.25">
      <c r="A516" s="41">
        <v>45444</v>
      </c>
      <c r="B516" s="47">
        <f>MONTH(Table13[[#This Row],[YearMonth]])</f>
        <v>6</v>
      </c>
      <c r="C516" s="9" t="s">
        <v>311</v>
      </c>
      <c r="D516" s="6" t="s">
        <v>350</v>
      </c>
      <c r="E516" s="6">
        <f>IF(Table13[[#This Row],[Quartile]]="TopQuartile", 1,
 IF(Table13[[#This Row],[Quartile]]="SecondQuartile", 2,
 IF(Table13[[#This Row],[Quartile]]="ThirdQuartile", 3,
 IF(Table13[[#This Row],[Quartile]]="FourthQuartile", 4, ""))))</f>
        <v>4</v>
      </c>
      <c r="F516" s="9" t="s">
        <v>570</v>
      </c>
      <c r="G516" s="9" t="str" cm="1">
        <f t="array" ref="G516">IFERROR(
  INDEX(Table13[Quartile],
    MATCH(1,
      (Table13[[#This Row],[OrgName]]=Table13[OrgName]) *
      (Table13[[#This Row],[Month Number]]-1=Table13[Month Number]),
    0)
  ),
"")</f>
        <v>FourthQuartile</v>
      </c>
      <c r="H516" s="9">
        <f>IF(Table13[[#This Row],[Previous Quartile]]="TopQuartile", 1,
 IF(Table13[[#This Row],[Previous Quartile]]="SecondQuartile", 2,
 IF(Table13[[#This Row],[Previous Quartile]]="ThirdQuartile", 3,
 IF(Table13[[#This Row],[Previous Quartile]]="FourthQuartile", 4, ""))))</f>
        <v>4</v>
      </c>
      <c r="I516" s="9" t="str">
        <f>IF(Table13[[#This Row],[Previous Quartile Value]]="", "",
   IF(Table13[[#This Row],[Quartile Value]] &lt; Table13[[#This Row],[Previous Quartile Value]], "Improved",
   IF(Table13[[#This Row],[Quartile Value]] &gt; Table13[[#This Row],[Previous Quartile Value]], "Dropped", "Same")))</f>
        <v>Same</v>
      </c>
      <c r="J516" s="10" t="s">
        <v>24</v>
      </c>
      <c r="K516" s="7" t="str">
        <f>VLOOKUP(J516,Introduction!$B$6:$C$14,2)</f>
        <v>North East and Yorkshire</v>
      </c>
      <c r="L516" s="10">
        <v>857</v>
      </c>
      <c r="M516" s="8" t="s">
        <v>530</v>
      </c>
    </row>
    <row r="517" spans="1:13" ht="19.95" customHeight="1" x14ac:dyDescent="0.25">
      <c r="A517" s="41">
        <v>45444</v>
      </c>
      <c r="B517" s="47">
        <f>MONTH(Table13[[#This Row],[YearMonth]])</f>
        <v>6</v>
      </c>
      <c r="C517" s="9" t="s">
        <v>312</v>
      </c>
      <c r="D517" s="6" t="s">
        <v>350</v>
      </c>
      <c r="E517" s="6">
        <f>IF(Table13[[#This Row],[Quartile]]="TopQuartile", 1,
 IF(Table13[[#This Row],[Quartile]]="SecondQuartile", 2,
 IF(Table13[[#This Row],[Quartile]]="ThirdQuartile", 3,
 IF(Table13[[#This Row],[Quartile]]="FourthQuartile", 4, ""))))</f>
        <v>4</v>
      </c>
      <c r="F517" s="9" t="s">
        <v>571</v>
      </c>
      <c r="G517" s="9" t="str" cm="1">
        <f t="array" ref="G517">IFERROR(
  INDEX(Table13[Quartile],
    MATCH(1,
      (Table13[[#This Row],[OrgName]]=Table13[OrgName]) *
      (Table13[[#This Row],[Month Number]]-1=Table13[Month Number]),
    0)
  ),
"")</f>
        <v>FourthQuartile</v>
      </c>
      <c r="H517" s="9">
        <f>IF(Table13[[#This Row],[Previous Quartile]]="TopQuartile", 1,
 IF(Table13[[#This Row],[Previous Quartile]]="SecondQuartile", 2,
 IF(Table13[[#This Row],[Previous Quartile]]="ThirdQuartile", 3,
 IF(Table13[[#This Row],[Previous Quartile]]="FourthQuartile", 4, ""))))</f>
        <v>4</v>
      </c>
      <c r="I517" s="9" t="str">
        <f>IF(Table13[[#This Row],[Previous Quartile Value]]="", "",
   IF(Table13[[#This Row],[Quartile Value]] &lt; Table13[[#This Row],[Previous Quartile Value]], "Improved",
   IF(Table13[[#This Row],[Quartile Value]] &gt; Table13[[#This Row],[Previous Quartile Value]], "Dropped", "Same")))</f>
        <v>Same</v>
      </c>
      <c r="J517" s="10" t="s">
        <v>20</v>
      </c>
      <c r="K517" s="7" t="str">
        <f>VLOOKUP(J517,Introduction!$B$6:$C$14,2)</f>
        <v>East of England</v>
      </c>
      <c r="L517" s="10">
        <v>644</v>
      </c>
      <c r="M517" s="8" t="s">
        <v>530</v>
      </c>
    </row>
    <row r="518" spans="1:13" ht="19.95" customHeight="1" x14ac:dyDescent="0.25">
      <c r="A518" s="41">
        <v>45444</v>
      </c>
      <c r="B518" s="47">
        <f>MONTH(Table13[[#This Row],[YearMonth]])</f>
        <v>6</v>
      </c>
      <c r="C518" s="9" t="s">
        <v>34</v>
      </c>
      <c r="D518" s="6" t="s">
        <v>330</v>
      </c>
      <c r="E518" s="6">
        <f>IF(Table13[[#This Row],[Quartile]]="TopQuartile", 1,
 IF(Table13[[#This Row],[Quartile]]="SecondQuartile", 2,
 IF(Table13[[#This Row],[Quartile]]="ThirdQuartile", 3,
 IF(Table13[[#This Row],[Quartile]]="FourthQuartile", 4, ""))))</f>
        <v>1</v>
      </c>
      <c r="F518" s="9" t="s">
        <v>572</v>
      </c>
      <c r="G518" s="9" t="str" cm="1">
        <f t="array" ref="G518">IFERROR(
  INDEX(Table13[Quartile],
    MATCH(1,
      (Table13[[#This Row],[OrgName]]=Table13[OrgName]) *
      (Table13[[#This Row],[Month Number]]-1=Table13[Month Number]),
    0)
  ),
"")</f>
        <v>TopQuartile</v>
      </c>
      <c r="H518" s="9">
        <f>IF(Table13[[#This Row],[Previous Quartile]]="TopQuartile", 1,
 IF(Table13[[#This Row],[Previous Quartile]]="SecondQuartile", 2,
 IF(Table13[[#This Row],[Previous Quartile]]="ThirdQuartile", 3,
 IF(Table13[[#This Row],[Previous Quartile]]="FourthQuartile", 4, ""))))</f>
        <v>1</v>
      </c>
      <c r="I518" s="9" t="str">
        <f>IF(Table13[[#This Row],[Previous Quartile Value]]="", "",
   IF(Table13[[#This Row],[Quartile Value]] &lt; Table13[[#This Row],[Previous Quartile Value]], "Improved",
   IF(Table13[[#This Row],[Quartile Value]] &gt; Table13[[#This Row],[Previous Quartile Value]], "Dropped", "Same")))</f>
        <v>Same</v>
      </c>
      <c r="J518" s="10" t="s">
        <v>14</v>
      </c>
      <c r="K518" s="7" t="str">
        <f>VLOOKUP(J518,Introduction!$B$6:$C$14,2)</f>
        <v>South West</v>
      </c>
      <c r="L518" s="10">
        <v>201</v>
      </c>
      <c r="M518" s="8" t="s">
        <v>573</v>
      </c>
    </row>
    <row r="519" spans="1:13" ht="19.95" customHeight="1" x14ac:dyDescent="0.25">
      <c r="A519" s="41">
        <v>45444</v>
      </c>
      <c r="B519" s="47">
        <f>MONTH(Table13[[#This Row],[YearMonth]])</f>
        <v>6</v>
      </c>
      <c r="C519" s="9" t="s">
        <v>36</v>
      </c>
      <c r="D519" s="6" t="s">
        <v>330</v>
      </c>
      <c r="E519" s="6">
        <f>IF(Table13[[#This Row],[Quartile]]="TopQuartile", 1,
 IF(Table13[[#This Row],[Quartile]]="SecondQuartile", 2,
 IF(Table13[[#This Row],[Quartile]]="ThirdQuartile", 3,
 IF(Table13[[#This Row],[Quartile]]="FourthQuartile", 4, ""))))</f>
        <v>1</v>
      </c>
      <c r="F519" s="9" t="s">
        <v>574</v>
      </c>
      <c r="G519" s="9" t="str" cm="1">
        <f t="array" ref="G519">IFERROR(
  INDEX(Table13[Quartile],
    MATCH(1,
      (Table13[[#This Row],[OrgName]]=Table13[OrgName]) *
      (Table13[[#This Row],[Month Number]]-1=Table13[Month Number]),
    0)
  ),
"")</f>
        <v>TopQuartile</v>
      </c>
      <c r="H519" s="9">
        <f>IF(Table13[[#This Row],[Previous Quartile]]="TopQuartile", 1,
 IF(Table13[[#This Row],[Previous Quartile]]="SecondQuartile", 2,
 IF(Table13[[#This Row],[Previous Quartile]]="ThirdQuartile", 3,
 IF(Table13[[#This Row],[Previous Quartile]]="FourthQuartile", 4, ""))))</f>
        <v>1</v>
      </c>
      <c r="I519" s="9" t="str">
        <f>IF(Table13[[#This Row],[Previous Quartile Value]]="", "",
   IF(Table13[[#This Row],[Quartile Value]] &lt; Table13[[#This Row],[Previous Quartile Value]], "Improved",
   IF(Table13[[#This Row],[Quartile Value]] &gt; Table13[[#This Row],[Previous Quartile Value]], "Dropped", "Same")))</f>
        <v>Same</v>
      </c>
      <c r="J519" s="10" t="s">
        <v>18</v>
      </c>
      <c r="K519" s="7" t="str">
        <f>VLOOKUP(J519,Introduction!$B$6:$C$14,2)</f>
        <v>Midlands</v>
      </c>
      <c r="L519" s="10">
        <v>274</v>
      </c>
      <c r="M519" s="8" t="s">
        <v>573</v>
      </c>
    </row>
    <row r="520" spans="1:13" ht="19.95" customHeight="1" x14ac:dyDescent="0.25">
      <c r="A520" s="41">
        <v>45444</v>
      </c>
      <c r="B520" s="47">
        <f>MONTH(Table13[[#This Row],[YearMonth]])</f>
        <v>6</v>
      </c>
      <c r="C520" s="9" t="s">
        <v>38</v>
      </c>
      <c r="D520" s="6" t="s">
        <v>330</v>
      </c>
      <c r="E520" s="6">
        <f>IF(Table13[[#This Row],[Quartile]]="TopQuartile", 1,
 IF(Table13[[#This Row],[Quartile]]="SecondQuartile", 2,
 IF(Table13[[#This Row],[Quartile]]="ThirdQuartile", 3,
 IF(Table13[[#This Row],[Quartile]]="FourthQuartile", 4, ""))))</f>
        <v>1</v>
      </c>
      <c r="F520" s="9" t="s">
        <v>575</v>
      </c>
      <c r="G520" s="9" t="str" cm="1">
        <f t="array" ref="G520">IFERROR(
  INDEX(Table13[Quartile],
    MATCH(1,
      (Table13[[#This Row],[OrgName]]=Table13[OrgName]) *
      (Table13[[#This Row],[Month Number]]-1=Table13[Month Number]),
    0)
  ),
"")</f>
        <v>TopQuartile</v>
      </c>
      <c r="H520" s="9">
        <f>IF(Table13[[#This Row],[Previous Quartile]]="TopQuartile", 1,
 IF(Table13[[#This Row],[Previous Quartile]]="SecondQuartile", 2,
 IF(Table13[[#This Row],[Previous Quartile]]="ThirdQuartile", 3,
 IF(Table13[[#This Row],[Previous Quartile]]="FourthQuartile", 4, ""))))</f>
        <v>1</v>
      </c>
      <c r="I520" s="9" t="str">
        <f>IF(Table13[[#This Row],[Previous Quartile Value]]="", "",
   IF(Table13[[#This Row],[Quartile Value]] &lt; Table13[[#This Row],[Previous Quartile Value]], "Improved",
   IF(Table13[[#This Row],[Quartile Value]] &gt; Table13[[#This Row],[Previous Quartile Value]], "Dropped", "Same")))</f>
        <v>Same</v>
      </c>
      <c r="J520" s="10" t="s">
        <v>16</v>
      </c>
      <c r="K520" s="7" t="str">
        <f>VLOOKUP(J520,Introduction!$B$6:$C$14,2)</f>
        <v>South East</v>
      </c>
      <c r="L520" s="10">
        <v>354</v>
      </c>
      <c r="M520" s="8" t="s">
        <v>573</v>
      </c>
    </row>
    <row r="521" spans="1:13" ht="19.95" customHeight="1" x14ac:dyDescent="0.25">
      <c r="A521" s="41">
        <v>45444</v>
      </c>
      <c r="B521" s="47">
        <f>MONTH(Table13[[#This Row],[YearMonth]])</f>
        <v>6</v>
      </c>
      <c r="C521" s="9" t="s">
        <v>49</v>
      </c>
      <c r="D521" s="6" t="s">
        <v>330</v>
      </c>
      <c r="E521" s="6">
        <f>IF(Table13[[#This Row],[Quartile]]="TopQuartile", 1,
 IF(Table13[[#This Row],[Quartile]]="SecondQuartile", 2,
 IF(Table13[[#This Row],[Quartile]]="ThirdQuartile", 3,
 IF(Table13[[#This Row],[Quartile]]="FourthQuartile", 4, ""))))</f>
        <v>1</v>
      </c>
      <c r="F521" s="9" t="s">
        <v>577</v>
      </c>
      <c r="G521" s="9" t="str" cm="1">
        <f t="array" ref="G521">IFERROR(
  INDEX(Table13[Quartile],
    MATCH(1,
      (Table13[[#This Row],[OrgName]]=Table13[OrgName]) *
      (Table13[[#This Row],[Month Number]]-1=Table13[Month Number]),
    0)
  ),
"")</f>
        <v>TopQuartile</v>
      </c>
      <c r="H521" s="9">
        <f>IF(Table13[[#This Row],[Previous Quartile]]="TopQuartile", 1,
 IF(Table13[[#This Row],[Previous Quartile]]="SecondQuartile", 2,
 IF(Table13[[#This Row],[Previous Quartile]]="ThirdQuartile", 3,
 IF(Table13[[#This Row],[Previous Quartile]]="FourthQuartile", 4, ""))))</f>
        <v>1</v>
      </c>
      <c r="I521" s="9" t="str">
        <f>IF(Table13[[#This Row],[Previous Quartile Value]]="", "",
   IF(Table13[[#This Row],[Quartile Value]] &lt; Table13[[#This Row],[Previous Quartile Value]], "Improved",
   IF(Table13[[#This Row],[Quartile Value]] &gt; Table13[[#This Row],[Previous Quartile Value]], "Dropped", "Same")))</f>
        <v>Same</v>
      </c>
      <c r="J521" s="10" t="s">
        <v>24</v>
      </c>
      <c r="K521" s="7" t="str">
        <f>VLOOKUP(J521,Introduction!$B$6:$C$14,2)</f>
        <v>North East and Yorkshire</v>
      </c>
      <c r="L521" s="10">
        <v>263</v>
      </c>
      <c r="M521" s="8" t="s">
        <v>573</v>
      </c>
    </row>
    <row r="522" spans="1:13" ht="19.95" customHeight="1" x14ac:dyDescent="0.25">
      <c r="A522" s="41">
        <v>45444</v>
      </c>
      <c r="B522" s="47">
        <f>MONTH(Table13[[#This Row],[YearMonth]])</f>
        <v>6</v>
      </c>
      <c r="C522" s="9" t="s">
        <v>58</v>
      </c>
      <c r="D522" s="6" t="s">
        <v>330</v>
      </c>
      <c r="E522" s="6">
        <f>IF(Table13[[#This Row],[Quartile]]="TopQuartile", 1,
 IF(Table13[[#This Row],[Quartile]]="SecondQuartile", 2,
 IF(Table13[[#This Row],[Quartile]]="ThirdQuartile", 3,
 IF(Table13[[#This Row],[Quartile]]="FourthQuartile", 4, ""))))</f>
        <v>1</v>
      </c>
      <c r="F522" s="9" t="s">
        <v>578</v>
      </c>
      <c r="G522" s="9" t="str" cm="1">
        <f t="array" ref="G522">IFERROR(
  INDEX(Table13[Quartile],
    MATCH(1,
      (Table13[[#This Row],[OrgName]]=Table13[OrgName]) *
      (Table13[[#This Row],[Month Number]]-1=Table13[Month Number]),
    0)
  ),
"")</f>
        <v>TopQuartile</v>
      </c>
      <c r="H522" s="9">
        <f>IF(Table13[[#This Row],[Previous Quartile]]="TopQuartile", 1,
 IF(Table13[[#This Row],[Previous Quartile]]="SecondQuartile", 2,
 IF(Table13[[#This Row],[Previous Quartile]]="ThirdQuartile", 3,
 IF(Table13[[#This Row],[Previous Quartile]]="FourthQuartile", 4, ""))))</f>
        <v>1</v>
      </c>
      <c r="I522" s="9" t="str">
        <f>IF(Table13[[#This Row],[Previous Quartile Value]]="", "",
   IF(Table13[[#This Row],[Quartile Value]] &lt; Table13[[#This Row],[Previous Quartile Value]], "Improved",
   IF(Table13[[#This Row],[Quartile Value]] &gt; Table13[[#This Row],[Previous Quartile Value]], "Dropped", "Same")))</f>
        <v>Same</v>
      </c>
      <c r="J522" s="10" t="s">
        <v>24</v>
      </c>
      <c r="K522" s="7" t="str">
        <f>VLOOKUP(J522,Introduction!$B$6:$C$14,2)</f>
        <v>North East and Yorkshire</v>
      </c>
      <c r="L522" s="10">
        <v>376</v>
      </c>
      <c r="M522" s="8" t="s">
        <v>573</v>
      </c>
    </row>
    <row r="523" spans="1:13" ht="19.95" customHeight="1" x14ac:dyDescent="0.25">
      <c r="A523" s="41">
        <v>45444</v>
      </c>
      <c r="B523" s="47">
        <f>MONTH(Table13[[#This Row],[YearMonth]])</f>
        <v>6</v>
      </c>
      <c r="C523" s="9" t="s">
        <v>62</v>
      </c>
      <c r="D523" s="6" t="s">
        <v>330</v>
      </c>
      <c r="E523" s="6">
        <f>IF(Table13[[#This Row],[Quartile]]="TopQuartile", 1,
 IF(Table13[[#This Row],[Quartile]]="SecondQuartile", 2,
 IF(Table13[[#This Row],[Quartile]]="ThirdQuartile", 3,
 IF(Table13[[#This Row],[Quartile]]="FourthQuartile", 4, ""))))</f>
        <v>1</v>
      </c>
      <c r="F523" s="9" t="s">
        <v>579</v>
      </c>
      <c r="G523" s="9" t="str" cm="1">
        <f t="array" ref="G523">IFERROR(
  INDEX(Table13[Quartile],
    MATCH(1,
      (Table13[[#This Row],[OrgName]]=Table13[OrgName]) *
      (Table13[[#This Row],[Month Number]]-1=Table13[Month Number]),
    0)
  ),
"")</f>
        <v>TopQuartile</v>
      </c>
      <c r="H523" s="9">
        <f>IF(Table13[[#This Row],[Previous Quartile]]="TopQuartile", 1,
 IF(Table13[[#This Row],[Previous Quartile]]="SecondQuartile", 2,
 IF(Table13[[#This Row],[Previous Quartile]]="ThirdQuartile", 3,
 IF(Table13[[#This Row],[Previous Quartile]]="FourthQuartile", 4, ""))))</f>
        <v>1</v>
      </c>
      <c r="I523" s="9" t="str">
        <f>IF(Table13[[#This Row],[Previous Quartile Value]]="", "",
   IF(Table13[[#This Row],[Quartile Value]] &lt; Table13[[#This Row],[Previous Quartile Value]], "Improved",
   IF(Table13[[#This Row],[Quartile Value]] &gt; Table13[[#This Row],[Previous Quartile Value]], "Dropped", "Same")))</f>
        <v>Same</v>
      </c>
      <c r="J523" s="10" t="s">
        <v>22</v>
      </c>
      <c r="K523" s="7" t="str">
        <f>VLOOKUP(J523,Introduction!$B$6:$C$14,2)</f>
        <v>North West</v>
      </c>
      <c r="L523" s="10">
        <v>373</v>
      </c>
      <c r="M523" s="8" t="s">
        <v>573</v>
      </c>
    </row>
    <row r="524" spans="1:13" ht="19.95" customHeight="1" x14ac:dyDescent="0.25">
      <c r="A524" s="41">
        <v>45444</v>
      </c>
      <c r="B524" s="47">
        <f>MONTH(Table13[[#This Row],[YearMonth]])</f>
        <v>6</v>
      </c>
      <c r="C524" s="9" t="s">
        <v>67</v>
      </c>
      <c r="D524" s="6" t="s">
        <v>330</v>
      </c>
      <c r="E524" s="6">
        <f>IF(Table13[[#This Row],[Quartile]]="TopQuartile", 1,
 IF(Table13[[#This Row],[Quartile]]="SecondQuartile", 2,
 IF(Table13[[#This Row],[Quartile]]="ThirdQuartile", 3,
 IF(Table13[[#This Row],[Quartile]]="FourthQuartile", 4, ""))))</f>
        <v>1</v>
      </c>
      <c r="F524" s="9" t="s">
        <v>580</v>
      </c>
      <c r="G524" s="9" t="str" cm="1">
        <f t="array" ref="G524">IFERROR(
  INDEX(Table13[Quartile],
    MATCH(1,
      (Table13[[#This Row],[OrgName]]=Table13[OrgName]) *
      (Table13[[#This Row],[Month Number]]-1=Table13[Month Number]),
    0)
  ),
"")</f>
        <v>TopQuartile</v>
      </c>
      <c r="H524" s="9">
        <f>IF(Table13[[#This Row],[Previous Quartile]]="TopQuartile", 1,
 IF(Table13[[#This Row],[Previous Quartile]]="SecondQuartile", 2,
 IF(Table13[[#This Row],[Previous Quartile]]="ThirdQuartile", 3,
 IF(Table13[[#This Row],[Previous Quartile]]="FourthQuartile", 4, ""))))</f>
        <v>1</v>
      </c>
      <c r="I524" s="9" t="str">
        <f>IF(Table13[[#This Row],[Previous Quartile Value]]="", "",
   IF(Table13[[#This Row],[Quartile Value]] &lt; Table13[[#This Row],[Previous Quartile Value]], "Improved",
   IF(Table13[[#This Row],[Quartile Value]] &gt; Table13[[#This Row],[Previous Quartile Value]], "Dropped", "Same")))</f>
        <v>Same</v>
      </c>
      <c r="J524" s="10" t="s">
        <v>22</v>
      </c>
      <c r="K524" s="7" t="str">
        <f>VLOOKUP(J524,Introduction!$B$6:$C$14,2)</f>
        <v>North West</v>
      </c>
      <c r="L524" s="10">
        <v>311</v>
      </c>
      <c r="M524" s="8" t="s">
        <v>573</v>
      </c>
    </row>
    <row r="525" spans="1:13" ht="19.95" customHeight="1" x14ac:dyDescent="0.25">
      <c r="A525" s="41">
        <v>45444</v>
      </c>
      <c r="B525" s="47">
        <f>MONTH(Table13[[#This Row],[YearMonth]])</f>
        <v>6</v>
      </c>
      <c r="C525" s="9" t="s">
        <v>70</v>
      </c>
      <c r="D525" s="6" t="s">
        <v>330</v>
      </c>
      <c r="E525" s="6">
        <f>IF(Table13[[#This Row],[Quartile]]="TopQuartile", 1,
 IF(Table13[[#This Row],[Quartile]]="SecondQuartile", 2,
 IF(Table13[[#This Row],[Quartile]]="ThirdQuartile", 3,
 IF(Table13[[#This Row],[Quartile]]="FourthQuartile", 4, ""))))</f>
        <v>1</v>
      </c>
      <c r="F525" s="9" t="s">
        <v>581</v>
      </c>
      <c r="G525" s="9" t="str" cm="1">
        <f t="array" ref="G525">IFERROR(
  INDEX(Table13[Quartile],
    MATCH(1,
      (Table13[[#This Row],[OrgName]]=Table13[OrgName]) *
      (Table13[[#This Row],[Month Number]]-1=Table13[Month Number]),
    0)
  ),
"")</f>
        <v>TopQuartile</v>
      </c>
      <c r="H525" s="9">
        <f>IF(Table13[[#This Row],[Previous Quartile]]="TopQuartile", 1,
 IF(Table13[[#This Row],[Previous Quartile]]="SecondQuartile", 2,
 IF(Table13[[#This Row],[Previous Quartile]]="ThirdQuartile", 3,
 IF(Table13[[#This Row],[Previous Quartile]]="FourthQuartile", 4, ""))))</f>
        <v>1</v>
      </c>
      <c r="I525" s="9" t="str">
        <f>IF(Table13[[#This Row],[Previous Quartile Value]]="", "",
   IF(Table13[[#This Row],[Quartile Value]] &lt; Table13[[#This Row],[Previous Quartile Value]], "Improved",
   IF(Table13[[#This Row],[Quartile Value]] &gt; Table13[[#This Row],[Previous Quartile Value]], "Dropped", "Same")))</f>
        <v>Same</v>
      </c>
      <c r="J525" s="10" t="s">
        <v>14</v>
      </c>
      <c r="K525" s="7" t="str">
        <f>VLOOKUP(J525,Introduction!$B$6:$C$14,2)</f>
        <v>South West</v>
      </c>
      <c r="L525" s="10">
        <v>369</v>
      </c>
      <c r="M525" s="8" t="s">
        <v>573</v>
      </c>
    </row>
    <row r="526" spans="1:13" ht="19.95" customHeight="1" x14ac:dyDescent="0.25">
      <c r="A526" s="41">
        <v>45444</v>
      </c>
      <c r="B526" s="47">
        <f>MONTH(Table13[[#This Row],[YearMonth]])</f>
        <v>6</v>
      </c>
      <c r="C526" s="9" t="s">
        <v>71</v>
      </c>
      <c r="D526" s="6" t="s">
        <v>330</v>
      </c>
      <c r="E526" s="6">
        <f>IF(Table13[[#This Row],[Quartile]]="TopQuartile", 1,
 IF(Table13[[#This Row],[Quartile]]="SecondQuartile", 2,
 IF(Table13[[#This Row],[Quartile]]="ThirdQuartile", 3,
 IF(Table13[[#This Row],[Quartile]]="FourthQuartile", 4, ""))))</f>
        <v>1</v>
      </c>
      <c r="F526" s="9" t="s">
        <v>582</v>
      </c>
      <c r="G526" s="9" t="str" cm="1">
        <f t="array" ref="G526">IFERROR(
  INDEX(Table13[Quartile],
    MATCH(1,
      (Table13[[#This Row],[OrgName]]=Table13[OrgName]) *
      (Table13[[#This Row],[Month Number]]-1=Table13[Month Number]),
    0)
  ),
"")</f>
        <v>TopQuartile</v>
      </c>
      <c r="H526" s="9">
        <f>IF(Table13[[#This Row],[Previous Quartile]]="TopQuartile", 1,
 IF(Table13[[#This Row],[Previous Quartile]]="SecondQuartile", 2,
 IF(Table13[[#This Row],[Previous Quartile]]="ThirdQuartile", 3,
 IF(Table13[[#This Row],[Previous Quartile]]="FourthQuartile", 4, ""))))</f>
        <v>1</v>
      </c>
      <c r="I526" s="9" t="str">
        <f>IF(Table13[[#This Row],[Previous Quartile Value]]="", "",
   IF(Table13[[#This Row],[Quartile Value]] &lt; Table13[[#This Row],[Previous Quartile Value]], "Improved",
   IF(Table13[[#This Row],[Quartile Value]] &gt; Table13[[#This Row],[Previous Quartile Value]], "Dropped", "Same")))</f>
        <v>Same</v>
      </c>
      <c r="J526" s="10" t="s">
        <v>14</v>
      </c>
      <c r="K526" s="7" t="str">
        <f>VLOOKUP(J526,Introduction!$B$6:$C$14,2)</f>
        <v>South West</v>
      </c>
      <c r="L526" s="10">
        <v>342</v>
      </c>
      <c r="M526" s="8" t="s">
        <v>573</v>
      </c>
    </row>
    <row r="527" spans="1:13" ht="19.95" customHeight="1" x14ac:dyDescent="0.25">
      <c r="A527" s="41">
        <v>45444</v>
      </c>
      <c r="B527" s="47">
        <f>MONTH(Table13[[#This Row],[YearMonth]])</f>
        <v>6</v>
      </c>
      <c r="C527" s="9" t="s">
        <v>77</v>
      </c>
      <c r="D527" s="6" t="s">
        <v>330</v>
      </c>
      <c r="E527" s="6">
        <f>IF(Table13[[#This Row],[Quartile]]="TopQuartile", 1,
 IF(Table13[[#This Row],[Quartile]]="SecondQuartile", 2,
 IF(Table13[[#This Row],[Quartile]]="ThirdQuartile", 3,
 IF(Table13[[#This Row],[Quartile]]="FourthQuartile", 4, ""))))</f>
        <v>1</v>
      </c>
      <c r="F527" s="9" t="s">
        <v>584</v>
      </c>
      <c r="G527" s="9" t="str" cm="1">
        <f t="array" ref="G527">IFERROR(
  INDEX(Table13[Quartile],
    MATCH(1,
      (Table13[[#This Row],[OrgName]]=Table13[OrgName]) *
      (Table13[[#This Row],[Month Number]]-1=Table13[Month Number]),
    0)
  ),
"")</f>
        <v>TopQuartile</v>
      </c>
      <c r="H527" s="9">
        <f>IF(Table13[[#This Row],[Previous Quartile]]="TopQuartile", 1,
 IF(Table13[[#This Row],[Previous Quartile]]="SecondQuartile", 2,
 IF(Table13[[#This Row],[Previous Quartile]]="ThirdQuartile", 3,
 IF(Table13[[#This Row],[Previous Quartile]]="FourthQuartile", 4, ""))))</f>
        <v>1</v>
      </c>
      <c r="I527" s="9" t="str">
        <f>IF(Table13[[#This Row],[Previous Quartile Value]]="", "",
   IF(Table13[[#This Row],[Quartile Value]] &lt; Table13[[#This Row],[Previous Quartile Value]], "Improved",
   IF(Table13[[#This Row],[Quartile Value]] &gt; Table13[[#This Row],[Previous Quartile Value]], "Dropped", "Same")))</f>
        <v>Same</v>
      </c>
      <c r="J527" s="10" t="s">
        <v>14</v>
      </c>
      <c r="K527" s="7" t="str">
        <f>VLOOKUP(J527,Introduction!$B$6:$C$14,2)</f>
        <v>South West</v>
      </c>
      <c r="L527" s="10">
        <v>327</v>
      </c>
      <c r="M527" s="8" t="s">
        <v>573</v>
      </c>
    </row>
    <row r="528" spans="1:13" ht="19.95" customHeight="1" x14ac:dyDescent="0.25">
      <c r="A528" s="41">
        <v>45444</v>
      </c>
      <c r="B528" s="47">
        <f>MONTH(Table13[[#This Row],[YearMonth]])</f>
        <v>6</v>
      </c>
      <c r="C528" s="9" t="s">
        <v>74</v>
      </c>
      <c r="D528" s="6" t="s">
        <v>330</v>
      </c>
      <c r="E528" s="6">
        <f>IF(Table13[[#This Row],[Quartile]]="TopQuartile", 1,
 IF(Table13[[#This Row],[Quartile]]="SecondQuartile", 2,
 IF(Table13[[#This Row],[Quartile]]="ThirdQuartile", 3,
 IF(Table13[[#This Row],[Quartile]]="FourthQuartile", 4, ""))))</f>
        <v>1</v>
      </c>
      <c r="F528" s="9" t="s">
        <v>583</v>
      </c>
      <c r="G528" s="9" t="str" cm="1">
        <f t="array" ref="G528">IFERROR(
  INDEX(Table13[Quartile],
    MATCH(1,
      (Table13[[#This Row],[OrgName]]=Table13[OrgName]) *
      (Table13[[#This Row],[Month Number]]-1=Table13[Month Number]),
    0)
  ),
"")</f>
        <v>TopQuartile</v>
      </c>
      <c r="H528" s="9">
        <f>IF(Table13[[#This Row],[Previous Quartile]]="TopQuartile", 1,
 IF(Table13[[#This Row],[Previous Quartile]]="SecondQuartile", 2,
 IF(Table13[[#This Row],[Previous Quartile]]="ThirdQuartile", 3,
 IF(Table13[[#This Row],[Previous Quartile]]="FourthQuartile", 4, ""))))</f>
        <v>1</v>
      </c>
      <c r="I528" s="9" t="str">
        <f>IF(Table13[[#This Row],[Previous Quartile Value]]="", "",
   IF(Table13[[#This Row],[Quartile Value]] &lt; Table13[[#This Row],[Previous Quartile Value]], "Improved",
   IF(Table13[[#This Row],[Quartile Value]] &gt; Table13[[#This Row],[Previous Quartile Value]], "Dropped", "Same")))</f>
        <v>Same</v>
      </c>
      <c r="J528" s="10" t="s">
        <v>24</v>
      </c>
      <c r="K528" s="7" t="str">
        <f>VLOOKUP(J528,Introduction!$B$6:$C$14,2)</f>
        <v>North East and Yorkshire</v>
      </c>
      <c r="L528" s="10">
        <v>378</v>
      </c>
      <c r="M528" s="8" t="s">
        <v>573</v>
      </c>
    </row>
    <row r="529" spans="1:13" ht="19.95" customHeight="1" x14ac:dyDescent="0.25">
      <c r="A529" s="41">
        <v>45444</v>
      </c>
      <c r="B529" s="47">
        <f>MONTH(Table13[[#This Row],[YearMonth]])</f>
        <v>6</v>
      </c>
      <c r="C529" s="9" t="s">
        <v>44</v>
      </c>
      <c r="D529" s="6" t="s">
        <v>330</v>
      </c>
      <c r="E529" s="6">
        <f>IF(Table13[[#This Row],[Quartile]]="TopQuartile", 1,
 IF(Table13[[#This Row],[Quartile]]="SecondQuartile", 2,
 IF(Table13[[#This Row],[Quartile]]="ThirdQuartile", 3,
 IF(Table13[[#This Row],[Quartile]]="FourthQuartile", 4, ""))))</f>
        <v>1</v>
      </c>
      <c r="F529" s="9" t="s">
        <v>576</v>
      </c>
      <c r="G529" s="9" t="str" cm="1">
        <f t="array" ref="G529">IFERROR(
  INDEX(Table13[Quartile],
    MATCH(1,
      (Table13[[#This Row],[OrgName]]=Table13[OrgName]) *
      (Table13[[#This Row],[Month Number]]-1=Table13[Month Number]),
    0)
  ),
"")</f>
        <v>TopQuartile</v>
      </c>
      <c r="H529" s="9">
        <f>IF(Table13[[#This Row],[Previous Quartile]]="TopQuartile", 1,
 IF(Table13[[#This Row],[Previous Quartile]]="SecondQuartile", 2,
 IF(Table13[[#This Row],[Previous Quartile]]="ThirdQuartile", 3,
 IF(Table13[[#This Row],[Previous Quartile]]="FourthQuartile", 4, ""))))</f>
        <v>1</v>
      </c>
      <c r="I529" s="9" t="str">
        <f>IF(Table13[[#This Row],[Previous Quartile Value]]="", "",
   IF(Table13[[#This Row],[Quartile Value]] &lt; Table13[[#This Row],[Previous Quartile Value]], "Improved",
   IF(Table13[[#This Row],[Quartile Value]] &gt; Table13[[#This Row],[Previous Quartile Value]], "Dropped", "Same")))</f>
        <v>Same</v>
      </c>
      <c r="J529" s="10" t="s">
        <v>24</v>
      </c>
      <c r="K529" s="7" t="str">
        <f>VLOOKUP(J529,Introduction!$B$6:$C$14,2)</f>
        <v>North East and Yorkshire</v>
      </c>
      <c r="L529" s="10">
        <v>173</v>
      </c>
      <c r="M529" s="8" t="s">
        <v>573</v>
      </c>
    </row>
    <row r="530" spans="1:13" ht="19.95" customHeight="1" x14ac:dyDescent="0.25">
      <c r="A530" s="41">
        <v>45444</v>
      </c>
      <c r="B530" s="47">
        <f>MONTH(Table13[[#This Row],[YearMonth]])</f>
        <v>6</v>
      </c>
      <c r="C530" s="9" t="s">
        <v>109</v>
      </c>
      <c r="D530" s="6" t="s">
        <v>330</v>
      </c>
      <c r="E530" s="6">
        <f>IF(Table13[[#This Row],[Quartile]]="TopQuartile", 1,
 IF(Table13[[#This Row],[Quartile]]="SecondQuartile", 2,
 IF(Table13[[#This Row],[Quartile]]="ThirdQuartile", 3,
 IF(Table13[[#This Row],[Quartile]]="FourthQuartile", 4, ""))))</f>
        <v>1</v>
      </c>
      <c r="F530" s="9" t="s">
        <v>589</v>
      </c>
      <c r="G530" s="9" t="str" cm="1">
        <f t="array" ref="G530">IFERROR(
  INDEX(Table13[Quartile],
    MATCH(1,
      (Table13[[#This Row],[OrgName]]=Table13[OrgName]) *
      (Table13[[#This Row],[Month Number]]-1=Table13[Month Number]),
    0)
  ),
"")</f>
        <v>TopQuartile</v>
      </c>
      <c r="H530" s="9">
        <f>IF(Table13[[#This Row],[Previous Quartile]]="TopQuartile", 1,
 IF(Table13[[#This Row],[Previous Quartile]]="SecondQuartile", 2,
 IF(Table13[[#This Row],[Previous Quartile]]="ThirdQuartile", 3,
 IF(Table13[[#This Row],[Previous Quartile]]="FourthQuartile", 4, ""))))</f>
        <v>1</v>
      </c>
      <c r="I530" s="9" t="str">
        <f>IF(Table13[[#This Row],[Previous Quartile Value]]="", "",
   IF(Table13[[#This Row],[Quartile Value]] &lt; Table13[[#This Row],[Previous Quartile Value]], "Improved",
   IF(Table13[[#This Row],[Quartile Value]] &gt; Table13[[#This Row],[Previous Quartile Value]], "Dropped", "Same")))</f>
        <v>Same</v>
      </c>
      <c r="J530" s="10" t="s">
        <v>12</v>
      </c>
      <c r="K530" s="7" t="str">
        <f>VLOOKUP(J530,Introduction!$B$6:$C$14,2)</f>
        <v>London</v>
      </c>
      <c r="L530" s="10">
        <v>333</v>
      </c>
      <c r="M530" s="8" t="s">
        <v>573</v>
      </c>
    </row>
    <row r="531" spans="1:13" ht="19.95" customHeight="1" x14ac:dyDescent="0.25">
      <c r="A531" s="41">
        <v>45444</v>
      </c>
      <c r="B531" s="47">
        <f>MONTH(Table13[[#This Row],[YearMonth]])</f>
        <v>6</v>
      </c>
      <c r="C531" s="9" t="s">
        <v>92</v>
      </c>
      <c r="D531" s="6" t="s">
        <v>330</v>
      </c>
      <c r="E531" s="6">
        <f>IF(Table13[[#This Row],[Quartile]]="TopQuartile", 1,
 IF(Table13[[#This Row],[Quartile]]="SecondQuartile", 2,
 IF(Table13[[#This Row],[Quartile]]="ThirdQuartile", 3,
 IF(Table13[[#This Row],[Quartile]]="FourthQuartile", 4, ""))))</f>
        <v>1</v>
      </c>
      <c r="F531" s="9" t="s">
        <v>586</v>
      </c>
      <c r="G531" s="9" t="str" cm="1">
        <f t="array" ref="G531">IFERROR(
  INDEX(Table13[Quartile],
    MATCH(1,
      (Table13[[#This Row],[OrgName]]=Table13[OrgName]) *
      (Table13[[#This Row],[Month Number]]-1=Table13[Month Number]),
    0)
  ),
"")</f>
        <v>TopQuartile</v>
      </c>
      <c r="H531" s="9">
        <f>IF(Table13[[#This Row],[Previous Quartile]]="TopQuartile", 1,
 IF(Table13[[#This Row],[Previous Quartile]]="SecondQuartile", 2,
 IF(Table13[[#This Row],[Previous Quartile]]="ThirdQuartile", 3,
 IF(Table13[[#This Row],[Previous Quartile]]="FourthQuartile", 4, ""))))</f>
        <v>1</v>
      </c>
      <c r="I531" s="9" t="str">
        <f>IF(Table13[[#This Row],[Previous Quartile Value]]="", "",
   IF(Table13[[#This Row],[Quartile Value]] &lt; Table13[[#This Row],[Previous Quartile Value]], "Improved",
   IF(Table13[[#This Row],[Quartile Value]] &gt; Table13[[#This Row],[Previous Quartile Value]], "Dropped", "Same")))</f>
        <v>Same</v>
      </c>
      <c r="J531" s="10" t="s">
        <v>24</v>
      </c>
      <c r="K531" s="7" t="str">
        <f>VLOOKUP(J531,Introduction!$B$6:$C$14,2)</f>
        <v>North East and Yorkshire</v>
      </c>
      <c r="L531" s="10">
        <v>338</v>
      </c>
      <c r="M531" s="8" t="s">
        <v>573</v>
      </c>
    </row>
    <row r="532" spans="1:13" ht="19.95" customHeight="1" x14ac:dyDescent="0.25">
      <c r="A532" s="41">
        <v>45444</v>
      </c>
      <c r="B532" s="47">
        <f>MONTH(Table13[[#This Row],[YearMonth]])</f>
        <v>6</v>
      </c>
      <c r="C532" s="9" t="s">
        <v>101</v>
      </c>
      <c r="D532" s="6" t="s">
        <v>330</v>
      </c>
      <c r="E532" s="6">
        <f>IF(Table13[[#This Row],[Quartile]]="TopQuartile", 1,
 IF(Table13[[#This Row],[Quartile]]="SecondQuartile", 2,
 IF(Table13[[#This Row],[Quartile]]="ThirdQuartile", 3,
 IF(Table13[[#This Row],[Quartile]]="FourthQuartile", 4, ""))))</f>
        <v>1</v>
      </c>
      <c r="F532" s="9" t="s">
        <v>587</v>
      </c>
      <c r="G532" s="9" t="str" cm="1">
        <f t="array" ref="G532">IFERROR(
  INDEX(Table13[Quartile],
    MATCH(1,
      (Table13[[#This Row],[OrgName]]=Table13[OrgName]) *
      (Table13[[#This Row],[Month Number]]-1=Table13[Month Number]),
    0)
  ),
"")</f>
        <v>TopQuartile</v>
      </c>
      <c r="H532" s="9">
        <f>IF(Table13[[#This Row],[Previous Quartile]]="TopQuartile", 1,
 IF(Table13[[#This Row],[Previous Quartile]]="SecondQuartile", 2,
 IF(Table13[[#This Row],[Previous Quartile]]="ThirdQuartile", 3,
 IF(Table13[[#This Row],[Previous Quartile]]="FourthQuartile", 4, ""))))</f>
        <v>1</v>
      </c>
      <c r="I532" s="9" t="str">
        <f>IF(Table13[[#This Row],[Previous Quartile Value]]="", "",
   IF(Table13[[#This Row],[Quartile Value]] &lt; Table13[[#This Row],[Previous Quartile Value]], "Improved",
   IF(Table13[[#This Row],[Quartile Value]] &gt; Table13[[#This Row],[Previous Quartile Value]], "Dropped", "Same")))</f>
        <v>Same</v>
      </c>
      <c r="J532" s="10" t="s">
        <v>22</v>
      </c>
      <c r="K532" s="7" t="str">
        <f>VLOOKUP(J532,Introduction!$B$6:$C$14,2)</f>
        <v>North West</v>
      </c>
      <c r="L532" s="10">
        <v>350</v>
      </c>
      <c r="M532" s="8" t="s">
        <v>573</v>
      </c>
    </row>
    <row r="533" spans="1:13" ht="19.95" customHeight="1" x14ac:dyDescent="0.25">
      <c r="A533" s="41">
        <v>45444</v>
      </c>
      <c r="B533" s="47">
        <f>MONTH(Table13[[#This Row],[YearMonth]])</f>
        <v>6</v>
      </c>
      <c r="C533" s="9" t="s">
        <v>107</v>
      </c>
      <c r="D533" s="6" t="s">
        <v>338</v>
      </c>
      <c r="E533" s="6">
        <f>IF(Table13[[#This Row],[Quartile]]="TopQuartile", 1,
 IF(Table13[[#This Row],[Quartile]]="SecondQuartile", 2,
 IF(Table13[[#This Row],[Quartile]]="ThirdQuartile", 3,
 IF(Table13[[#This Row],[Quartile]]="FourthQuartile", 4, ""))))</f>
        <v>2</v>
      </c>
      <c r="F533" s="9" t="s">
        <v>588</v>
      </c>
      <c r="G533" s="9" t="str" cm="1">
        <f t="array" ref="G533">IFERROR(
  INDEX(Table13[Quartile],
    MATCH(1,
      (Table13[[#This Row],[OrgName]]=Table13[OrgName]) *
      (Table13[[#This Row],[Month Number]]-1=Table13[Month Number]),
    0)
  ),
"")</f>
        <v>TopQuartile</v>
      </c>
      <c r="H533" s="9">
        <f>IF(Table13[[#This Row],[Previous Quartile]]="TopQuartile", 1,
 IF(Table13[[#This Row],[Previous Quartile]]="SecondQuartile", 2,
 IF(Table13[[#This Row],[Previous Quartile]]="ThirdQuartile", 3,
 IF(Table13[[#This Row],[Previous Quartile]]="FourthQuartile", 4, ""))))</f>
        <v>1</v>
      </c>
      <c r="I533" s="9" t="str">
        <f>IF(Table13[[#This Row],[Previous Quartile Value]]="", "",
   IF(Table13[[#This Row],[Quartile Value]] &lt; Table13[[#This Row],[Previous Quartile Value]], "Improved",
   IF(Table13[[#This Row],[Quartile Value]] &gt; Table13[[#This Row],[Previous Quartile Value]], "Dropped", "Same")))</f>
        <v>Dropped</v>
      </c>
      <c r="J533" s="10" t="s">
        <v>12</v>
      </c>
      <c r="K533" s="7" t="str">
        <f>VLOOKUP(J533,Introduction!$B$6:$C$14,2)</f>
        <v>London</v>
      </c>
      <c r="L533" s="10">
        <v>294</v>
      </c>
      <c r="M533" s="8" t="s">
        <v>573</v>
      </c>
    </row>
    <row r="534" spans="1:13" ht="19.95" customHeight="1" x14ac:dyDescent="0.25">
      <c r="A534" s="41">
        <v>45444</v>
      </c>
      <c r="B534" s="47">
        <f>MONTH(Table13[[#This Row],[YearMonth]])</f>
        <v>6</v>
      </c>
      <c r="C534" s="9" t="s">
        <v>208</v>
      </c>
      <c r="D534" s="6" t="s">
        <v>338</v>
      </c>
      <c r="E534" s="6">
        <f>IF(Table13[[#This Row],[Quartile]]="TopQuartile", 1,
 IF(Table13[[#This Row],[Quartile]]="SecondQuartile", 2,
 IF(Table13[[#This Row],[Quartile]]="ThirdQuartile", 3,
 IF(Table13[[#This Row],[Quartile]]="FourthQuartile", 4, ""))))</f>
        <v>2</v>
      </c>
      <c r="F534" s="9" t="s">
        <v>603</v>
      </c>
      <c r="G534" s="9" t="str" cm="1">
        <f t="array" ref="G534">IFERROR(
  INDEX(Table13[Quartile],
    MATCH(1,
      (Table13[[#This Row],[OrgName]]=Table13[OrgName]) *
      (Table13[[#This Row],[Month Number]]-1=Table13[Month Number]),
    0)
  ),
"")</f>
        <v>SecondQuartile</v>
      </c>
      <c r="H534" s="9">
        <f>IF(Table13[[#This Row],[Previous Quartile]]="TopQuartile", 1,
 IF(Table13[[#This Row],[Previous Quartile]]="SecondQuartile", 2,
 IF(Table13[[#This Row],[Previous Quartile]]="ThirdQuartile", 3,
 IF(Table13[[#This Row],[Previous Quartile]]="FourthQuartile", 4, ""))))</f>
        <v>2</v>
      </c>
      <c r="I534" s="9" t="str">
        <f>IF(Table13[[#This Row],[Previous Quartile Value]]="", "",
   IF(Table13[[#This Row],[Quartile Value]] &lt; Table13[[#This Row],[Previous Quartile Value]], "Improved",
   IF(Table13[[#This Row],[Quartile Value]] &gt; Table13[[#This Row],[Previous Quartile Value]], "Dropped", "Same")))</f>
        <v>Same</v>
      </c>
      <c r="J534" s="10" t="s">
        <v>20</v>
      </c>
      <c r="K534" s="7" t="str">
        <f>VLOOKUP(J534,Introduction!$B$6:$C$14,2)</f>
        <v>East of England</v>
      </c>
      <c r="L534" s="10">
        <v>246</v>
      </c>
      <c r="M534" s="8" t="s">
        <v>573</v>
      </c>
    </row>
    <row r="535" spans="1:13" ht="19.95" customHeight="1" x14ac:dyDescent="0.25">
      <c r="A535" s="41">
        <v>45444</v>
      </c>
      <c r="B535" s="47">
        <f>MONTH(Table13[[#This Row],[YearMonth]])</f>
        <v>6</v>
      </c>
      <c r="C535" s="9" t="s">
        <v>78</v>
      </c>
      <c r="D535" s="6" t="s">
        <v>338</v>
      </c>
      <c r="E535" s="6">
        <f>IF(Table13[[#This Row],[Quartile]]="TopQuartile", 1,
 IF(Table13[[#This Row],[Quartile]]="SecondQuartile", 2,
 IF(Table13[[#This Row],[Quartile]]="ThirdQuartile", 3,
 IF(Table13[[#This Row],[Quartile]]="FourthQuartile", 4, ""))))</f>
        <v>2</v>
      </c>
      <c r="F535" s="9" t="s">
        <v>585</v>
      </c>
      <c r="G535" s="9" t="str" cm="1">
        <f t="array" ref="G535">IFERROR(
  INDEX(Table13[Quartile],
    MATCH(1,
      (Table13[[#This Row],[OrgName]]=Table13[OrgName]) *
      (Table13[[#This Row],[Month Number]]-1=Table13[Month Number]),
    0)
  ),
"")</f>
        <v>SecondQuartile</v>
      </c>
      <c r="H535" s="9">
        <f>IF(Table13[[#This Row],[Previous Quartile]]="TopQuartile", 1,
 IF(Table13[[#This Row],[Previous Quartile]]="SecondQuartile", 2,
 IF(Table13[[#This Row],[Previous Quartile]]="ThirdQuartile", 3,
 IF(Table13[[#This Row],[Previous Quartile]]="FourthQuartile", 4, ""))))</f>
        <v>2</v>
      </c>
      <c r="I535" s="9" t="str">
        <f>IF(Table13[[#This Row],[Previous Quartile Value]]="", "",
   IF(Table13[[#This Row],[Quartile Value]] &lt; Table13[[#This Row],[Previous Quartile Value]], "Improved",
   IF(Table13[[#This Row],[Quartile Value]] &gt; Table13[[#This Row],[Previous Quartile Value]], "Dropped", "Same")))</f>
        <v>Same</v>
      </c>
      <c r="J535" s="10" t="s">
        <v>24</v>
      </c>
      <c r="K535" s="7" t="str">
        <f>VLOOKUP(J535,Introduction!$B$6:$C$14,2)</f>
        <v>North East and Yorkshire</v>
      </c>
      <c r="L535" s="10">
        <v>346</v>
      </c>
      <c r="M535" s="8" t="s">
        <v>573</v>
      </c>
    </row>
    <row r="536" spans="1:13" ht="19.95" customHeight="1" x14ac:dyDescent="0.25">
      <c r="A536" s="41">
        <v>45444</v>
      </c>
      <c r="B536" s="47">
        <f>MONTH(Table13[[#This Row],[YearMonth]])</f>
        <v>6</v>
      </c>
      <c r="C536" s="9" t="s">
        <v>116</v>
      </c>
      <c r="D536" s="6" t="s">
        <v>338</v>
      </c>
      <c r="E536" s="6">
        <f>IF(Table13[[#This Row],[Quartile]]="TopQuartile", 1,
 IF(Table13[[#This Row],[Quartile]]="SecondQuartile", 2,
 IF(Table13[[#This Row],[Quartile]]="ThirdQuartile", 3,
 IF(Table13[[#This Row],[Quartile]]="FourthQuartile", 4, ""))))</f>
        <v>2</v>
      </c>
      <c r="F536" s="9" t="s">
        <v>591</v>
      </c>
      <c r="G536" s="9" t="str" cm="1">
        <f t="array" ref="G536">IFERROR(
  INDEX(Table13[Quartile],
    MATCH(1,
      (Table13[[#This Row],[OrgName]]=Table13[OrgName]) *
      (Table13[[#This Row],[Month Number]]-1=Table13[Month Number]),
    0)
  ),
"")</f>
        <v>SecondQuartile</v>
      </c>
      <c r="H536" s="9">
        <f>IF(Table13[[#This Row],[Previous Quartile]]="TopQuartile", 1,
 IF(Table13[[#This Row],[Previous Quartile]]="SecondQuartile", 2,
 IF(Table13[[#This Row],[Previous Quartile]]="ThirdQuartile", 3,
 IF(Table13[[#This Row],[Previous Quartile]]="FourthQuartile", 4, ""))))</f>
        <v>2</v>
      </c>
      <c r="I536" s="9" t="str">
        <f>IF(Table13[[#This Row],[Previous Quartile Value]]="", "",
   IF(Table13[[#This Row],[Quartile Value]] &lt; Table13[[#This Row],[Previous Quartile Value]], "Improved",
   IF(Table13[[#This Row],[Quartile Value]] &gt; Table13[[#This Row],[Previous Quartile Value]], "Dropped", "Same")))</f>
        <v>Same</v>
      </c>
      <c r="J536" s="10" t="s">
        <v>14</v>
      </c>
      <c r="K536" s="7" t="str">
        <f>VLOOKUP(J536,Introduction!$B$6:$C$14,2)</f>
        <v>South West</v>
      </c>
      <c r="L536" s="10">
        <v>152</v>
      </c>
      <c r="M536" s="8" t="s">
        <v>573</v>
      </c>
    </row>
    <row r="537" spans="1:13" ht="19.95" customHeight="1" x14ac:dyDescent="0.25">
      <c r="A537" s="41">
        <v>45444</v>
      </c>
      <c r="B537" s="47">
        <f>MONTH(Table13[[#This Row],[YearMonth]])</f>
        <v>6</v>
      </c>
      <c r="C537" s="9" t="s">
        <v>114</v>
      </c>
      <c r="D537" s="6" t="s">
        <v>338</v>
      </c>
      <c r="E537" s="6">
        <f>IF(Table13[[#This Row],[Quartile]]="TopQuartile", 1,
 IF(Table13[[#This Row],[Quartile]]="SecondQuartile", 2,
 IF(Table13[[#This Row],[Quartile]]="ThirdQuartile", 3,
 IF(Table13[[#This Row],[Quartile]]="FourthQuartile", 4, ""))))</f>
        <v>2</v>
      </c>
      <c r="F537" s="9" t="s">
        <v>590</v>
      </c>
      <c r="G537" s="9" t="str" cm="1">
        <f t="array" ref="G537">IFERROR(
  INDEX(Table13[Quartile],
    MATCH(1,
      (Table13[[#This Row],[OrgName]]=Table13[OrgName]) *
      (Table13[[#This Row],[Month Number]]-1=Table13[Month Number]),
    0)
  ),
"")</f>
        <v>SecondQuartile</v>
      </c>
      <c r="H537" s="9">
        <f>IF(Table13[[#This Row],[Previous Quartile]]="TopQuartile", 1,
 IF(Table13[[#This Row],[Previous Quartile]]="SecondQuartile", 2,
 IF(Table13[[#This Row],[Previous Quartile]]="ThirdQuartile", 3,
 IF(Table13[[#This Row],[Previous Quartile]]="FourthQuartile", 4, ""))))</f>
        <v>2</v>
      </c>
      <c r="I537" s="9" t="str">
        <f>IF(Table13[[#This Row],[Previous Quartile Value]]="", "",
   IF(Table13[[#This Row],[Quartile Value]] &lt; Table13[[#This Row],[Previous Quartile Value]], "Improved",
   IF(Table13[[#This Row],[Quartile Value]] &gt; Table13[[#This Row],[Previous Quartile Value]], "Dropped", "Same")))</f>
        <v>Same</v>
      </c>
      <c r="J537" s="10" t="s">
        <v>20</v>
      </c>
      <c r="K537" s="7" t="str">
        <f>VLOOKUP(J537,Introduction!$B$6:$C$14,2)</f>
        <v>East of England</v>
      </c>
      <c r="L537" s="10">
        <v>367</v>
      </c>
      <c r="M537" s="8" t="s">
        <v>573</v>
      </c>
    </row>
    <row r="538" spans="1:13" ht="19.95" customHeight="1" x14ac:dyDescent="0.25">
      <c r="A538" s="41">
        <v>45444</v>
      </c>
      <c r="B538" s="47">
        <f>MONTH(Table13[[#This Row],[YearMonth]])</f>
        <v>6</v>
      </c>
      <c r="C538" s="9" t="s">
        <v>141</v>
      </c>
      <c r="D538" s="6" t="s">
        <v>338</v>
      </c>
      <c r="E538" s="6">
        <f>IF(Table13[[#This Row],[Quartile]]="TopQuartile", 1,
 IF(Table13[[#This Row],[Quartile]]="SecondQuartile", 2,
 IF(Table13[[#This Row],[Quartile]]="ThirdQuartile", 3,
 IF(Table13[[#This Row],[Quartile]]="FourthQuartile", 4, ""))))</f>
        <v>2</v>
      </c>
      <c r="F538" s="9" t="s">
        <v>594</v>
      </c>
      <c r="G538" s="9" t="str" cm="1">
        <f t="array" ref="G538">IFERROR(
  INDEX(Table13[Quartile],
    MATCH(1,
      (Table13[[#This Row],[OrgName]]=Table13[OrgName]) *
      (Table13[[#This Row],[Month Number]]-1=Table13[Month Number]),
    0)
  ),
"")</f>
        <v>SecondQuartile</v>
      </c>
      <c r="H538" s="9">
        <f>IF(Table13[[#This Row],[Previous Quartile]]="TopQuartile", 1,
 IF(Table13[[#This Row],[Previous Quartile]]="SecondQuartile", 2,
 IF(Table13[[#This Row],[Previous Quartile]]="ThirdQuartile", 3,
 IF(Table13[[#This Row],[Previous Quartile]]="FourthQuartile", 4, ""))))</f>
        <v>2</v>
      </c>
      <c r="I538" s="9" t="str">
        <f>IF(Table13[[#This Row],[Previous Quartile Value]]="", "",
   IF(Table13[[#This Row],[Quartile Value]] &lt; Table13[[#This Row],[Previous Quartile Value]], "Improved",
   IF(Table13[[#This Row],[Quartile Value]] &gt; Table13[[#This Row],[Previous Quartile Value]], "Dropped", "Same")))</f>
        <v>Same</v>
      </c>
      <c r="J538" s="10" t="s">
        <v>12</v>
      </c>
      <c r="K538" s="7" t="str">
        <f>VLOOKUP(J538,Introduction!$B$6:$C$14,2)</f>
        <v>London</v>
      </c>
      <c r="L538" s="10">
        <v>306</v>
      </c>
      <c r="M538" s="8" t="s">
        <v>573</v>
      </c>
    </row>
    <row r="539" spans="1:13" ht="19.95" customHeight="1" x14ac:dyDescent="0.25">
      <c r="A539" s="41">
        <v>45444</v>
      </c>
      <c r="B539" s="47">
        <f>MONTH(Table13[[#This Row],[YearMonth]])</f>
        <v>6</v>
      </c>
      <c r="C539" s="9" t="s">
        <v>146</v>
      </c>
      <c r="D539" s="6" t="s">
        <v>338</v>
      </c>
      <c r="E539" s="6">
        <f>IF(Table13[[#This Row],[Quartile]]="TopQuartile", 1,
 IF(Table13[[#This Row],[Quartile]]="SecondQuartile", 2,
 IF(Table13[[#This Row],[Quartile]]="ThirdQuartile", 3,
 IF(Table13[[#This Row],[Quartile]]="FourthQuartile", 4, ""))))</f>
        <v>2</v>
      </c>
      <c r="F539" s="9" t="s">
        <v>595</v>
      </c>
      <c r="G539" s="9" t="str" cm="1">
        <f t="array" ref="G539">IFERROR(
  INDEX(Table13[Quartile],
    MATCH(1,
      (Table13[[#This Row],[OrgName]]=Table13[OrgName]) *
      (Table13[[#This Row],[Month Number]]-1=Table13[Month Number]),
    0)
  ),
"")</f>
        <v>SecondQuartile</v>
      </c>
      <c r="H539" s="9">
        <f>IF(Table13[[#This Row],[Previous Quartile]]="TopQuartile", 1,
 IF(Table13[[#This Row],[Previous Quartile]]="SecondQuartile", 2,
 IF(Table13[[#This Row],[Previous Quartile]]="ThirdQuartile", 3,
 IF(Table13[[#This Row],[Previous Quartile]]="FourthQuartile", 4, ""))))</f>
        <v>2</v>
      </c>
      <c r="I539" s="9" t="str">
        <f>IF(Table13[[#This Row],[Previous Quartile Value]]="", "",
   IF(Table13[[#This Row],[Quartile Value]] &lt; Table13[[#This Row],[Previous Quartile Value]], "Improved",
   IF(Table13[[#This Row],[Quartile Value]] &gt; Table13[[#This Row],[Previous Quartile Value]], "Dropped", "Same")))</f>
        <v>Same</v>
      </c>
      <c r="J539" s="10" t="s">
        <v>22</v>
      </c>
      <c r="K539" s="7" t="str">
        <f>VLOOKUP(J539,Introduction!$B$6:$C$14,2)</f>
        <v>North West</v>
      </c>
      <c r="L539" s="10">
        <v>437</v>
      </c>
      <c r="M539" s="8" t="s">
        <v>573</v>
      </c>
    </row>
    <row r="540" spans="1:13" ht="19.95" customHeight="1" x14ac:dyDescent="0.25">
      <c r="A540" s="41">
        <v>45444</v>
      </c>
      <c r="B540" s="47">
        <f>MONTH(Table13[[#This Row],[YearMonth]])</f>
        <v>6</v>
      </c>
      <c r="C540" s="9" t="s">
        <v>152</v>
      </c>
      <c r="D540" s="6" t="s">
        <v>338</v>
      </c>
      <c r="E540" s="6">
        <f>IF(Table13[[#This Row],[Quartile]]="TopQuartile", 1,
 IF(Table13[[#This Row],[Quartile]]="SecondQuartile", 2,
 IF(Table13[[#This Row],[Quartile]]="ThirdQuartile", 3,
 IF(Table13[[#This Row],[Quartile]]="FourthQuartile", 4, ""))))</f>
        <v>2</v>
      </c>
      <c r="F540" s="9" t="s">
        <v>596</v>
      </c>
      <c r="G540" s="9" t="str" cm="1">
        <f t="array" ref="G540">IFERROR(
  INDEX(Table13[Quartile],
    MATCH(1,
      (Table13[[#This Row],[OrgName]]=Table13[OrgName]) *
      (Table13[[#This Row],[Month Number]]-1=Table13[Month Number]),
    0)
  ),
"")</f>
        <v>SecondQuartile</v>
      </c>
      <c r="H540" s="9">
        <f>IF(Table13[[#This Row],[Previous Quartile]]="TopQuartile", 1,
 IF(Table13[[#This Row],[Previous Quartile]]="SecondQuartile", 2,
 IF(Table13[[#This Row],[Previous Quartile]]="ThirdQuartile", 3,
 IF(Table13[[#This Row],[Previous Quartile]]="FourthQuartile", 4, ""))))</f>
        <v>2</v>
      </c>
      <c r="I540" s="9" t="str">
        <f>IF(Table13[[#This Row],[Previous Quartile Value]]="", "",
   IF(Table13[[#This Row],[Quartile Value]] &lt; Table13[[#This Row],[Previous Quartile Value]], "Improved",
   IF(Table13[[#This Row],[Quartile Value]] &gt; Table13[[#This Row],[Previous Quartile Value]], "Dropped", "Same")))</f>
        <v>Same</v>
      </c>
      <c r="J540" s="10" t="s">
        <v>12</v>
      </c>
      <c r="K540" s="7" t="str">
        <f>VLOOKUP(J540,Introduction!$B$6:$C$14,2)</f>
        <v>London</v>
      </c>
      <c r="L540" s="10">
        <v>222</v>
      </c>
      <c r="M540" s="8" t="s">
        <v>573</v>
      </c>
    </row>
    <row r="541" spans="1:13" ht="19.95" customHeight="1" x14ac:dyDescent="0.25">
      <c r="A541" s="41">
        <v>45444</v>
      </c>
      <c r="B541" s="47">
        <f>MONTH(Table13[[#This Row],[YearMonth]])</f>
        <v>6</v>
      </c>
      <c r="C541" s="9" t="s">
        <v>123</v>
      </c>
      <c r="D541" s="6" t="s">
        <v>338</v>
      </c>
      <c r="E541" s="6">
        <f>IF(Table13[[#This Row],[Quartile]]="TopQuartile", 1,
 IF(Table13[[#This Row],[Quartile]]="SecondQuartile", 2,
 IF(Table13[[#This Row],[Quartile]]="ThirdQuartile", 3,
 IF(Table13[[#This Row],[Quartile]]="FourthQuartile", 4, ""))))</f>
        <v>2</v>
      </c>
      <c r="F541" s="9" t="s">
        <v>593</v>
      </c>
      <c r="G541" s="9" t="str" cm="1">
        <f t="array" ref="G541">IFERROR(
  INDEX(Table13[Quartile],
    MATCH(1,
      (Table13[[#This Row],[OrgName]]=Table13[OrgName]) *
      (Table13[[#This Row],[Month Number]]-1=Table13[Month Number]),
    0)
  ),
"")</f>
        <v>SecondQuartile</v>
      </c>
      <c r="H541" s="9">
        <f>IF(Table13[[#This Row],[Previous Quartile]]="TopQuartile", 1,
 IF(Table13[[#This Row],[Previous Quartile]]="SecondQuartile", 2,
 IF(Table13[[#This Row],[Previous Quartile]]="ThirdQuartile", 3,
 IF(Table13[[#This Row],[Previous Quartile]]="FourthQuartile", 4, ""))))</f>
        <v>2</v>
      </c>
      <c r="I541" s="9" t="str">
        <f>IF(Table13[[#This Row],[Previous Quartile Value]]="", "",
   IF(Table13[[#This Row],[Quartile Value]] &lt; Table13[[#This Row],[Previous Quartile Value]], "Improved",
   IF(Table13[[#This Row],[Quartile Value]] &gt; Table13[[#This Row],[Previous Quartile Value]], "Dropped", "Same")))</f>
        <v>Same</v>
      </c>
      <c r="J541" s="10" t="s">
        <v>20</v>
      </c>
      <c r="K541" s="7" t="str">
        <f>VLOOKUP(J541,Introduction!$B$6:$C$14,2)</f>
        <v>East of England</v>
      </c>
      <c r="L541" s="10">
        <v>364</v>
      </c>
      <c r="M541" s="8" t="s">
        <v>573</v>
      </c>
    </row>
    <row r="542" spans="1:13" ht="19.95" customHeight="1" x14ac:dyDescent="0.25">
      <c r="A542" s="41">
        <v>45444</v>
      </c>
      <c r="B542" s="47">
        <f>MONTH(Table13[[#This Row],[YearMonth]])</f>
        <v>6</v>
      </c>
      <c r="C542" s="9" t="s">
        <v>167</v>
      </c>
      <c r="D542" s="6" t="s">
        <v>338</v>
      </c>
      <c r="E542" s="6">
        <f>IF(Table13[[#This Row],[Quartile]]="TopQuartile", 1,
 IF(Table13[[#This Row],[Quartile]]="SecondQuartile", 2,
 IF(Table13[[#This Row],[Quartile]]="ThirdQuartile", 3,
 IF(Table13[[#This Row],[Quartile]]="FourthQuartile", 4, ""))))</f>
        <v>2</v>
      </c>
      <c r="F542" s="9" t="s">
        <v>597</v>
      </c>
      <c r="G542" s="9" t="str" cm="1">
        <f t="array" ref="G542">IFERROR(
  INDEX(Table13[Quartile],
    MATCH(1,
      (Table13[[#This Row],[OrgName]]=Table13[OrgName]) *
      (Table13[[#This Row],[Month Number]]-1=Table13[Month Number]),
    0)
  ),
"")</f>
        <v>SecondQuartile</v>
      </c>
      <c r="H542" s="9">
        <f>IF(Table13[[#This Row],[Previous Quartile]]="TopQuartile", 1,
 IF(Table13[[#This Row],[Previous Quartile]]="SecondQuartile", 2,
 IF(Table13[[#This Row],[Previous Quartile]]="ThirdQuartile", 3,
 IF(Table13[[#This Row],[Previous Quartile]]="FourthQuartile", 4, ""))))</f>
        <v>2</v>
      </c>
      <c r="I542" s="9" t="str">
        <f>IF(Table13[[#This Row],[Previous Quartile Value]]="", "",
   IF(Table13[[#This Row],[Quartile Value]] &lt; Table13[[#This Row],[Previous Quartile Value]], "Improved",
   IF(Table13[[#This Row],[Quartile Value]] &gt; Table13[[#This Row],[Previous Quartile Value]], "Dropped", "Same")))</f>
        <v>Same</v>
      </c>
      <c r="J542" s="10" t="s">
        <v>18</v>
      </c>
      <c r="K542" s="7" t="str">
        <f>VLOOKUP(J542,Introduction!$B$6:$C$14,2)</f>
        <v>Midlands</v>
      </c>
      <c r="L542" s="10">
        <v>301</v>
      </c>
      <c r="M542" s="8" t="s">
        <v>573</v>
      </c>
    </row>
    <row r="543" spans="1:13" ht="19.95" customHeight="1" x14ac:dyDescent="0.25">
      <c r="A543" s="41">
        <v>45444</v>
      </c>
      <c r="B543" s="47">
        <f>MONTH(Table13[[#This Row],[YearMonth]])</f>
        <v>6</v>
      </c>
      <c r="C543" s="9" t="s">
        <v>172</v>
      </c>
      <c r="D543" s="6" t="s">
        <v>341</v>
      </c>
      <c r="E543" s="6">
        <f>IF(Table13[[#This Row],[Quartile]]="TopQuartile", 1,
 IF(Table13[[#This Row],[Quartile]]="SecondQuartile", 2,
 IF(Table13[[#This Row],[Quartile]]="ThirdQuartile", 3,
 IF(Table13[[#This Row],[Quartile]]="FourthQuartile", 4, ""))))</f>
        <v>3</v>
      </c>
      <c r="F543" s="9" t="s">
        <v>598</v>
      </c>
      <c r="G543" s="9" t="str" cm="1">
        <f t="array" ref="G543">IFERROR(
  INDEX(Table13[Quartile],
    MATCH(1,
      (Table13[[#This Row],[OrgName]]=Table13[OrgName]) *
      (Table13[[#This Row],[Month Number]]-1=Table13[Month Number]),
    0)
  ),
"")</f>
        <v>SecondQuartile</v>
      </c>
      <c r="H543" s="9">
        <f>IF(Table13[[#This Row],[Previous Quartile]]="TopQuartile", 1,
 IF(Table13[[#This Row],[Previous Quartile]]="SecondQuartile", 2,
 IF(Table13[[#This Row],[Previous Quartile]]="ThirdQuartile", 3,
 IF(Table13[[#This Row],[Previous Quartile]]="FourthQuartile", 4, ""))))</f>
        <v>2</v>
      </c>
      <c r="I543" s="9" t="str">
        <f>IF(Table13[[#This Row],[Previous Quartile Value]]="", "",
   IF(Table13[[#This Row],[Quartile Value]] &lt; Table13[[#This Row],[Previous Quartile Value]], "Improved",
   IF(Table13[[#This Row],[Quartile Value]] &gt; Table13[[#This Row],[Previous Quartile Value]], "Dropped", "Same")))</f>
        <v>Dropped</v>
      </c>
      <c r="J543" s="10" t="s">
        <v>18</v>
      </c>
      <c r="K543" s="7" t="str">
        <f>VLOOKUP(J543,Introduction!$B$6:$C$14,2)</f>
        <v>Midlands</v>
      </c>
      <c r="L543" s="10">
        <v>232</v>
      </c>
      <c r="M543" s="8" t="s">
        <v>573</v>
      </c>
    </row>
    <row r="544" spans="1:13" ht="19.95" customHeight="1" x14ac:dyDescent="0.25">
      <c r="A544" s="41">
        <v>45444</v>
      </c>
      <c r="B544" s="47">
        <f>MONTH(Table13[[#This Row],[YearMonth]])</f>
        <v>6</v>
      </c>
      <c r="C544" s="9" t="s">
        <v>178</v>
      </c>
      <c r="D544" s="6" t="s">
        <v>341</v>
      </c>
      <c r="E544" s="6">
        <f>IF(Table13[[#This Row],[Quartile]]="TopQuartile", 1,
 IF(Table13[[#This Row],[Quartile]]="SecondQuartile", 2,
 IF(Table13[[#This Row],[Quartile]]="ThirdQuartile", 3,
 IF(Table13[[#This Row],[Quartile]]="FourthQuartile", 4, ""))))</f>
        <v>3</v>
      </c>
      <c r="F544" s="9" t="s">
        <v>599</v>
      </c>
      <c r="G544" s="9" t="str" cm="1">
        <f t="array" ref="G544">IFERROR(
  INDEX(Table13[Quartile],
    MATCH(1,
      (Table13[[#This Row],[OrgName]]=Table13[OrgName]) *
      (Table13[[#This Row],[Month Number]]-1=Table13[Month Number]),
    0)
  ),
"")</f>
        <v>ThirdQuartile</v>
      </c>
      <c r="H544" s="9">
        <f>IF(Table13[[#This Row],[Previous Quartile]]="TopQuartile", 1,
 IF(Table13[[#This Row],[Previous Quartile]]="SecondQuartile", 2,
 IF(Table13[[#This Row],[Previous Quartile]]="ThirdQuartile", 3,
 IF(Table13[[#This Row],[Previous Quartile]]="FourthQuartile", 4, ""))))</f>
        <v>3</v>
      </c>
      <c r="I544" s="9" t="str">
        <f>IF(Table13[[#This Row],[Previous Quartile Value]]="", "",
   IF(Table13[[#This Row],[Quartile Value]] &lt; Table13[[#This Row],[Previous Quartile Value]], "Improved",
   IF(Table13[[#This Row],[Quartile Value]] &gt; Table13[[#This Row],[Previous Quartile Value]], "Dropped", "Same")))</f>
        <v>Same</v>
      </c>
      <c r="J544" s="10" t="s">
        <v>16</v>
      </c>
      <c r="K544" s="7" t="str">
        <f>VLOOKUP(J544,Introduction!$B$6:$C$14,2)</f>
        <v>South East</v>
      </c>
      <c r="L544" s="10">
        <v>348</v>
      </c>
      <c r="M544" s="8" t="s">
        <v>573</v>
      </c>
    </row>
    <row r="545" spans="1:13" ht="19.95" customHeight="1" x14ac:dyDescent="0.25">
      <c r="A545" s="41">
        <v>45444</v>
      </c>
      <c r="B545" s="47">
        <f>MONTH(Table13[[#This Row],[YearMonth]])</f>
        <v>6</v>
      </c>
      <c r="C545" s="9" t="s">
        <v>182</v>
      </c>
      <c r="D545" s="6" t="s">
        <v>341</v>
      </c>
      <c r="E545" s="6">
        <f>IF(Table13[[#This Row],[Quartile]]="TopQuartile", 1,
 IF(Table13[[#This Row],[Quartile]]="SecondQuartile", 2,
 IF(Table13[[#This Row],[Quartile]]="ThirdQuartile", 3,
 IF(Table13[[#This Row],[Quartile]]="FourthQuartile", 4, ""))))</f>
        <v>3</v>
      </c>
      <c r="F545" s="9" t="s">
        <v>600</v>
      </c>
      <c r="G545" s="9" t="str" cm="1">
        <f t="array" ref="G545">IFERROR(
  INDEX(Table13[Quartile],
    MATCH(1,
      (Table13[[#This Row],[OrgName]]=Table13[OrgName]) *
      (Table13[[#This Row],[Month Number]]-1=Table13[Month Number]),
    0)
  ),
"")</f>
        <v>ThirdQuartile</v>
      </c>
      <c r="H545" s="9">
        <f>IF(Table13[[#This Row],[Previous Quartile]]="TopQuartile", 1,
 IF(Table13[[#This Row],[Previous Quartile]]="SecondQuartile", 2,
 IF(Table13[[#This Row],[Previous Quartile]]="ThirdQuartile", 3,
 IF(Table13[[#This Row],[Previous Quartile]]="FourthQuartile", 4, ""))))</f>
        <v>3</v>
      </c>
      <c r="I545" s="9" t="str">
        <f>IF(Table13[[#This Row],[Previous Quartile Value]]="", "",
   IF(Table13[[#This Row],[Quartile Value]] &lt; Table13[[#This Row],[Previous Quartile Value]], "Improved",
   IF(Table13[[#This Row],[Quartile Value]] &gt; Table13[[#This Row],[Previous Quartile Value]], "Dropped", "Same")))</f>
        <v>Same</v>
      </c>
      <c r="J545" s="10" t="s">
        <v>18</v>
      </c>
      <c r="K545" s="7" t="str">
        <f>VLOOKUP(J545,Introduction!$B$6:$C$14,2)</f>
        <v>Midlands</v>
      </c>
      <c r="L545" s="10">
        <v>270</v>
      </c>
      <c r="M545" s="8" t="s">
        <v>573</v>
      </c>
    </row>
    <row r="546" spans="1:13" ht="19.95" customHeight="1" x14ac:dyDescent="0.25">
      <c r="A546" s="41">
        <v>45444</v>
      </c>
      <c r="B546" s="47">
        <f>MONTH(Table13[[#This Row],[YearMonth]])</f>
        <v>6</v>
      </c>
      <c r="C546" s="9" t="s">
        <v>186</v>
      </c>
      <c r="D546" s="6" t="s">
        <v>341</v>
      </c>
      <c r="E546" s="6">
        <f>IF(Table13[[#This Row],[Quartile]]="TopQuartile", 1,
 IF(Table13[[#This Row],[Quartile]]="SecondQuartile", 2,
 IF(Table13[[#This Row],[Quartile]]="ThirdQuartile", 3,
 IF(Table13[[#This Row],[Quartile]]="FourthQuartile", 4, ""))))</f>
        <v>3</v>
      </c>
      <c r="F546" s="9" t="s">
        <v>601</v>
      </c>
      <c r="G546" s="9" t="str" cm="1">
        <f t="array" ref="G546">IFERROR(
  INDEX(Table13[Quartile],
    MATCH(1,
      (Table13[[#This Row],[OrgName]]=Table13[OrgName]) *
      (Table13[[#This Row],[Month Number]]-1=Table13[Month Number]),
    0)
  ),
"")</f>
        <v>ThirdQuartile</v>
      </c>
      <c r="H546" s="9">
        <f>IF(Table13[[#This Row],[Previous Quartile]]="TopQuartile", 1,
 IF(Table13[[#This Row],[Previous Quartile]]="SecondQuartile", 2,
 IF(Table13[[#This Row],[Previous Quartile]]="ThirdQuartile", 3,
 IF(Table13[[#This Row],[Previous Quartile]]="FourthQuartile", 4, ""))))</f>
        <v>3</v>
      </c>
      <c r="I546" s="9" t="str">
        <f>IF(Table13[[#This Row],[Previous Quartile Value]]="", "",
   IF(Table13[[#This Row],[Quartile Value]] &lt; Table13[[#This Row],[Previous Quartile Value]], "Improved",
   IF(Table13[[#This Row],[Quartile Value]] &gt; Table13[[#This Row],[Previous Quartile Value]], "Dropped", "Same")))</f>
        <v>Same</v>
      </c>
      <c r="J546" s="10" t="s">
        <v>16</v>
      </c>
      <c r="K546" s="7" t="str">
        <f>VLOOKUP(J546,Introduction!$B$6:$C$14,2)</f>
        <v>South East</v>
      </c>
      <c r="L546" s="10">
        <v>371</v>
      </c>
      <c r="M546" s="8" t="s">
        <v>573</v>
      </c>
    </row>
    <row r="547" spans="1:13" ht="19.95" customHeight="1" x14ac:dyDescent="0.25">
      <c r="A547" s="41">
        <v>45444</v>
      </c>
      <c r="B547" s="47">
        <f>MONTH(Table13[[#This Row],[YearMonth]])</f>
        <v>6</v>
      </c>
      <c r="C547" s="9" t="s">
        <v>187</v>
      </c>
      <c r="D547" s="6" t="s">
        <v>341</v>
      </c>
      <c r="E547" s="6">
        <f>IF(Table13[[#This Row],[Quartile]]="TopQuartile", 1,
 IF(Table13[[#This Row],[Quartile]]="SecondQuartile", 2,
 IF(Table13[[#This Row],[Quartile]]="ThirdQuartile", 3,
 IF(Table13[[#This Row],[Quartile]]="FourthQuartile", 4, ""))))</f>
        <v>3</v>
      </c>
      <c r="F547" s="9" t="s">
        <v>602</v>
      </c>
      <c r="G547" s="9" t="str" cm="1">
        <f t="array" ref="G547">IFERROR(
  INDEX(Table13[Quartile],
    MATCH(1,
      (Table13[[#This Row],[OrgName]]=Table13[OrgName]) *
      (Table13[[#This Row],[Month Number]]-1=Table13[Month Number]),
    0)
  ),
"")</f>
        <v>ThirdQuartile</v>
      </c>
      <c r="H547" s="9">
        <f>IF(Table13[[#This Row],[Previous Quartile]]="TopQuartile", 1,
 IF(Table13[[#This Row],[Previous Quartile]]="SecondQuartile", 2,
 IF(Table13[[#This Row],[Previous Quartile]]="ThirdQuartile", 3,
 IF(Table13[[#This Row],[Previous Quartile]]="FourthQuartile", 4, ""))))</f>
        <v>3</v>
      </c>
      <c r="I547" s="9" t="str">
        <f>IF(Table13[[#This Row],[Previous Quartile Value]]="", "",
   IF(Table13[[#This Row],[Quartile Value]] &lt; Table13[[#This Row],[Previous Quartile Value]], "Improved",
   IF(Table13[[#This Row],[Quartile Value]] &gt; Table13[[#This Row],[Previous Quartile Value]], "Dropped", "Same")))</f>
        <v>Same</v>
      </c>
      <c r="J547" s="10" t="s">
        <v>18</v>
      </c>
      <c r="K547" s="7" t="str">
        <f>VLOOKUP(J547,Introduction!$B$6:$C$14,2)</f>
        <v>Midlands</v>
      </c>
      <c r="L547" s="10">
        <v>383</v>
      </c>
      <c r="M547" s="8" t="s">
        <v>573</v>
      </c>
    </row>
    <row r="548" spans="1:13" ht="19.95" customHeight="1" x14ac:dyDescent="0.25">
      <c r="A548" s="41">
        <v>45444</v>
      </c>
      <c r="B548" s="47">
        <f>MONTH(Table13[[#This Row],[YearMonth]])</f>
        <v>6</v>
      </c>
      <c r="C548" s="9" t="s">
        <v>213</v>
      </c>
      <c r="D548" s="6" t="s">
        <v>341</v>
      </c>
      <c r="E548" s="6">
        <f>IF(Table13[[#This Row],[Quartile]]="TopQuartile", 1,
 IF(Table13[[#This Row],[Quartile]]="SecondQuartile", 2,
 IF(Table13[[#This Row],[Quartile]]="ThirdQuartile", 3,
 IF(Table13[[#This Row],[Quartile]]="FourthQuartile", 4, ""))))</f>
        <v>3</v>
      </c>
      <c r="F548" s="9" t="s">
        <v>604</v>
      </c>
      <c r="G548" s="9" t="str" cm="1">
        <f t="array" ref="G548">IFERROR(
  INDEX(Table13[Quartile],
    MATCH(1,
      (Table13[[#This Row],[OrgName]]=Table13[OrgName]) *
      (Table13[[#This Row],[Month Number]]-1=Table13[Month Number]),
    0)
  ),
"")</f>
        <v>SecondQuartile</v>
      </c>
      <c r="H548" s="9">
        <f>IF(Table13[[#This Row],[Previous Quartile]]="TopQuartile", 1,
 IF(Table13[[#This Row],[Previous Quartile]]="SecondQuartile", 2,
 IF(Table13[[#This Row],[Previous Quartile]]="ThirdQuartile", 3,
 IF(Table13[[#This Row],[Previous Quartile]]="FourthQuartile", 4, ""))))</f>
        <v>2</v>
      </c>
      <c r="I548" s="9" t="str">
        <f>IF(Table13[[#This Row],[Previous Quartile Value]]="", "",
   IF(Table13[[#This Row],[Quartile Value]] &lt; Table13[[#This Row],[Previous Quartile Value]], "Improved",
   IF(Table13[[#This Row],[Quartile Value]] &gt; Table13[[#This Row],[Previous Quartile Value]], "Dropped", "Same")))</f>
        <v>Dropped</v>
      </c>
      <c r="J548" s="10" t="s">
        <v>12</v>
      </c>
      <c r="K548" s="7" t="str">
        <f>VLOOKUP(J548,Introduction!$B$6:$C$14,2)</f>
        <v>London</v>
      </c>
      <c r="L548" s="10">
        <v>363</v>
      </c>
      <c r="M548" s="8" t="s">
        <v>573</v>
      </c>
    </row>
    <row r="549" spans="1:13" ht="19.95" customHeight="1" x14ac:dyDescent="0.25">
      <c r="A549" s="41">
        <v>45444</v>
      </c>
      <c r="B549" s="47">
        <f>MONTH(Table13[[#This Row],[YearMonth]])</f>
        <v>6</v>
      </c>
      <c r="C549" s="9" t="s">
        <v>118</v>
      </c>
      <c r="D549" s="6" t="s">
        <v>341</v>
      </c>
      <c r="E549" s="6">
        <f>IF(Table13[[#This Row],[Quartile]]="TopQuartile", 1,
 IF(Table13[[#This Row],[Quartile]]="SecondQuartile", 2,
 IF(Table13[[#This Row],[Quartile]]="ThirdQuartile", 3,
 IF(Table13[[#This Row],[Quartile]]="FourthQuartile", 4, ""))))</f>
        <v>3</v>
      </c>
      <c r="F549" s="9" t="s">
        <v>592</v>
      </c>
      <c r="G549" s="9" t="str" cm="1">
        <f t="array" ref="G549">IFERROR(
  INDEX(Table13[Quartile],
    MATCH(1,
      (Table13[[#This Row],[OrgName]]=Table13[OrgName]) *
      (Table13[[#This Row],[Month Number]]-1=Table13[Month Number]),
    0)
  ),
"")</f>
        <v>FourthQuartile</v>
      </c>
      <c r="H549" s="9">
        <f>IF(Table13[[#This Row],[Previous Quartile]]="TopQuartile", 1,
 IF(Table13[[#This Row],[Previous Quartile]]="SecondQuartile", 2,
 IF(Table13[[#This Row],[Previous Quartile]]="ThirdQuartile", 3,
 IF(Table13[[#This Row],[Previous Quartile]]="FourthQuartile", 4, ""))))</f>
        <v>4</v>
      </c>
      <c r="I549" s="9" t="str">
        <f>IF(Table13[[#This Row],[Previous Quartile Value]]="", "",
   IF(Table13[[#This Row],[Quartile Value]] &lt; Table13[[#This Row],[Previous Quartile Value]], "Improved",
   IF(Table13[[#This Row],[Quartile Value]] &gt; Table13[[#This Row],[Previous Quartile Value]], "Dropped", "Same")))</f>
        <v>Improved</v>
      </c>
      <c r="J549" s="10" t="s">
        <v>18</v>
      </c>
      <c r="K549" s="7" t="str">
        <f>VLOOKUP(J549,Introduction!$B$6:$C$14,2)</f>
        <v>Midlands</v>
      </c>
      <c r="L549" s="10">
        <v>186</v>
      </c>
      <c r="M549" s="8" t="s">
        <v>573</v>
      </c>
    </row>
    <row r="550" spans="1:13" ht="19.95" customHeight="1" x14ac:dyDescent="0.25">
      <c r="A550" s="41">
        <v>45444</v>
      </c>
      <c r="B550" s="47">
        <f>MONTH(Table13[[#This Row],[YearMonth]])</f>
        <v>6</v>
      </c>
      <c r="C550" s="9" t="s">
        <v>240</v>
      </c>
      <c r="D550" s="6" t="s">
        <v>341</v>
      </c>
      <c r="E550" s="6">
        <f>IF(Table13[[#This Row],[Quartile]]="TopQuartile", 1,
 IF(Table13[[#This Row],[Quartile]]="SecondQuartile", 2,
 IF(Table13[[#This Row],[Quartile]]="ThirdQuartile", 3,
 IF(Table13[[#This Row],[Quartile]]="FourthQuartile", 4, ""))))</f>
        <v>3</v>
      </c>
      <c r="F550" s="9" t="s">
        <v>605</v>
      </c>
      <c r="G550" s="9" t="str" cm="1">
        <f t="array" ref="G550">IFERROR(
  INDEX(Table13[Quartile],
    MATCH(1,
      (Table13[[#This Row],[OrgName]]=Table13[OrgName]) *
      (Table13[[#This Row],[Month Number]]-1=Table13[Month Number]),
    0)
  ),
"")</f>
        <v>FourthQuartile</v>
      </c>
      <c r="H550" s="9">
        <f>IF(Table13[[#This Row],[Previous Quartile]]="TopQuartile", 1,
 IF(Table13[[#This Row],[Previous Quartile]]="SecondQuartile", 2,
 IF(Table13[[#This Row],[Previous Quartile]]="ThirdQuartile", 3,
 IF(Table13[[#This Row],[Previous Quartile]]="FourthQuartile", 4, ""))))</f>
        <v>4</v>
      </c>
      <c r="I550" s="9" t="str">
        <f>IF(Table13[[#This Row],[Previous Quartile Value]]="", "",
   IF(Table13[[#This Row],[Quartile Value]] &lt; Table13[[#This Row],[Previous Quartile Value]], "Improved",
   IF(Table13[[#This Row],[Quartile Value]] &gt; Table13[[#This Row],[Previous Quartile Value]], "Dropped", "Same")))</f>
        <v>Improved</v>
      </c>
      <c r="J550" s="10" t="s">
        <v>12</v>
      </c>
      <c r="K550" s="7" t="str">
        <f>VLOOKUP(J550,Introduction!$B$6:$C$14,2)</f>
        <v>London</v>
      </c>
      <c r="L550" s="10">
        <v>277</v>
      </c>
      <c r="M550" s="8" t="s">
        <v>573</v>
      </c>
    </row>
    <row r="551" spans="1:13" ht="19.95" customHeight="1" x14ac:dyDescent="0.25">
      <c r="A551" s="41">
        <v>45444</v>
      </c>
      <c r="B551" s="47">
        <f>MONTH(Table13[[#This Row],[YearMonth]])</f>
        <v>6</v>
      </c>
      <c r="C551" s="9" t="s">
        <v>244</v>
      </c>
      <c r="D551" s="6" t="s">
        <v>341</v>
      </c>
      <c r="E551" s="6">
        <f>IF(Table13[[#This Row],[Quartile]]="TopQuartile", 1,
 IF(Table13[[#This Row],[Quartile]]="SecondQuartile", 2,
 IF(Table13[[#This Row],[Quartile]]="ThirdQuartile", 3,
 IF(Table13[[#This Row],[Quartile]]="FourthQuartile", 4, ""))))</f>
        <v>3</v>
      </c>
      <c r="F551" s="9" t="s">
        <v>606</v>
      </c>
      <c r="G551" s="9" t="str" cm="1">
        <f t="array" ref="G551">IFERROR(
  INDEX(Table13[Quartile],
    MATCH(1,
      (Table13[[#This Row],[OrgName]]=Table13[OrgName]) *
      (Table13[[#This Row],[Month Number]]-1=Table13[Month Number]),
    0)
  ),
"")</f>
        <v>FourthQuartile</v>
      </c>
      <c r="H551" s="9">
        <f>IF(Table13[[#This Row],[Previous Quartile]]="TopQuartile", 1,
 IF(Table13[[#This Row],[Previous Quartile]]="SecondQuartile", 2,
 IF(Table13[[#This Row],[Previous Quartile]]="ThirdQuartile", 3,
 IF(Table13[[#This Row],[Previous Quartile]]="FourthQuartile", 4, ""))))</f>
        <v>4</v>
      </c>
      <c r="I551" s="9" t="str">
        <f>IF(Table13[[#This Row],[Previous Quartile Value]]="", "",
   IF(Table13[[#This Row],[Quartile Value]] &lt; Table13[[#This Row],[Previous Quartile Value]], "Improved",
   IF(Table13[[#This Row],[Quartile Value]] &gt; Table13[[#This Row],[Previous Quartile Value]], "Dropped", "Same")))</f>
        <v>Improved</v>
      </c>
      <c r="J551" s="10" t="s">
        <v>18</v>
      </c>
      <c r="K551" s="7" t="str">
        <f>VLOOKUP(J551,Introduction!$B$6:$C$14,2)</f>
        <v>Midlands</v>
      </c>
      <c r="L551" s="10">
        <v>313</v>
      </c>
      <c r="M551" s="8" t="s">
        <v>573</v>
      </c>
    </row>
    <row r="552" spans="1:13" ht="19.95" customHeight="1" x14ac:dyDescent="0.25">
      <c r="A552" s="41">
        <v>45444</v>
      </c>
      <c r="B552" s="47">
        <f>MONTH(Table13[[#This Row],[YearMonth]])</f>
        <v>6</v>
      </c>
      <c r="C552" s="9" t="s">
        <v>250</v>
      </c>
      <c r="D552" s="6" t="s">
        <v>350</v>
      </c>
      <c r="E552" s="6">
        <f>IF(Table13[[#This Row],[Quartile]]="TopQuartile", 1,
 IF(Table13[[#This Row],[Quartile]]="SecondQuartile", 2,
 IF(Table13[[#This Row],[Quartile]]="ThirdQuartile", 3,
 IF(Table13[[#This Row],[Quartile]]="FourthQuartile", 4, ""))))</f>
        <v>4</v>
      </c>
      <c r="F552" s="9" t="s">
        <v>607</v>
      </c>
      <c r="G552" s="9" t="str" cm="1">
        <f t="array" ref="G552">IFERROR(
  INDEX(Table13[Quartile],
    MATCH(1,
      (Table13[[#This Row],[OrgName]]=Table13[OrgName]) *
      (Table13[[#This Row],[Month Number]]-1=Table13[Month Number]),
    0)
  ),
"")</f>
        <v>FourthQuartile</v>
      </c>
      <c r="H552" s="9">
        <f>IF(Table13[[#This Row],[Previous Quartile]]="TopQuartile", 1,
 IF(Table13[[#This Row],[Previous Quartile]]="SecondQuartile", 2,
 IF(Table13[[#This Row],[Previous Quartile]]="ThirdQuartile", 3,
 IF(Table13[[#This Row],[Previous Quartile]]="FourthQuartile", 4, ""))))</f>
        <v>4</v>
      </c>
      <c r="I552" s="9" t="str">
        <f>IF(Table13[[#This Row],[Previous Quartile Value]]="", "",
   IF(Table13[[#This Row],[Quartile Value]] &lt; Table13[[#This Row],[Previous Quartile Value]], "Improved",
   IF(Table13[[#This Row],[Quartile Value]] &gt; Table13[[#This Row],[Previous Quartile Value]], "Dropped", "Same")))</f>
        <v>Same</v>
      </c>
      <c r="J552" s="10" t="s">
        <v>16</v>
      </c>
      <c r="K552" s="7" t="str">
        <f>VLOOKUP(J552,Introduction!$B$6:$C$14,2)</f>
        <v>South East</v>
      </c>
      <c r="L552" s="10">
        <v>380</v>
      </c>
      <c r="M552" s="8" t="s">
        <v>573</v>
      </c>
    </row>
    <row r="553" spans="1:13" ht="19.95" customHeight="1" x14ac:dyDescent="0.25">
      <c r="A553" s="41">
        <v>45444</v>
      </c>
      <c r="B553" s="47">
        <f>MONTH(Table13[[#This Row],[YearMonth]])</f>
        <v>6</v>
      </c>
      <c r="C553" s="9" t="s">
        <v>255</v>
      </c>
      <c r="D553" s="6" t="s">
        <v>350</v>
      </c>
      <c r="E553" s="6">
        <f>IF(Table13[[#This Row],[Quartile]]="TopQuartile", 1,
 IF(Table13[[#This Row],[Quartile]]="SecondQuartile", 2,
 IF(Table13[[#This Row],[Quartile]]="ThirdQuartile", 3,
 IF(Table13[[#This Row],[Quartile]]="FourthQuartile", 4, ""))))</f>
        <v>4</v>
      </c>
      <c r="F553" s="9" t="s">
        <v>608</v>
      </c>
      <c r="G553" s="9" t="str" cm="1">
        <f t="array" ref="G553">IFERROR(
  INDEX(Table13[Quartile],
    MATCH(1,
      (Table13[[#This Row],[OrgName]]=Table13[OrgName]) *
      (Table13[[#This Row],[Month Number]]-1=Table13[Month Number]),
    0)
  ),
"")</f>
        <v>FourthQuartile</v>
      </c>
      <c r="H553" s="9">
        <f>IF(Table13[[#This Row],[Previous Quartile]]="TopQuartile", 1,
 IF(Table13[[#This Row],[Previous Quartile]]="SecondQuartile", 2,
 IF(Table13[[#This Row],[Previous Quartile]]="ThirdQuartile", 3,
 IF(Table13[[#This Row],[Previous Quartile]]="FourthQuartile", 4, ""))))</f>
        <v>4</v>
      </c>
      <c r="I553" s="9" t="str">
        <f>IF(Table13[[#This Row],[Previous Quartile Value]]="", "",
   IF(Table13[[#This Row],[Quartile Value]] &lt; Table13[[#This Row],[Previous Quartile Value]], "Improved",
   IF(Table13[[#This Row],[Quartile Value]] &gt; Table13[[#This Row],[Previous Quartile Value]], "Dropped", "Same")))</f>
        <v>Same</v>
      </c>
      <c r="J553" s="10" t="s">
        <v>20</v>
      </c>
      <c r="K553" s="7" t="str">
        <f>VLOOKUP(J553,Introduction!$B$6:$C$14,2)</f>
        <v>East of England</v>
      </c>
      <c r="L553" s="10">
        <v>310</v>
      </c>
      <c r="M553" s="8" t="s">
        <v>573</v>
      </c>
    </row>
    <row r="554" spans="1:13" ht="19.95" customHeight="1" x14ac:dyDescent="0.25">
      <c r="A554" s="41">
        <v>45444</v>
      </c>
      <c r="B554" s="47">
        <f>MONTH(Table13[[#This Row],[YearMonth]])</f>
        <v>6</v>
      </c>
      <c r="C554" s="9" t="s">
        <v>268</v>
      </c>
      <c r="D554" s="6" t="s">
        <v>350</v>
      </c>
      <c r="E554" s="6">
        <f>IF(Table13[[#This Row],[Quartile]]="TopQuartile", 1,
 IF(Table13[[#This Row],[Quartile]]="SecondQuartile", 2,
 IF(Table13[[#This Row],[Quartile]]="ThirdQuartile", 3,
 IF(Table13[[#This Row],[Quartile]]="FourthQuartile", 4, ""))))</f>
        <v>4</v>
      </c>
      <c r="F554" s="9" t="s">
        <v>610</v>
      </c>
      <c r="G554" s="9" t="str" cm="1">
        <f t="array" ref="G554">IFERROR(
  INDEX(Table13[Quartile],
    MATCH(1,
      (Table13[[#This Row],[OrgName]]=Table13[OrgName]) *
      (Table13[[#This Row],[Month Number]]-1=Table13[Month Number]),
    0)
  ),
"")</f>
        <v>FourthQuartile</v>
      </c>
      <c r="H554" s="9">
        <f>IF(Table13[[#This Row],[Previous Quartile]]="TopQuartile", 1,
 IF(Table13[[#This Row],[Previous Quartile]]="SecondQuartile", 2,
 IF(Table13[[#This Row],[Previous Quartile]]="ThirdQuartile", 3,
 IF(Table13[[#This Row],[Previous Quartile]]="FourthQuartile", 4, ""))))</f>
        <v>4</v>
      </c>
      <c r="I554" s="9" t="str">
        <f>IF(Table13[[#This Row],[Previous Quartile Value]]="", "",
   IF(Table13[[#This Row],[Quartile Value]] &lt; Table13[[#This Row],[Previous Quartile Value]], "Improved",
   IF(Table13[[#This Row],[Quartile Value]] &gt; Table13[[#This Row],[Previous Quartile Value]], "Dropped", "Same")))</f>
        <v>Same</v>
      </c>
      <c r="J554" s="10" t="s">
        <v>16</v>
      </c>
      <c r="K554" s="7" t="str">
        <f>VLOOKUP(J554,Introduction!$B$6:$C$14,2)</f>
        <v>South East</v>
      </c>
      <c r="L554" s="10">
        <v>325</v>
      </c>
      <c r="M554" s="8" t="s">
        <v>573</v>
      </c>
    </row>
    <row r="555" spans="1:13" ht="19.95" customHeight="1" x14ac:dyDescent="0.25">
      <c r="A555" s="41">
        <v>45444</v>
      </c>
      <c r="B555" s="47">
        <f>MONTH(Table13[[#This Row],[YearMonth]])</f>
        <v>6</v>
      </c>
      <c r="C555" s="9" t="s">
        <v>271</v>
      </c>
      <c r="D555" s="6" t="s">
        <v>350</v>
      </c>
      <c r="E555" s="6">
        <f>IF(Table13[[#This Row],[Quartile]]="TopQuartile", 1,
 IF(Table13[[#This Row],[Quartile]]="SecondQuartile", 2,
 IF(Table13[[#This Row],[Quartile]]="ThirdQuartile", 3,
 IF(Table13[[#This Row],[Quartile]]="FourthQuartile", 4, ""))))</f>
        <v>4</v>
      </c>
      <c r="F555" s="9" t="s">
        <v>611</v>
      </c>
      <c r="G555" s="9" t="str" cm="1">
        <f t="array" ref="G555">IFERROR(
  INDEX(Table13[Quartile],
    MATCH(1,
      (Table13[[#This Row],[OrgName]]=Table13[OrgName]) *
      (Table13[[#This Row],[Month Number]]-1=Table13[Month Number]),
    0)
  ),
"")</f>
        <v>FourthQuartile</v>
      </c>
      <c r="H555" s="9">
        <f>IF(Table13[[#This Row],[Previous Quartile]]="TopQuartile", 1,
 IF(Table13[[#This Row],[Previous Quartile]]="SecondQuartile", 2,
 IF(Table13[[#This Row],[Previous Quartile]]="ThirdQuartile", 3,
 IF(Table13[[#This Row],[Previous Quartile]]="FourthQuartile", 4, ""))))</f>
        <v>4</v>
      </c>
      <c r="I555" s="9" t="str">
        <f>IF(Table13[[#This Row],[Previous Quartile Value]]="", "",
   IF(Table13[[#This Row],[Quartile Value]] &lt; Table13[[#This Row],[Previous Quartile Value]], "Improved",
   IF(Table13[[#This Row],[Quartile Value]] &gt; Table13[[#This Row],[Previous Quartile Value]], "Dropped", "Same")))</f>
        <v>Same</v>
      </c>
      <c r="J555" s="10" t="s">
        <v>12</v>
      </c>
      <c r="K555" s="7" t="str">
        <f>VLOOKUP(J555,Introduction!$B$6:$C$14,2)</f>
        <v>London</v>
      </c>
      <c r="L555" s="10">
        <v>334</v>
      </c>
      <c r="M555" s="8" t="s">
        <v>573</v>
      </c>
    </row>
    <row r="556" spans="1:13" ht="19.95" customHeight="1" x14ac:dyDescent="0.25">
      <c r="A556" s="41">
        <v>45444</v>
      </c>
      <c r="B556" s="47">
        <f>MONTH(Table13[[#This Row],[YearMonth]])</f>
        <v>6</v>
      </c>
      <c r="C556" s="9" t="s">
        <v>264</v>
      </c>
      <c r="D556" s="6" t="s">
        <v>350</v>
      </c>
      <c r="E556" s="6">
        <f>IF(Table13[[#This Row],[Quartile]]="TopQuartile", 1,
 IF(Table13[[#This Row],[Quartile]]="SecondQuartile", 2,
 IF(Table13[[#This Row],[Quartile]]="ThirdQuartile", 3,
 IF(Table13[[#This Row],[Quartile]]="FourthQuartile", 4, ""))))</f>
        <v>4</v>
      </c>
      <c r="F556" s="9" t="s">
        <v>609</v>
      </c>
      <c r="G556" s="9" t="str" cm="1">
        <f t="array" ref="G556">IFERROR(
  INDEX(Table13[Quartile],
    MATCH(1,
      (Table13[[#This Row],[OrgName]]=Table13[OrgName]) *
      (Table13[[#This Row],[Month Number]]-1=Table13[Month Number]),
    0)
  ),
"")</f>
        <v>FourthQuartile</v>
      </c>
      <c r="H556" s="9">
        <f>IF(Table13[[#This Row],[Previous Quartile]]="TopQuartile", 1,
 IF(Table13[[#This Row],[Previous Quartile]]="SecondQuartile", 2,
 IF(Table13[[#This Row],[Previous Quartile]]="ThirdQuartile", 3,
 IF(Table13[[#This Row],[Previous Quartile]]="FourthQuartile", 4, ""))))</f>
        <v>4</v>
      </c>
      <c r="I556" s="9" t="str">
        <f>IF(Table13[[#This Row],[Previous Quartile Value]]="", "",
   IF(Table13[[#This Row],[Quartile Value]] &lt; Table13[[#This Row],[Previous Quartile Value]], "Improved",
   IF(Table13[[#This Row],[Quartile Value]] &gt; Table13[[#This Row],[Previous Quartile Value]], "Dropped", "Same")))</f>
        <v>Same</v>
      </c>
      <c r="J556" s="10" t="s">
        <v>16</v>
      </c>
      <c r="K556" s="7" t="str">
        <f>VLOOKUP(J556,Introduction!$B$6:$C$14,2)</f>
        <v>South East</v>
      </c>
      <c r="L556" s="10">
        <v>267</v>
      </c>
      <c r="M556" s="8" t="s">
        <v>573</v>
      </c>
    </row>
    <row r="557" spans="1:13" ht="19.95" customHeight="1" x14ac:dyDescent="0.25">
      <c r="A557" s="41">
        <v>45444</v>
      </c>
      <c r="B557" s="47">
        <f>MONTH(Table13[[#This Row],[YearMonth]])</f>
        <v>6</v>
      </c>
      <c r="C557" s="9" t="s">
        <v>280</v>
      </c>
      <c r="D557" s="6" t="s">
        <v>350</v>
      </c>
      <c r="E557" s="6">
        <f>IF(Table13[[#This Row],[Quartile]]="TopQuartile", 1,
 IF(Table13[[#This Row],[Quartile]]="SecondQuartile", 2,
 IF(Table13[[#This Row],[Quartile]]="ThirdQuartile", 3,
 IF(Table13[[#This Row],[Quartile]]="FourthQuartile", 4, ""))))</f>
        <v>4</v>
      </c>
      <c r="F557" s="9" t="s">
        <v>612</v>
      </c>
      <c r="G557" s="9" t="str" cm="1">
        <f t="array" ref="G557">IFERROR(
  INDEX(Table13[Quartile],
    MATCH(1,
      (Table13[[#This Row],[OrgName]]=Table13[OrgName]) *
      (Table13[[#This Row],[Month Number]]-1=Table13[Month Number]),
    0)
  ),
"")</f>
        <v>FourthQuartile</v>
      </c>
      <c r="H557" s="9">
        <f>IF(Table13[[#This Row],[Previous Quartile]]="TopQuartile", 1,
 IF(Table13[[#This Row],[Previous Quartile]]="SecondQuartile", 2,
 IF(Table13[[#This Row],[Previous Quartile]]="ThirdQuartile", 3,
 IF(Table13[[#This Row],[Previous Quartile]]="FourthQuartile", 4, ""))))</f>
        <v>4</v>
      </c>
      <c r="I557" s="9" t="str">
        <f>IF(Table13[[#This Row],[Previous Quartile Value]]="", "",
   IF(Table13[[#This Row],[Quartile Value]] &lt; Table13[[#This Row],[Previous Quartile Value]], "Improved",
   IF(Table13[[#This Row],[Quartile Value]] &gt; Table13[[#This Row],[Previous Quartile Value]], "Dropped", "Same")))</f>
        <v>Same</v>
      </c>
      <c r="J557" s="10" t="s">
        <v>12</v>
      </c>
      <c r="K557" s="7" t="str">
        <f>VLOOKUP(J557,Introduction!$B$6:$C$14,2)</f>
        <v>London</v>
      </c>
      <c r="L557" s="10">
        <v>260</v>
      </c>
      <c r="M557" s="8" t="s">
        <v>573</v>
      </c>
    </row>
    <row r="558" spans="1:13" ht="19.95" customHeight="1" x14ac:dyDescent="0.25">
      <c r="A558" s="41">
        <v>45444</v>
      </c>
      <c r="B558" s="47">
        <f>MONTH(Table13[[#This Row],[YearMonth]])</f>
        <v>6</v>
      </c>
      <c r="C558" s="9" t="s">
        <v>286</v>
      </c>
      <c r="D558" s="6" t="s">
        <v>350</v>
      </c>
      <c r="E558" s="6">
        <f>IF(Table13[[#This Row],[Quartile]]="TopQuartile", 1,
 IF(Table13[[#This Row],[Quartile]]="SecondQuartile", 2,
 IF(Table13[[#This Row],[Quartile]]="ThirdQuartile", 3,
 IF(Table13[[#This Row],[Quartile]]="FourthQuartile", 4, ""))))</f>
        <v>4</v>
      </c>
      <c r="F558" s="9" t="s">
        <v>613</v>
      </c>
      <c r="G558" s="9" t="str" cm="1">
        <f t="array" ref="G558">IFERROR(
  INDEX(Table13[Quartile],
    MATCH(1,
      (Table13[[#This Row],[OrgName]]=Table13[OrgName]) *
      (Table13[[#This Row],[Month Number]]-1=Table13[Month Number]),
    0)
  ),
"")</f>
        <v>FourthQuartile</v>
      </c>
      <c r="H558" s="9">
        <f>IF(Table13[[#This Row],[Previous Quartile]]="TopQuartile", 1,
 IF(Table13[[#This Row],[Previous Quartile]]="SecondQuartile", 2,
 IF(Table13[[#This Row],[Previous Quartile]]="ThirdQuartile", 3,
 IF(Table13[[#This Row],[Previous Quartile]]="FourthQuartile", 4, ""))))</f>
        <v>4</v>
      </c>
      <c r="I558" s="9" t="str">
        <f>IF(Table13[[#This Row],[Previous Quartile Value]]="", "",
   IF(Table13[[#This Row],[Quartile Value]] &lt; Table13[[#This Row],[Previous Quartile Value]], "Improved",
   IF(Table13[[#This Row],[Quartile Value]] &gt; Table13[[#This Row],[Previous Quartile Value]], "Dropped", "Same")))</f>
        <v>Same</v>
      </c>
      <c r="J558" s="10" t="s">
        <v>12</v>
      </c>
      <c r="K558" s="7" t="str">
        <f>VLOOKUP(J558,Introduction!$B$6:$C$14,2)</f>
        <v>London</v>
      </c>
      <c r="L558" s="10">
        <v>395</v>
      </c>
      <c r="M558" s="8" t="s">
        <v>573</v>
      </c>
    </row>
    <row r="559" spans="1:13" ht="19.95" customHeight="1" x14ac:dyDescent="0.25">
      <c r="A559" s="41">
        <v>45444</v>
      </c>
      <c r="B559" s="47">
        <f>MONTH(Table13[[#This Row],[YearMonth]])</f>
        <v>6</v>
      </c>
      <c r="C559" s="9" t="s">
        <v>289</v>
      </c>
      <c r="D559" s="6" t="s">
        <v>350</v>
      </c>
      <c r="E559" s="6">
        <f>IF(Table13[[#This Row],[Quartile]]="TopQuartile", 1,
 IF(Table13[[#This Row],[Quartile]]="SecondQuartile", 2,
 IF(Table13[[#This Row],[Quartile]]="ThirdQuartile", 3,
 IF(Table13[[#This Row],[Quartile]]="FourthQuartile", 4, ""))))</f>
        <v>4</v>
      </c>
      <c r="F559" s="9" t="s">
        <v>614</v>
      </c>
      <c r="G559" s="9" t="str" cm="1">
        <f t="array" ref="G559">IFERROR(
  INDEX(Table13[Quartile],
    MATCH(1,
      (Table13[[#This Row],[OrgName]]=Table13[OrgName]) *
      (Table13[[#This Row],[Month Number]]-1=Table13[Month Number]),
    0)
  ),
"")</f>
        <v>FourthQuartile</v>
      </c>
      <c r="H559" s="9">
        <f>IF(Table13[[#This Row],[Previous Quartile]]="TopQuartile", 1,
 IF(Table13[[#This Row],[Previous Quartile]]="SecondQuartile", 2,
 IF(Table13[[#This Row],[Previous Quartile]]="ThirdQuartile", 3,
 IF(Table13[[#This Row],[Previous Quartile]]="FourthQuartile", 4, ""))))</f>
        <v>4</v>
      </c>
      <c r="I559" s="9" t="str">
        <f>IF(Table13[[#This Row],[Previous Quartile Value]]="", "",
   IF(Table13[[#This Row],[Quartile Value]] &lt; Table13[[#This Row],[Previous Quartile Value]], "Improved",
   IF(Table13[[#This Row],[Quartile Value]] &gt; Table13[[#This Row],[Previous Quartile Value]], "Dropped", "Same")))</f>
        <v>Same</v>
      </c>
      <c r="J559" s="10" t="s">
        <v>18</v>
      </c>
      <c r="K559" s="7" t="str">
        <f>VLOOKUP(J559,Introduction!$B$6:$C$14,2)</f>
        <v>Midlands</v>
      </c>
      <c r="L559" s="10">
        <v>285</v>
      </c>
      <c r="M559" s="8" t="s">
        <v>573</v>
      </c>
    </row>
    <row r="560" spans="1:13" ht="19.95" customHeight="1" x14ac:dyDescent="0.25">
      <c r="A560" s="41">
        <v>45444</v>
      </c>
      <c r="B560" s="47">
        <f>MONTH(Table13[[#This Row],[YearMonth]])</f>
        <v>6</v>
      </c>
      <c r="C560" s="9" t="s">
        <v>293</v>
      </c>
      <c r="D560" s="6" t="s">
        <v>350</v>
      </c>
      <c r="E560" s="6">
        <f>IF(Table13[[#This Row],[Quartile]]="TopQuartile", 1,
 IF(Table13[[#This Row],[Quartile]]="SecondQuartile", 2,
 IF(Table13[[#This Row],[Quartile]]="ThirdQuartile", 3,
 IF(Table13[[#This Row],[Quartile]]="FourthQuartile", 4, ""))))</f>
        <v>4</v>
      </c>
      <c r="F560" s="9" t="s">
        <v>615</v>
      </c>
      <c r="G560" s="9" t="str" cm="1">
        <f t="array" ref="G560">IFERROR(
  INDEX(Table13[Quartile],
    MATCH(1,
      (Table13[[#This Row],[OrgName]]=Table13[OrgName]) *
      (Table13[[#This Row],[Month Number]]-1=Table13[Month Number]),
    0)
  ),
"")</f>
        <v>FourthQuartile</v>
      </c>
      <c r="H560" s="9">
        <f>IF(Table13[[#This Row],[Previous Quartile]]="TopQuartile", 1,
 IF(Table13[[#This Row],[Previous Quartile]]="SecondQuartile", 2,
 IF(Table13[[#This Row],[Previous Quartile]]="ThirdQuartile", 3,
 IF(Table13[[#This Row],[Previous Quartile]]="FourthQuartile", 4, ""))))</f>
        <v>4</v>
      </c>
      <c r="I560" s="9" t="str">
        <f>IF(Table13[[#This Row],[Previous Quartile Value]]="", "",
   IF(Table13[[#This Row],[Quartile Value]] &lt; Table13[[#This Row],[Previous Quartile Value]], "Improved",
   IF(Table13[[#This Row],[Quartile Value]] &gt; Table13[[#This Row],[Previous Quartile Value]], "Dropped", "Same")))</f>
        <v>Same</v>
      </c>
      <c r="J560" s="10" t="s">
        <v>22</v>
      </c>
      <c r="K560" s="7" t="str">
        <f>VLOOKUP(J560,Introduction!$B$6:$C$14,2)</f>
        <v>North West</v>
      </c>
      <c r="L560" s="10">
        <v>351</v>
      </c>
      <c r="M560" s="8" t="s">
        <v>573</v>
      </c>
    </row>
    <row r="561" spans="1:13" ht="19.95" customHeight="1" x14ac:dyDescent="0.25">
      <c r="A561" s="41">
        <v>45444</v>
      </c>
      <c r="B561" s="47">
        <f>MONTH(Table13[[#This Row],[YearMonth]])</f>
        <v>6</v>
      </c>
      <c r="C561" s="9" t="s">
        <v>295</v>
      </c>
      <c r="D561" s="6" t="s">
        <v>350</v>
      </c>
      <c r="E561" s="6">
        <f>IF(Table13[[#This Row],[Quartile]]="TopQuartile", 1,
 IF(Table13[[#This Row],[Quartile]]="SecondQuartile", 2,
 IF(Table13[[#This Row],[Quartile]]="ThirdQuartile", 3,
 IF(Table13[[#This Row],[Quartile]]="FourthQuartile", 4, ""))))</f>
        <v>4</v>
      </c>
      <c r="F561" s="9" t="s">
        <v>616</v>
      </c>
      <c r="G561" s="9" t="str" cm="1">
        <f t="array" ref="G561">IFERROR(
  INDEX(Table13[Quartile],
    MATCH(1,
      (Table13[[#This Row],[OrgName]]=Table13[OrgName]) *
      (Table13[[#This Row],[Month Number]]-1=Table13[Month Number]),
    0)
  ),
"")</f>
        <v>FourthQuartile</v>
      </c>
      <c r="H561" s="9">
        <f>IF(Table13[[#This Row],[Previous Quartile]]="TopQuartile", 1,
 IF(Table13[[#This Row],[Previous Quartile]]="SecondQuartile", 2,
 IF(Table13[[#This Row],[Previous Quartile]]="ThirdQuartile", 3,
 IF(Table13[[#This Row],[Previous Quartile]]="FourthQuartile", 4, ""))))</f>
        <v>4</v>
      </c>
      <c r="I561" s="9" t="str">
        <f>IF(Table13[[#This Row],[Previous Quartile Value]]="", "",
   IF(Table13[[#This Row],[Quartile Value]] &lt; Table13[[#This Row],[Previous Quartile Value]], "Improved",
   IF(Table13[[#This Row],[Quartile Value]] &gt; Table13[[#This Row],[Previous Quartile Value]], "Dropped", "Same")))</f>
        <v>Same</v>
      </c>
      <c r="J561" s="10" t="s">
        <v>18</v>
      </c>
      <c r="K561" s="7" t="str">
        <f>VLOOKUP(J561,Introduction!$B$6:$C$14,2)</f>
        <v>Midlands</v>
      </c>
      <c r="L561" s="10">
        <v>444</v>
      </c>
      <c r="M561" s="8" t="s">
        <v>573</v>
      </c>
    </row>
    <row r="562" spans="1:13" ht="19.95" customHeight="1" x14ac:dyDescent="0.25">
      <c r="A562" s="41">
        <v>45444</v>
      </c>
      <c r="B562" s="47">
        <f>MONTH(Table13[[#This Row],[YearMonth]])</f>
        <v>6</v>
      </c>
      <c r="C562" s="9" t="s">
        <v>306</v>
      </c>
      <c r="D562" s="6" t="s">
        <v>350</v>
      </c>
      <c r="E562" s="6">
        <f>IF(Table13[[#This Row],[Quartile]]="TopQuartile", 1,
 IF(Table13[[#This Row],[Quartile]]="SecondQuartile", 2,
 IF(Table13[[#This Row],[Quartile]]="ThirdQuartile", 3,
 IF(Table13[[#This Row],[Quartile]]="FourthQuartile", 4, ""))))</f>
        <v>4</v>
      </c>
      <c r="F562" s="9" t="s">
        <v>617</v>
      </c>
      <c r="G562" s="9" t="str" cm="1">
        <f t="array" ref="G562">IFERROR(
  INDEX(Table13[Quartile],
    MATCH(1,
      (Table13[[#This Row],[OrgName]]=Table13[OrgName]) *
      (Table13[[#This Row],[Month Number]]-1=Table13[Month Number]),
    0)
  ),
"")</f>
        <v>FourthQuartile</v>
      </c>
      <c r="H562" s="9">
        <f>IF(Table13[[#This Row],[Previous Quartile]]="TopQuartile", 1,
 IF(Table13[[#This Row],[Previous Quartile]]="SecondQuartile", 2,
 IF(Table13[[#This Row],[Previous Quartile]]="ThirdQuartile", 3,
 IF(Table13[[#This Row],[Previous Quartile]]="FourthQuartile", 4, ""))))</f>
        <v>4</v>
      </c>
      <c r="I562" s="9" t="str">
        <f>IF(Table13[[#This Row],[Previous Quartile Value]]="", "",
   IF(Table13[[#This Row],[Quartile Value]] &lt; Table13[[#This Row],[Previous Quartile Value]], "Improved",
   IF(Table13[[#This Row],[Quartile Value]] &gt; Table13[[#This Row],[Previous Quartile Value]], "Dropped", "Same")))</f>
        <v>Same</v>
      </c>
      <c r="J562" s="10" t="s">
        <v>18</v>
      </c>
      <c r="K562" s="7" t="str">
        <f>VLOOKUP(J562,Introduction!$B$6:$C$14,2)</f>
        <v>Midlands</v>
      </c>
      <c r="L562" s="10">
        <v>436</v>
      </c>
      <c r="M562" s="8" t="s">
        <v>573</v>
      </c>
    </row>
    <row r="563" spans="1:13" ht="19.95" customHeight="1" x14ac:dyDescent="0.25">
      <c r="A563" s="41">
        <v>45444</v>
      </c>
      <c r="B563" s="47">
        <f>MONTH(Table13[[#This Row],[YearMonth]])</f>
        <v>6</v>
      </c>
      <c r="C563" s="9" t="s">
        <v>32</v>
      </c>
      <c r="D563" s="6" t="s">
        <v>330</v>
      </c>
      <c r="E563" s="6">
        <f>IF(Table13[[#This Row],[Quartile]]="TopQuartile", 1,
 IF(Table13[[#This Row],[Quartile]]="SecondQuartile", 2,
 IF(Table13[[#This Row],[Quartile]]="ThirdQuartile", 3,
 IF(Table13[[#This Row],[Quartile]]="FourthQuartile", 4, ""))))</f>
        <v>1</v>
      </c>
      <c r="F563" s="9" t="s">
        <v>618</v>
      </c>
      <c r="G563" s="9" t="str" cm="1">
        <f t="array" ref="G563">IFERROR(
  INDEX(Table13[Quartile],
    MATCH(1,
      (Table13[[#This Row],[OrgName]]=Table13[OrgName]) *
      (Table13[[#This Row],[Month Number]]-1=Table13[Month Number]),
    0)
  ),
"")</f>
        <v>TopQuartile</v>
      </c>
      <c r="H563" s="9">
        <f>IF(Table13[[#This Row],[Previous Quartile]]="TopQuartile", 1,
 IF(Table13[[#This Row],[Previous Quartile]]="SecondQuartile", 2,
 IF(Table13[[#This Row],[Previous Quartile]]="ThirdQuartile", 3,
 IF(Table13[[#This Row],[Previous Quartile]]="FourthQuartile", 4, ""))))</f>
        <v>1</v>
      </c>
      <c r="I563" s="9" t="str">
        <f>IF(Table13[[#This Row],[Previous Quartile Value]]="", "",
   IF(Table13[[#This Row],[Quartile Value]] &lt; Table13[[#This Row],[Previous Quartile Value]], "Improved",
   IF(Table13[[#This Row],[Quartile Value]] &gt; Table13[[#This Row],[Previous Quartile Value]], "Dropped", "Same")))</f>
        <v>Same</v>
      </c>
      <c r="J563" s="10" t="s">
        <v>10</v>
      </c>
      <c r="K563" s="7" t="str">
        <f>VLOOKUP(J563,Introduction!$B$6:$C$14,2)</f>
        <v>Special Health Authorities and other statutory bodies</v>
      </c>
      <c r="L563" s="10">
        <v>907</v>
      </c>
      <c r="M563" s="8" t="s">
        <v>33</v>
      </c>
    </row>
    <row r="564" spans="1:13" ht="19.95" customHeight="1" x14ac:dyDescent="0.25">
      <c r="A564" s="41">
        <v>45444</v>
      </c>
      <c r="B564" s="47">
        <f>MONTH(Table13[[#This Row],[YearMonth]])</f>
        <v>6</v>
      </c>
      <c r="C564" s="9" t="s">
        <v>120</v>
      </c>
      <c r="D564" s="6" t="s">
        <v>338</v>
      </c>
      <c r="E564" s="6">
        <f>IF(Table13[[#This Row],[Quartile]]="TopQuartile", 1,
 IF(Table13[[#This Row],[Quartile]]="SecondQuartile", 2,
 IF(Table13[[#This Row],[Quartile]]="ThirdQuartile", 3,
 IF(Table13[[#This Row],[Quartile]]="FourthQuartile", 4, ""))))</f>
        <v>2</v>
      </c>
      <c r="F564" s="9" t="s">
        <v>619</v>
      </c>
      <c r="G564" s="9" t="str" cm="1">
        <f t="array" ref="G564">IFERROR(
  INDEX(Table13[Quartile],
    MATCH(1,
      (Table13[[#This Row],[OrgName]]=Table13[OrgName]) *
      (Table13[[#This Row],[Month Number]]-1=Table13[Month Number]),
    0)
  ),
"")</f>
        <v>TopQuartile</v>
      </c>
      <c r="H564" s="9">
        <f>IF(Table13[[#This Row],[Previous Quartile]]="TopQuartile", 1,
 IF(Table13[[#This Row],[Previous Quartile]]="SecondQuartile", 2,
 IF(Table13[[#This Row],[Previous Quartile]]="ThirdQuartile", 3,
 IF(Table13[[#This Row],[Previous Quartile]]="FourthQuartile", 4, ""))))</f>
        <v>1</v>
      </c>
      <c r="I564" s="9" t="str">
        <f>IF(Table13[[#This Row],[Previous Quartile Value]]="", "",
   IF(Table13[[#This Row],[Quartile Value]] &lt; Table13[[#This Row],[Previous Quartile Value]], "Improved",
   IF(Table13[[#This Row],[Quartile Value]] &gt; Table13[[#This Row],[Previous Quartile Value]], "Dropped", "Same")))</f>
        <v>Dropped</v>
      </c>
      <c r="J564" s="10" t="s">
        <v>10</v>
      </c>
      <c r="K564" s="7" t="str">
        <f>VLOOKUP(J564,Introduction!$B$6:$C$14,2)</f>
        <v>Special Health Authorities and other statutory bodies</v>
      </c>
      <c r="L564" s="10">
        <v>980</v>
      </c>
      <c r="M564" s="8" t="s">
        <v>33</v>
      </c>
    </row>
    <row r="565" spans="1:13" ht="19.95" customHeight="1" x14ac:dyDescent="0.25">
      <c r="A565" s="41">
        <v>45444</v>
      </c>
      <c r="B565" s="47">
        <f>MONTH(Table13[[#This Row],[YearMonth]])</f>
        <v>6</v>
      </c>
      <c r="C565" s="9" t="s">
        <v>155</v>
      </c>
      <c r="D565" s="6" t="s">
        <v>338</v>
      </c>
      <c r="E565" s="6">
        <f>IF(Table13[[#This Row],[Quartile]]="TopQuartile", 1,
 IF(Table13[[#This Row],[Quartile]]="SecondQuartile", 2,
 IF(Table13[[#This Row],[Quartile]]="ThirdQuartile", 3,
 IF(Table13[[#This Row],[Quartile]]="FourthQuartile", 4, ""))))</f>
        <v>2</v>
      </c>
      <c r="F565" s="9" t="s">
        <v>620</v>
      </c>
      <c r="G565" s="9" t="str" cm="1">
        <f t="array" ref="G565">IFERROR(
  INDEX(Table13[Quartile],
    MATCH(1,
      (Table13[[#This Row],[OrgName]]=Table13[OrgName]) *
      (Table13[[#This Row],[Month Number]]-1=Table13[Month Number]),
    0)
  ),
"")</f>
        <v>SecondQuartile</v>
      </c>
      <c r="H565" s="9">
        <f>IF(Table13[[#This Row],[Previous Quartile]]="TopQuartile", 1,
 IF(Table13[[#This Row],[Previous Quartile]]="SecondQuartile", 2,
 IF(Table13[[#This Row],[Previous Quartile]]="ThirdQuartile", 3,
 IF(Table13[[#This Row],[Previous Quartile]]="FourthQuartile", 4, ""))))</f>
        <v>2</v>
      </c>
      <c r="I565" s="9" t="str">
        <f>IF(Table13[[#This Row],[Previous Quartile Value]]="", "",
   IF(Table13[[#This Row],[Quartile Value]] &lt; Table13[[#This Row],[Previous Quartile Value]], "Improved",
   IF(Table13[[#This Row],[Quartile Value]] &gt; Table13[[#This Row],[Previous Quartile Value]], "Dropped", "Same")))</f>
        <v>Same</v>
      </c>
      <c r="J565" s="10" t="s">
        <v>10</v>
      </c>
      <c r="K565" s="7" t="str">
        <f>VLOOKUP(J565,Introduction!$B$6:$C$14,2)</f>
        <v>Special Health Authorities and other statutory bodies</v>
      </c>
      <c r="L565" s="10">
        <v>918</v>
      </c>
      <c r="M565" s="8" t="s">
        <v>33</v>
      </c>
    </row>
    <row r="566" spans="1:13" ht="19.95" customHeight="1" x14ac:dyDescent="0.25">
      <c r="A566" s="41">
        <v>45444</v>
      </c>
      <c r="B566" s="47">
        <f>MONTH(Table13[[#This Row],[YearMonth]])</f>
        <v>6</v>
      </c>
      <c r="C566" s="9" t="s">
        <v>163</v>
      </c>
      <c r="D566" s="6" t="s">
        <v>338</v>
      </c>
      <c r="E566" s="6">
        <f>IF(Table13[[#This Row],[Quartile]]="TopQuartile", 1,
 IF(Table13[[#This Row],[Quartile]]="SecondQuartile", 2,
 IF(Table13[[#This Row],[Quartile]]="ThirdQuartile", 3,
 IF(Table13[[#This Row],[Quartile]]="FourthQuartile", 4, ""))))</f>
        <v>2</v>
      </c>
      <c r="F566" s="9" t="s">
        <v>621</v>
      </c>
      <c r="G566" s="9" t="str" cm="1">
        <f t="array" ref="G566">IFERROR(
  INDEX(Table13[Quartile],
    MATCH(1,
      (Table13[[#This Row],[OrgName]]=Table13[OrgName]) *
      (Table13[[#This Row],[Month Number]]-1=Table13[Month Number]),
    0)
  ),
"")</f>
        <v>SecondQuartile</v>
      </c>
      <c r="H566" s="9">
        <f>IF(Table13[[#This Row],[Previous Quartile]]="TopQuartile", 1,
 IF(Table13[[#This Row],[Previous Quartile]]="SecondQuartile", 2,
 IF(Table13[[#This Row],[Previous Quartile]]="ThirdQuartile", 3,
 IF(Table13[[#This Row],[Previous Quartile]]="FourthQuartile", 4, ""))))</f>
        <v>2</v>
      </c>
      <c r="I566" s="9" t="str">
        <f>IF(Table13[[#This Row],[Previous Quartile Value]]="", "",
   IF(Table13[[#This Row],[Quartile Value]] &lt; Table13[[#This Row],[Previous Quartile Value]], "Improved",
   IF(Table13[[#This Row],[Quartile Value]] &gt; Table13[[#This Row],[Previous Quartile Value]], "Dropped", "Same")))</f>
        <v>Same</v>
      </c>
      <c r="J566" s="10" t="s">
        <v>10</v>
      </c>
      <c r="K566" s="7" t="str">
        <f>VLOOKUP(J566,Introduction!$B$6:$C$14,2)</f>
        <v>Special Health Authorities and other statutory bodies</v>
      </c>
      <c r="L566" s="10">
        <v>914</v>
      </c>
      <c r="M566" s="8" t="s">
        <v>33</v>
      </c>
    </row>
    <row r="567" spans="1:13" ht="19.95" customHeight="1" x14ac:dyDescent="0.25">
      <c r="A567" s="41">
        <v>45444</v>
      </c>
      <c r="B567" s="47">
        <f>MONTH(Table13[[#This Row],[YearMonth]])</f>
        <v>6</v>
      </c>
      <c r="C567" s="9" t="s">
        <v>176</v>
      </c>
      <c r="D567" s="6" t="s">
        <v>338</v>
      </c>
      <c r="E567" s="6">
        <f>IF(Table13[[#This Row],[Quartile]]="TopQuartile", 1,
 IF(Table13[[#This Row],[Quartile]]="SecondQuartile", 2,
 IF(Table13[[#This Row],[Quartile]]="ThirdQuartile", 3,
 IF(Table13[[#This Row],[Quartile]]="FourthQuartile", 4, ""))))</f>
        <v>2</v>
      </c>
      <c r="F567" s="9" t="s">
        <v>622</v>
      </c>
      <c r="G567" s="9" t="str" cm="1">
        <f t="array" ref="G567">IFERROR(
  INDEX(Table13[Quartile],
    MATCH(1,
      (Table13[[#This Row],[OrgName]]=Table13[OrgName]) *
      (Table13[[#This Row],[Month Number]]-1=Table13[Month Number]),
    0)
  ),
"")</f>
        <v>SecondQuartile</v>
      </c>
      <c r="H567" s="9">
        <f>IF(Table13[[#This Row],[Previous Quartile]]="TopQuartile", 1,
 IF(Table13[[#This Row],[Previous Quartile]]="SecondQuartile", 2,
 IF(Table13[[#This Row],[Previous Quartile]]="ThirdQuartile", 3,
 IF(Table13[[#This Row],[Previous Quartile]]="FourthQuartile", 4, ""))))</f>
        <v>2</v>
      </c>
      <c r="I567" s="9" t="str">
        <f>IF(Table13[[#This Row],[Previous Quartile Value]]="", "",
   IF(Table13[[#This Row],[Quartile Value]] &lt; Table13[[#This Row],[Previous Quartile Value]], "Improved",
   IF(Table13[[#This Row],[Quartile Value]] &gt; Table13[[#This Row],[Previous Quartile Value]], "Dropped", "Same")))</f>
        <v>Same</v>
      </c>
      <c r="J567" s="10" t="s">
        <v>12</v>
      </c>
      <c r="K567" s="7" t="str">
        <f>VLOOKUP(J567,Introduction!$B$6:$C$14,2)</f>
        <v>London</v>
      </c>
      <c r="L567" s="10">
        <v>44</v>
      </c>
      <c r="M567" s="8" t="s">
        <v>33</v>
      </c>
    </row>
    <row r="568" spans="1:13" ht="19.95" customHeight="1" x14ac:dyDescent="0.25">
      <c r="A568" s="41">
        <v>45444</v>
      </c>
      <c r="B568" s="47">
        <f>MONTH(Table13[[#This Row],[YearMonth]])</f>
        <v>6</v>
      </c>
      <c r="C568" s="9" t="s">
        <v>212</v>
      </c>
      <c r="D568" s="6" t="s">
        <v>341</v>
      </c>
      <c r="E568" s="6">
        <f>IF(Table13[[#This Row],[Quartile]]="TopQuartile", 1,
 IF(Table13[[#This Row],[Quartile]]="SecondQuartile", 2,
 IF(Table13[[#This Row],[Quartile]]="ThirdQuartile", 3,
 IF(Table13[[#This Row],[Quartile]]="FourthQuartile", 4, ""))))</f>
        <v>3</v>
      </c>
      <c r="F568" s="9" t="s">
        <v>623</v>
      </c>
      <c r="G568" s="9" t="str" cm="1">
        <f t="array" ref="G568">IFERROR(
  INDEX(Table13[Quartile],
    MATCH(1,
      (Table13[[#This Row],[OrgName]]=Table13[OrgName]) *
      (Table13[[#This Row],[Month Number]]-1=Table13[Month Number]),
    0)
  ),
"")</f>
        <v>ThirdQuartile</v>
      </c>
      <c r="H568" s="9">
        <f>IF(Table13[[#This Row],[Previous Quartile]]="TopQuartile", 1,
 IF(Table13[[#This Row],[Previous Quartile]]="SecondQuartile", 2,
 IF(Table13[[#This Row],[Previous Quartile]]="ThirdQuartile", 3,
 IF(Table13[[#This Row],[Previous Quartile]]="FourthQuartile", 4, ""))))</f>
        <v>3</v>
      </c>
      <c r="I568" s="9" t="str">
        <f>IF(Table13[[#This Row],[Previous Quartile Value]]="", "",
   IF(Table13[[#This Row],[Quartile Value]] &lt; Table13[[#This Row],[Previous Quartile Value]], "Improved",
   IF(Table13[[#This Row],[Quartile Value]] &gt; Table13[[#This Row],[Previous Quartile Value]], "Dropped", "Same")))</f>
        <v>Same</v>
      </c>
      <c r="J568" s="10" t="s">
        <v>10</v>
      </c>
      <c r="K568" s="7" t="str">
        <f>VLOOKUP(J568,Introduction!$B$6:$C$14,2)</f>
        <v>Special Health Authorities and other statutory bodies</v>
      </c>
      <c r="L568" s="10">
        <v>65</v>
      </c>
      <c r="M568" s="8" t="s">
        <v>33</v>
      </c>
    </row>
    <row r="569" spans="1:13" ht="19.95" customHeight="1" x14ac:dyDescent="0.25">
      <c r="A569" s="41">
        <v>45444</v>
      </c>
      <c r="B569" s="47">
        <f>MONTH(Table13[[#This Row],[YearMonth]])</f>
        <v>6</v>
      </c>
      <c r="C569" s="9" t="s">
        <v>218</v>
      </c>
      <c r="D569" s="6" t="s">
        <v>341</v>
      </c>
      <c r="E569" s="6">
        <f>IF(Table13[[#This Row],[Quartile]]="TopQuartile", 1,
 IF(Table13[[#This Row],[Quartile]]="SecondQuartile", 2,
 IF(Table13[[#This Row],[Quartile]]="ThirdQuartile", 3,
 IF(Table13[[#This Row],[Quartile]]="FourthQuartile", 4, ""))))</f>
        <v>3</v>
      </c>
      <c r="F569" s="9" t="s">
        <v>624</v>
      </c>
      <c r="G569" s="9" t="str" cm="1">
        <f t="array" ref="G569">IFERROR(
  INDEX(Table13[Quartile],
    MATCH(1,
      (Table13[[#This Row],[OrgName]]=Table13[OrgName]) *
      (Table13[[#This Row],[Month Number]]-1=Table13[Month Number]),
    0)
  ),
"")</f>
        <v>FourthQuartile</v>
      </c>
      <c r="H569" s="9">
        <f>IF(Table13[[#This Row],[Previous Quartile]]="TopQuartile", 1,
 IF(Table13[[#This Row],[Previous Quartile]]="SecondQuartile", 2,
 IF(Table13[[#This Row],[Previous Quartile]]="ThirdQuartile", 3,
 IF(Table13[[#This Row],[Previous Quartile]]="FourthQuartile", 4, ""))))</f>
        <v>4</v>
      </c>
      <c r="I569" s="9" t="str">
        <f>IF(Table13[[#This Row],[Previous Quartile Value]]="", "",
   IF(Table13[[#This Row],[Quartile Value]] &lt; Table13[[#This Row],[Previous Quartile Value]], "Improved",
   IF(Table13[[#This Row],[Quartile Value]] &gt; Table13[[#This Row],[Previous Quartile Value]], "Dropped", "Same")))</f>
        <v>Improved</v>
      </c>
      <c r="J569" s="10" t="s">
        <v>10</v>
      </c>
      <c r="K569" s="7" t="str">
        <f>VLOOKUP(J569,Introduction!$B$6:$C$14,2)</f>
        <v>Special Health Authorities and other statutory bodies</v>
      </c>
      <c r="L569" s="10">
        <v>76</v>
      </c>
      <c r="M569" s="8" t="s">
        <v>33</v>
      </c>
    </row>
    <row r="570" spans="1:13" ht="19.95" customHeight="1" x14ac:dyDescent="0.25">
      <c r="A570" s="41">
        <v>45444</v>
      </c>
      <c r="B570" s="47">
        <f>MONTH(Table13[[#This Row],[YearMonth]])</f>
        <v>6</v>
      </c>
      <c r="C570" s="9" t="s">
        <v>294</v>
      </c>
      <c r="D570" s="6" t="s">
        <v>350</v>
      </c>
      <c r="E570" s="6">
        <f>IF(Table13[[#This Row],[Quartile]]="TopQuartile", 1,
 IF(Table13[[#This Row],[Quartile]]="SecondQuartile", 2,
 IF(Table13[[#This Row],[Quartile]]="ThirdQuartile", 3,
 IF(Table13[[#This Row],[Quartile]]="FourthQuartile", 4, ""))))</f>
        <v>4</v>
      </c>
      <c r="F570" s="9" t="s">
        <v>625</v>
      </c>
      <c r="G570" s="9" t="str" cm="1">
        <f t="array" ref="G570">IFERROR(
  INDEX(Table13[Quartile],
    MATCH(1,
      (Table13[[#This Row],[OrgName]]=Table13[OrgName]) *
      (Table13[[#This Row],[Month Number]]-1=Table13[Month Number]),
    0)
  ),
"")</f>
        <v>FourthQuartile</v>
      </c>
      <c r="H570" s="9">
        <f>IF(Table13[[#This Row],[Previous Quartile]]="TopQuartile", 1,
 IF(Table13[[#This Row],[Previous Quartile]]="SecondQuartile", 2,
 IF(Table13[[#This Row],[Previous Quartile]]="ThirdQuartile", 3,
 IF(Table13[[#This Row],[Previous Quartile]]="FourthQuartile", 4, ""))))</f>
        <v>4</v>
      </c>
      <c r="I570" s="9" t="str">
        <f>IF(Table13[[#This Row],[Previous Quartile Value]]="", "",
   IF(Table13[[#This Row],[Quartile Value]] &lt; Table13[[#This Row],[Previous Quartile Value]], "Improved",
   IF(Table13[[#This Row],[Quartile Value]] &gt; Table13[[#This Row],[Previous Quartile Value]], "Dropped", "Same")))</f>
        <v>Same</v>
      </c>
      <c r="J570" s="10" t="s">
        <v>10</v>
      </c>
      <c r="K570" s="7" t="str">
        <f>VLOOKUP(J570,Introduction!$B$6:$C$14,2)</f>
        <v>Special Health Authorities and other statutory bodies</v>
      </c>
      <c r="L570" s="10">
        <v>990</v>
      </c>
      <c r="M570" s="8" t="s">
        <v>33</v>
      </c>
    </row>
    <row r="571" spans="1:13" ht="19.95" customHeight="1" x14ac:dyDescent="0.25">
      <c r="A571" s="41">
        <v>45444</v>
      </c>
      <c r="B571" s="47">
        <f>MONTH(Table13[[#This Row],[YearMonth]])</f>
        <v>6</v>
      </c>
      <c r="C571" s="9" t="s">
        <v>299</v>
      </c>
      <c r="D571" s="6" t="s">
        <v>350</v>
      </c>
      <c r="E571" s="6">
        <f>IF(Table13[[#This Row],[Quartile]]="TopQuartile", 1,
 IF(Table13[[#This Row],[Quartile]]="SecondQuartile", 2,
 IF(Table13[[#This Row],[Quartile]]="ThirdQuartile", 3,
 IF(Table13[[#This Row],[Quartile]]="FourthQuartile", 4, ""))))</f>
        <v>4</v>
      </c>
      <c r="F571" s="9" t="s">
        <v>626</v>
      </c>
      <c r="G571" s="9" t="str" cm="1">
        <f t="array" ref="G571">IFERROR(
  INDEX(Table13[Quartile],
    MATCH(1,
      (Table13[[#This Row],[OrgName]]=Table13[OrgName]) *
      (Table13[[#This Row],[Month Number]]-1=Table13[Month Number]),
    0)
  ),
"")</f>
        <v>FourthQuartile</v>
      </c>
      <c r="H571" s="9">
        <f>IF(Table13[[#This Row],[Previous Quartile]]="TopQuartile", 1,
 IF(Table13[[#This Row],[Previous Quartile]]="SecondQuartile", 2,
 IF(Table13[[#This Row],[Previous Quartile]]="ThirdQuartile", 3,
 IF(Table13[[#This Row],[Previous Quartile]]="FourthQuartile", 4, ""))))</f>
        <v>4</v>
      </c>
      <c r="I571" s="9" t="str">
        <f>IF(Table13[[#This Row],[Previous Quartile Value]]="", "",
   IF(Table13[[#This Row],[Quartile Value]] &lt; Table13[[#This Row],[Previous Quartile Value]], "Improved",
   IF(Table13[[#This Row],[Quartile Value]] &gt; Table13[[#This Row],[Previous Quartile Value]], "Dropped", "Same")))</f>
        <v>Same</v>
      </c>
      <c r="J571" s="10" t="s">
        <v>10</v>
      </c>
      <c r="K571" s="7" t="str">
        <f>VLOOKUP(J571,Introduction!$B$6:$C$14,2)</f>
        <v>Special Health Authorities and other statutory bodies</v>
      </c>
      <c r="L571" s="10">
        <v>912</v>
      </c>
      <c r="M571" s="8" t="s">
        <v>33</v>
      </c>
    </row>
    <row r="572" spans="1:13" ht="19.95" customHeight="1" x14ac:dyDescent="0.25">
      <c r="A572" s="41">
        <v>45444</v>
      </c>
      <c r="B572" s="47">
        <f>MONTH(Table13[[#This Row],[YearMonth]])</f>
        <v>6</v>
      </c>
      <c r="C572" s="9" t="s">
        <v>300</v>
      </c>
      <c r="D572" s="6" t="s">
        <v>350</v>
      </c>
      <c r="E572" s="6">
        <f>IF(Table13[[#This Row],[Quartile]]="TopQuartile", 1,
 IF(Table13[[#This Row],[Quartile]]="SecondQuartile", 2,
 IF(Table13[[#This Row],[Quartile]]="ThirdQuartile", 3,
 IF(Table13[[#This Row],[Quartile]]="FourthQuartile", 4, ""))))</f>
        <v>4</v>
      </c>
      <c r="F572" s="9" t="s">
        <v>627</v>
      </c>
      <c r="G572" s="9" t="str" cm="1">
        <f t="array" ref="G572">IFERROR(
  INDEX(Table13[Quartile],
    MATCH(1,
      (Table13[[#This Row],[OrgName]]=Table13[OrgName]) *
      (Table13[[#This Row],[Month Number]]-1=Table13[Month Number]),
    0)
  ),
"")</f>
        <v>FourthQuartile</v>
      </c>
      <c r="H572" s="9">
        <f>IF(Table13[[#This Row],[Previous Quartile]]="TopQuartile", 1,
 IF(Table13[[#This Row],[Previous Quartile]]="SecondQuartile", 2,
 IF(Table13[[#This Row],[Previous Quartile]]="ThirdQuartile", 3,
 IF(Table13[[#This Row],[Previous Quartile]]="FourthQuartile", 4, ""))))</f>
        <v>4</v>
      </c>
      <c r="I572" s="9" t="str">
        <f>IF(Table13[[#This Row],[Previous Quartile Value]]="", "",
   IF(Table13[[#This Row],[Quartile Value]] &lt; Table13[[#This Row],[Previous Quartile Value]], "Improved",
   IF(Table13[[#This Row],[Quartile Value]] &gt; Table13[[#This Row],[Previous Quartile Value]], "Dropped", "Same")))</f>
        <v>Same</v>
      </c>
      <c r="J572" s="10" t="s">
        <v>10</v>
      </c>
      <c r="K572" s="7" t="str">
        <f>VLOOKUP(J572,Introduction!$B$6:$C$14,2)</f>
        <v>Special Health Authorities and other statutory bodies</v>
      </c>
      <c r="L572" s="10">
        <v>441</v>
      </c>
      <c r="M572" s="8" t="s">
        <v>33</v>
      </c>
    </row>
    <row r="573" spans="1:13" ht="19.95" customHeight="1" x14ac:dyDescent="0.25">
      <c r="A573" s="41">
        <v>45444</v>
      </c>
      <c r="B573" s="47">
        <f>MONTH(Table13[[#This Row],[YearMonth]])</f>
        <v>6</v>
      </c>
      <c r="C573" s="9" t="s">
        <v>313</v>
      </c>
      <c r="D573" s="6" t="s">
        <v>350</v>
      </c>
      <c r="E573" s="6">
        <f>IF(Table13[[#This Row],[Quartile]]="TopQuartile", 1,
 IF(Table13[[#This Row],[Quartile]]="SecondQuartile", 2,
 IF(Table13[[#This Row],[Quartile]]="ThirdQuartile", 3,
 IF(Table13[[#This Row],[Quartile]]="FourthQuartile", 4, ""))))</f>
        <v>4</v>
      </c>
      <c r="F573" s="9" t="s">
        <v>628</v>
      </c>
      <c r="G573" s="9" t="str" cm="1">
        <f t="array" ref="G573">IFERROR(
  INDEX(Table13[Quartile],
    MATCH(1,
      (Table13[[#This Row],[OrgName]]=Table13[OrgName]) *
      (Table13[[#This Row],[Month Number]]-1=Table13[Month Number]),
    0)
  ),
"")</f>
        <v>FourthQuartile</v>
      </c>
      <c r="H573" s="9">
        <f>IF(Table13[[#This Row],[Previous Quartile]]="TopQuartile", 1,
 IF(Table13[[#This Row],[Previous Quartile]]="SecondQuartile", 2,
 IF(Table13[[#This Row],[Previous Quartile]]="ThirdQuartile", 3,
 IF(Table13[[#This Row],[Previous Quartile]]="FourthQuartile", 4, ""))))</f>
        <v>4</v>
      </c>
      <c r="I573" s="9" t="str">
        <f>IF(Table13[[#This Row],[Previous Quartile Value]]="", "",
   IF(Table13[[#This Row],[Quartile Value]] &lt; Table13[[#This Row],[Previous Quartile Value]], "Improved",
   IF(Table13[[#This Row],[Quartile Value]] &gt; Table13[[#This Row],[Previous Quartile Value]], "Dropped", "Same")))</f>
        <v>Same</v>
      </c>
      <c r="J573" s="10" t="s">
        <v>10</v>
      </c>
      <c r="K573" s="7" t="str">
        <f>VLOOKUP(J573,Introduction!$B$6:$C$14,2)</f>
        <v>Special Health Authorities and other statutory bodies</v>
      </c>
      <c r="L573" s="10">
        <v>71</v>
      </c>
      <c r="M573" s="8" t="s">
        <v>33</v>
      </c>
    </row>
    <row r="574" spans="1:13" ht="19.95" customHeight="1" x14ac:dyDescent="0.25">
      <c r="A574" s="41">
        <v>45413</v>
      </c>
      <c r="B574" s="47">
        <f>MONTH(Table13[[#This Row],[YearMonth]])</f>
        <v>5</v>
      </c>
      <c r="C574" s="9" t="s">
        <v>52</v>
      </c>
      <c r="D574" s="6" t="s">
        <v>330</v>
      </c>
      <c r="E574" s="6">
        <f>IF(Table13[[#This Row],[Quartile]]="TopQuartile", 1,
 IF(Table13[[#This Row],[Quartile]]="SecondQuartile", 2,
 IF(Table13[[#This Row],[Quartile]]="ThirdQuartile", 3,
 IF(Table13[[#This Row],[Quartile]]="FourthQuartile", 4, ""))))</f>
        <v>1</v>
      </c>
      <c r="F574" s="9" t="s">
        <v>333</v>
      </c>
      <c r="G574" s="9" t="str" cm="1">
        <f t="array" ref="G574">IFERROR(
  INDEX(Table13[Quartile],
    MATCH(1,
      (Table13[[#This Row],[OrgName]]=Table13[OrgName]) *
      (Table13[[#This Row],[Month Number]]-1=Table13[Month Number]),
    0)
  ),
"")</f>
        <v>TopQuartile</v>
      </c>
      <c r="H574" s="9">
        <f>IF(Table13[[#This Row],[Previous Quartile]]="TopQuartile", 1,
 IF(Table13[[#This Row],[Previous Quartile]]="SecondQuartile", 2,
 IF(Table13[[#This Row],[Previous Quartile]]="ThirdQuartile", 3,
 IF(Table13[[#This Row],[Previous Quartile]]="FourthQuartile", 4, ""))))</f>
        <v>1</v>
      </c>
      <c r="I574" s="9" t="str">
        <f>IF(Table13[[#This Row],[Previous Quartile Value]]="", "",
   IF(Table13[[#This Row],[Quartile Value]] &lt; Table13[[#This Row],[Previous Quartile Value]], "Improved",
   IF(Table13[[#This Row],[Quartile Value]] &gt; Table13[[#This Row],[Previous Quartile Value]], "Dropped", "Same")))</f>
        <v>Same</v>
      </c>
      <c r="J574" s="10" t="s">
        <v>12</v>
      </c>
      <c r="K574" s="7" t="str">
        <f>VLOOKUP(J574,Introduction!$B$6:$C$14,2)</f>
        <v>London</v>
      </c>
      <c r="L574" s="11">
        <v>197</v>
      </c>
      <c r="M574" s="12" t="s">
        <v>332</v>
      </c>
    </row>
    <row r="575" spans="1:13" ht="19.95" customHeight="1" x14ac:dyDescent="0.25">
      <c r="A575" s="41">
        <v>45413</v>
      </c>
      <c r="B575" s="47">
        <f>MONTH(Table13[[#This Row],[YearMonth]])</f>
        <v>5</v>
      </c>
      <c r="C575" s="9" t="s">
        <v>81</v>
      </c>
      <c r="D575" s="6" t="s">
        <v>330</v>
      </c>
      <c r="E575" s="6">
        <f>IF(Table13[[#This Row],[Quartile]]="TopQuartile", 1,
 IF(Table13[[#This Row],[Quartile]]="SecondQuartile", 2,
 IF(Table13[[#This Row],[Quartile]]="ThirdQuartile", 3,
 IF(Table13[[#This Row],[Quartile]]="FourthQuartile", 4, ""))))</f>
        <v>1</v>
      </c>
      <c r="F575" s="9" t="s">
        <v>334</v>
      </c>
      <c r="G575" s="9" t="str" cm="1">
        <f t="array" ref="G575">IFERROR(
  INDEX(Table13[Quartile],
    MATCH(1,
      (Table13[[#This Row],[OrgName]]=Table13[OrgName]) *
      (Table13[[#This Row],[Month Number]]-1=Table13[Month Number]),
    0)
  ),
"")</f>
        <v>TopQuartile</v>
      </c>
      <c r="H575" s="9">
        <f>IF(Table13[[#This Row],[Previous Quartile]]="TopQuartile", 1,
 IF(Table13[[#This Row],[Previous Quartile]]="SecondQuartile", 2,
 IF(Table13[[#This Row],[Previous Quartile]]="ThirdQuartile", 3,
 IF(Table13[[#This Row],[Previous Quartile]]="FourthQuartile", 4, ""))))</f>
        <v>1</v>
      </c>
      <c r="I575" s="9" t="str">
        <f>IF(Table13[[#This Row],[Previous Quartile Value]]="", "",
   IF(Table13[[#This Row],[Quartile Value]] &lt; Table13[[#This Row],[Previous Quartile Value]], "Improved",
   IF(Table13[[#This Row],[Quartile Value]] &gt; Table13[[#This Row],[Previous Quartile Value]], "Dropped", "Same")))</f>
        <v>Same</v>
      </c>
      <c r="J575" s="10" t="s">
        <v>16</v>
      </c>
      <c r="K575" s="7" t="str">
        <f>VLOOKUP(J575,Introduction!$B$6:$C$14,2)</f>
        <v>South East</v>
      </c>
      <c r="L575" s="11">
        <v>359</v>
      </c>
      <c r="M575" s="12" t="s">
        <v>332</v>
      </c>
    </row>
    <row r="576" spans="1:13" ht="19.95" customHeight="1" x14ac:dyDescent="0.25">
      <c r="A576" s="41">
        <v>45413</v>
      </c>
      <c r="B576" s="47">
        <f>MONTH(Table13[[#This Row],[YearMonth]])</f>
        <v>5</v>
      </c>
      <c r="C576" s="9" t="s">
        <v>85</v>
      </c>
      <c r="D576" s="6" t="s">
        <v>330</v>
      </c>
      <c r="E576" s="6">
        <f>IF(Table13[[#This Row],[Quartile]]="TopQuartile", 1,
 IF(Table13[[#This Row],[Quartile]]="SecondQuartile", 2,
 IF(Table13[[#This Row],[Quartile]]="ThirdQuartile", 3,
 IF(Table13[[#This Row],[Quartile]]="FourthQuartile", 4, ""))))</f>
        <v>1</v>
      </c>
      <c r="F576" s="9" t="s">
        <v>335</v>
      </c>
      <c r="G576" s="9" t="str" cm="1">
        <f t="array" ref="G576">IFERROR(
  INDEX(Table13[Quartile],
    MATCH(1,
      (Table13[[#This Row],[OrgName]]=Table13[OrgName]) *
      (Table13[[#This Row],[Month Number]]-1=Table13[Month Number]),
    0)
  ),
"")</f>
        <v>TopQuartile</v>
      </c>
      <c r="H576" s="9">
        <f>IF(Table13[[#This Row],[Previous Quartile]]="TopQuartile", 1,
 IF(Table13[[#This Row],[Previous Quartile]]="SecondQuartile", 2,
 IF(Table13[[#This Row],[Previous Quartile]]="ThirdQuartile", 3,
 IF(Table13[[#This Row],[Previous Quartile]]="FourthQuartile", 4, ""))))</f>
        <v>1</v>
      </c>
      <c r="I576" s="9" t="str">
        <f>IF(Table13[[#This Row],[Previous Quartile Value]]="", "",
   IF(Table13[[#This Row],[Quartile Value]] &lt; Table13[[#This Row],[Previous Quartile Value]], "Improved",
   IF(Table13[[#This Row],[Quartile Value]] &gt; Table13[[#This Row],[Previous Quartile Value]], "Dropped", "Same")))</f>
        <v>Same</v>
      </c>
      <c r="J576" s="10" t="s">
        <v>24</v>
      </c>
      <c r="K576" s="7" t="str">
        <f>VLOOKUP(J576,Introduction!$B$6:$C$14,2)</f>
        <v>North East and Yorkshire</v>
      </c>
      <c r="L576" s="11">
        <v>319</v>
      </c>
      <c r="M576" s="12" t="s">
        <v>332</v>
      </c>
    </row>
    <row r="577" spans="1:13" ht="19.95" customHeight="1" x14ac:dyDescent="0.25">
      <c r="A577" s="41">
        <v>45413</v>
      </c>
      <c r="B577" s="47">
        <f>MONTH(Table13[[#This Row],[YearMonth]])</f>
        <v>5</v>
      </c>
      <c r="C577" s="9" t="s">
        <v>40</v>
      </c>
      <c r="D577" s="6" t="s">
        <v>330</v>
      </c>
      <c r="E577" s="6">
        <f>IF(Table13[[#This Row],[Quartile]]="TopQuartile", 1,
 IF(Table13[[#This Row],[Quartile]]="SecondQuartile", 2,
 IF(Table13[[#This Row],[Quartile]]="ThirdQuartile", 3,
 IF(Table13[[#This Row],[Quartile]]="FourthQuartile", 4, ""))))</f>
        <v>1</v>
      </c>
      <c r="F577" s="9" t="s">
        <v>331</v>
      </c>
      <c r="G577" s="9" t="str" cm="1">
        <f t="array" ref="G577">IFERROR(
  INDEX(Table13[Quartile],
    MATCH(1,
      (Table13[[#This Row],[OrgName]]=Table13[OrgName]) *
      (Table13[[#This Row],[Month Number]]-1=Table13[Month Number]),
    0)
  ),
"")</f>
        <v>TopQuartile</v>
      </c>
      <c r="H577" s="9">
        <f>IF(Table13[[#This Row],[Previous Quartile]]="TopQuartile", 1,
 IF(Table13[[#This Row],[Previous Quartile]]="SecondQuartile", 2,
 IF(Table13[[#This Row],[Previous Quartile]]="ThirdQuartile", 3,
 IF(Table13[[#This Row],[Previous Quartile]]="FourthQuartile", 4, ""))))</f>
        <v>1</v>
      </c>
      <c r="I577" s="9" t="str">
        <f>IF(Table13[[#This Row],[Previous Quartile Value]]="", "",
   IF(Table13[[#This Row],[Quartile Value]] &lt; Table13[[#This Row],[Previous Quartile Value]], "Improved",
   IF(Table13[[#This Row],[Quartile Value]] &gt; Table13[[#This Row],[Previous Quartile Value]], "Dropped", "Same")))</f>
        <v>Same</v>
      </c>
      <c r="J577" s="10" t="s">
        <v>16</v>
      </c>
      <c r="K577" s="7" t="str">
        <f>VLOOKUP(J577,Introduction!$B$6:$C$14,2)</f>
        <v>South East</v>
      </c>
      <c r="L577" s="11">
        <v>374</v>
      </c>
      <c r="M577" s="12" t="s">
        <v>332</v>
      </c>
    </row>
    <row r="578" spans="1:13" ht="19.95" customHeight="1" x14ac:dyDescent="0.25">
      <c r="A578" s="41">
        <v>45413</v>
      </c>
      <c r="B578" s="47">
        <f>MONTH(Table13[[#This Row],[YearMonth]])</f>
        <v>5</v>
      </c>
      <c r="C578" s="9" t="s">
        <v>111</v>
      </c>
      <c r="D578" s="6" t="s">
        <v>338</v>
      </c>
      <c r="E578" s="6">
        <f>IF(Table13[[#This Row],[Quartile]]="TopQuartile", 1,
 IF(Table13[[#This Row],[Quartile]]="SecondQuartile", 2,
 IF(Table13[[#This Row],[Quartile]]="ThirdQuartile", 3,
 IF(Table13[[#This Row],[Quartile]]="FourthQuartile", 4, ""))))</f>
        <v>2</v>
      </c>
      <c r="F578" s="9" t="s">
        <v>339</v>
      </c>
      <c r="G578" s="9" t="str" cm="1">
        <f t="array" ref="G578">IFERROR(
  INDEX(Table13[Quartile],
    MATCH(1,
      (Table13[[#This Row],[OrgName]]=Table13[OrgName]) *
      (Table13[[#This Row],[Month Number]]-1=Table13[Month Number]),
    0)
  ),
"")</f>
        <v>SecondQuartile</v>
      </c>
      <c r="H578" s="9">
        <f>IF(Table13[[#This Row],[Previous Quartile]]="TopQuartile", 1,
 IF(Table13[[#This Row],[Previous Quartile]]="SecondQuartile", 2,
 IF(Table13[[#This Row],[Previous Quartile]]="ThirdQuartile", 3,
 IF(Table13[[#This Row],[Previous Quartile]]="FourthQuartile", 4, ""))))</f>
        <v>2</v>
      </c>
      <c r="I578" s="9" t="str">
        <f>IF(Table13[[#This Row],[Previous Quartile Value]]="", "",
   IF(Table13[[#This Row],[Quartile Value]] &lt; Table13[[#This Row],[Previous Quartile Value]], "Improved",
   IF(Table13[[#This Row],[Quartile Value]] &gt; Table13[[#This Row],[Previous Quartile Value]], "Dropped", "Same")))</f>
        <v>Same</v>
      </c>
      <c r="J578" s="10" t="s">
        <v>20</v>
      </c>
      <c r="K578" s="7" t="str">
        <f>VLOOKUP(J578,Introduction!$B$6:$C$14,2)</f>
        <v>East of England</v>
      </c>
      <c r="L578" s="11">
        <v>432</v>
      </c>
      <c r="M578" s="12" t="s">
        <v>332</v>
      </c>
    </row>
    <row r="579" spans="1:13" ht="19.95" customHeight="1" x14ac:dyDescent="0.25">
      <c r="A579" s="41">
        <v>45413</v>
      </c>
      <c r="B579" s="47">
        <f>MONTH(Table13[[#This Row],[YearMonth]])</f>
        <v>5</v>
      </c>
      <c r="C579" s="9" t="s">
        <v>91</v>
      </c>
      <c r="D579" s="6" t="s">
        <v>338</v>
      </c>
      <c r="E579" s="6">
        <f>IF(Table13[[#This Row],[Quartile]]="TopQuartile", 1,
 IF(Table13[[#This Row],[Quartile]]="SecondQuartile", 2,
 IF(Table13[[#This Row],[Quartile]]="ThirdQuartile", 3,
 IF(Table13[[#This Row],[Quartile]]="FourthQuartile", 4, ""))))</f>
        <v>2</v>
      </c>
      <c r="F579" s="9" t="s">
        <v>337</v>
      </c>
      <c r="G579" s="9" t="str" cm="1">
        <f t="array" ref="G579">IFERROR(
  INDEX(Table13[Quartile],
    MATCH(1,
      (Table13[[#This Row],[OrgName]]=Table13[OrgName]) *
      (Table13[[#This Row],[Month Number]]-1=Table13[Month Number]),
    0)
  ),
"")</f>
        <v>SecondQuartile</v>
      </c>
      <c r="H579" s="9">
        <f>IF(Table13[[#This Row],[Previous Quartile]]="TopQuartile", 1,
 IF(Table13[[#This Row],[Previous Quartile]]="SecondQuartile", 2,
 IF(Table13[[#This Row],[Previous Quartile]]="ThirdQuartile", 3,
 IF(Table13[[#This Row],[Previous Quartile]]="FourthQuartile", 4, ""))))</f>
        <v>2</v>
      </c>
      <c r="I579" s="9" t="str">
        <f>IF(Table13[[#This Row],[Previous Quartile Value]]="", "",
   IF(Table13[[#This Row],[Quartile Value]] &lt; Table13[[#This Row],[Previous Quartile Value]], "Improved",
   IF(Table13[[#This Row],[Quartile Value]] &gt; Table13[[#This Row],[Previous Quartile Value]], "Dropped", "Same")))</f>
        <v>Same</v>
      </c>
      <c r="J579" s="10" t="s">
        <v>18</v>
      </c>
      <c r="K579" s="7" t="str">
        <f>VLOOKUP(J579,Introduction!$B$6:$C$14,2)</f>
        <v>Midlands</v>
      </c>
      <c r="L579" s="11">
        <v>357</v>
      </c>
      <c r="M579" s="12" t="s">
        <v>332</v>
      </c>
    </row>
    <row r="580" spans="1:13" ht="19.95" customHeight="1" x14ac:dyDescent="0.25">
      <c r="A580" s="41">
        <v>45413</v>
      </c>
      <c r="B580" s="47">
        <f>MONTH(Table13[[#This Row],[YearMonth]])</f>
        <v>5</v>
      </c>
      <c r="C580" s="9" t="s">
        <v>137</v>
      </c>
      <c r="D580" s="6" t="s">
        <v>338</v>
      </c>
      <c r="E580" s="6">
        <f>IF(Table13[[#This Row],[Quartile]]="TopQuartile", 1,
 IF(Table13[[#This Row],[Quartile]]="SecondQuartile", 2,
 IF(Table13[[#This Row],[Quartile]]="ThirdQuartile", 3,
 IF(Table13[[#This Row],[Quartile]]="FourthQuartile", 4, ""))))</f>
        <v>2</v>
      </c>
      <c r="F580" s="9" t="s">
        <v>340</v>
      </c>
      <c r="G580" s="9" t="str" cm="1">
        <f t="array" ref="G580">IFERROR(
  INDEX(Table13[Quartile],
    MATCH(1,
      (Table13[[#This Row],[OrgName]]=Table13[OrgName]) *
      (Table13[[#This Row],[Month Number]]-1=Table13[Month Number]),
    0)
  ),
"")</f>
        <v>ThirdQuartile</v>
      </c>
      <c r="H580" s="9">
        <f>IF(Table13[[#This Row],[Previous Quartile]]="TopQuartile", 1,
 IF(Table13[[#This Row],[Previous Quartile]]="SecondQuartile", 2,
 IF(Table13[[#This Row],[Previous Quartile]]="ThirdQuartile", 3,
 IF(Table13[[#This Row],[Previous Quartile]]="FourthQuartile", 4, ""))))</f>
        <v>3</v>
      </c>
      <c r="I580" s="9" t="str">
        <f>IF(Table13[[#This Row],[Previous Quartile Value]]="", "",
   IF(Table13[[#This Row],[Quartile Value]] &lt; Table13[[#This Row],[Previous Quartile Value]], "Improved",
   IF(Table13[[#This Row],[Quartile Value]] &gt; Table13[[#This Row],[Previous Quartile Value]], "Dropped", "Same")))</f>
        <v>Improved</v>
      </c>
      <c r="J580" s="10" t="s">
        <v>18</v>
      </c>
      <c r="K580" s="7" t="str">
        <f>VLOOKUP(J580,Introduction!$B$6:$C$14,2)</f>
        <v>Midlands</v>
      </c>
      <c r="L580" s="11">
        <v>225</v>
      </c>
      <c r="M580" s="12" t="s">
        <v>332</v>
      </c>
    </row>
    <row r="581" spans="1:13" ht="19.95" customHeight="1" x14ac:dyDescent="0.25">
      <c r="A581" s="41">
        <v>45413</v>
      </c>
      <c r="B581" s="47">
        <f>MONTH(Table13[[#This Row],[YearMonth]])</f>
        <v>5</v>
      </c>
      <c r="C581" s="9" t="s">
        <v>89</v>
      </c>
      <c r="D581" s="6" t="s">
        <v>338</v>
      </c>
      <c r="E581" s="6">
        <f>IF(Table13[[#This Row],[Quartile]]="TopQuartile", 1,
 IF(Table13[[#This Row],[Quartile]]="SecondQuartile", 2,
 IF(Table13[[#This Row],[Quartile]]="ThirdQuartile", 3,
 IF(Table13[[#This Row],[Quartile]]="FourthQuartile", 4, ""))))</f>
        <v>2</v>
      </c>
      <c r="F581" s="9" t="s">
        <v>336</v>
      </c>
      <c r="G581" s="9" t="str" cm="1">
        <f t="array" ref="G581">IFERROR(
  INDEX(Table13[Quartile],
    MATCH(1,
      (Table13[[#This Row],[OrgName]]=Table13[OrgName]) *
      (Table13[[#This Row],[Month Number]]-1=Table13[Month Number]),
    0)
  ),
"")</f>
        <v>SecondQuartile</v>
      </c>
      <c r="H581" s="9">
        <f>IF(Table13[[#This Row],[Previous Quartile]]="TopQuartile", 1,
 IF(Table13[[#This Row],[Previous Quartile]]="SecondQuartile", 2,
 IF(Table13[[#This Row],[Previous Quartile]]="ThirdQuartile", 3,
 IF(Table13[[#This Row],[Previous Quartile]]="FourthQuartile", 4, ""))))</f>
        <v>2</v>
      </c>
      <c r="I581" s="9" t="str">
        <f>IF(Table13[[#This Row],[Previous Quartile Value]]="", "",
   IF(Table13[[#This Row],[Quartile Value]] &lt; Table13[[#This Row],[Previous Quartile Value]], "Improved",
   IF(Table13[[#This Row],[Quartile Value]] &gt; Table13[[#This Row],[Previous Quartile Value]], "Dropped", "Same")))</f>
        <v>Same</v>
      </c>
      <c r="J581" s="10" t="s">
        <v>16</v>
      </c>
      <c r="K581" s="7" t="str">
        <f>VLOOKUP(J581,Introduction!$B$6:$C$14,2)</f>
        <v>South East</v>
      </c>
      <c r="L581" s="11">
        <v>192</v>
      </c>
      <c r="M581" s="12" t="s">
        <v>332</v>
      </c>
    </row>
    <row r="582" spans="1:13" ht="19.95" customHeight="1" x14ac:dyDescent="0.25">
      <c r="A582" s="41">
        <v>45413</v>
      </c>
      <c r="B582" s="47">
        <f>MONTH(Table13[[#This Row],[YearMonth]])</f>
        <v>5</v>
      </c>
      <c r="C582" s="9" t="s">
        <v>220</v>
      </c>
      <c r="D582" s="6" t="s">
        <v>338</v>
      </c>
      <c r="E582" s="6">
        <f>IF(Table13[[#This Row],[Quartile]]="TopQuartile", 1,
 IF(Table13[[#This Row],[Quartile]]="SecondQuartile", 2,
 IF(Table13[[#This Row],[Quartile]]="ThirdQuartile", 3,
 IF(Table13[[#This Row],[Quartile]]="FourthQuartile", 4, ""))))</f>
        <v>2</v>
      </c>
      <c r="F582" s="9" t="s">
        <v>346</v>
      </c>
      <c r="G582" s="9" t="str" cm="1">
        <f t="array" ref="G582">IFERROR(
  INDEX(Table13[Quartile],
    MATCH(1,
      (Table13[[#This Row],[OrgName]]=Table13[OrgName]) *
      (Table13[[#This Row],[Month Number]]-1=Table13[Month Number]),
    0)
  ),
"")</f>
        <v>ThirdQuartile</v>
      </c>
      <c r="H582" s="9">
        <f>IF(Table13[[#This Row],[Previous Quartile]]="TopQuartile", 1,
 IF(Table13[[#This Row],[Previous Quartile]]="SecondQuartile", 2,
 IF(Table13[[#This Row],[Previous Quartile]]="ThirdQuartile", 3,
 IF(Table13[[#This Row],[Previous Quartile]]="FourthQuartile", 4, ""))))</f>
        <v>3</v>
      </c>
      <c r="I582" s="9" t="str">
        <f>IF(Table13[[#This Row],[Previous Quartile Value]]="", "",
   IF(Table13[[#This Row],[Quartile Value]] &lt; Table13[[#This Row],[Previous Quartile Value]], "Improved",
   IF(Table13[[#This Row],[Quartile Value]] &gt; Table13[[#This Row],[Previous Quartile Value]], "Dropped", "Same")))</f>
        <v>Improved</v>
      </c>
      <c r="J582" s="10" t="s">
        <v>16</v>
      </c>
      <c r="K582" s="7" t="str">
        <f>VLOOKUP(J582,Introduction!$B$6:$C$14,2)</f>
        <v>South East</v>
      </c>
      <c r="L582" s="11">
        <v>151</v>
      </c>
      <c r="M582" s="12" t="s">
        <v>332</v>
      </c>
    </row>
    <row r="583" spans="1:13" ht="19.95" customHeight="1" x14ac:dyDescent="0.25">
      <c r="A583" s="41">
        <v>45413</v>
      </c>
      <c r="B583" s="47">
        <f>MONTH(Table13[[#This Row],[YearMonth]])</f>
        <v>5</v>
      </c>
      <c r="C583" s="9" t="s">
        <v>174</v>
      </c>
      <c r="D583" s="6" t="s">
        <v>341</v>
      </c>
      <c r="E583" s="6">
        <f>IF(Table13[[#This Row],[Quartile]]="TopQuartile", 1,
 IF(Table13[[#This Row],[Quartile]]="SecondQuartile", 2,
 IF(Table13[[#This Row],[Quartile]]="ThirdQuartile", 3,
 IF(Table13[[#This Row],[Quartile]]="FourthQuartile", 4, ""))))</f>
        <v>3</v>
      </c>
      <c r="F583" s="9" t="s">
        <v>342</v>
      </c>
      <c r="G583" s="9" t="str" cm="1">
        <f t="array" ref="G583">IFERROR(
  INDEX(Table13[Quartile],
    MATCH(1,
      (Table13[[#This Row],[OrgName]]=Table13[OrgName]) *
      (Table13[[#This Row],[Month Number]]-1=Table13[Month Number]),
    0)
  ),
"")</f>
        <v>ThirdQuartile</v>
      </c>
      <c r="H583" s="9">
        <f>IF(Table13[[#This Row],[Previous Quartile]]="TopQuartile", 1,
 IF(Table13[[#This Row],[Previous Quartile]]="SecondQuartile", 2,
 IF(Table13[[#This Row],[Previous Quartile]]="ThirdQuartile", 3,
 IF(Table13[[#This Row],[Previous Quartile]]="FourthQuartile", 4, ""))))</f>
        <v>3</v>
      </c>
      <c r="I583" s="9" t="str">
        <f>IF(Table13[[#This Row],[Previous Quartile Value]]="", "",
   IF(Table13[[#This Row],[Quartile Value]] &lt; Table13[[#This Row],[Previous Quartile Value]], "Improved",
   IF(Table13[[#This Row],[Quartile Value]] &gt; Table13[[#This Row],[Previous Quartile Value]], "Dropped", "Same")))</f>
        <v>Same</v>
      </c>
      <c r="J583" s="10" t="s">
        <v>20</v>
      </c>
      <c r="K583" s="7" t="str">
        <f>VLOOKUP(J583,Introduction!$B$6:$C$14,2)</f>
        <v>East of England</v>
      </c>
      <c r="L583" s="11">
        <v>390</v>
      </c>
      <c r="M583" s="12" t="s">
        <v>332</v>
      </c>
    </row>
    <row r="584" spans="1:13" ht="19.95" customHeight="1" x14ac:dyDescent="0.25">
      <c r="A584" s="41">
        <v>45413</v>
      </c>
      <c r="B584" s="47">
        <f>MONTH(Table13[[#This Row],[YearMonth]])</f>
        <v>5</v>
      </c>
      <c r="C584" s="9" t="s">
        <v>228</v>
      </c>
      <c r="D584" s="6" t="s">
        <v>341</v>
      </c>
      <c r="E584" s="6">
        <f>IF(Table13[[#This Row],[Quartile]]="TopQuartile", 1,
 IF(Table13[[#This Row],[Quartile]]="SecondQuartile", 2,
 IF(Table13[[#This Row],[Quartile]]="ThirdQuartile", 3,
 IF(Table13[[#This Row],[Quartile]]="FourthQuartile", 4, ""))))</f>
        <v>3</v>
      </c>
      <c r="F584" s="9" t="s">
        <v>347</v>
      </c>
      <c r="G584" s="9" t="str" cm="1">
        <f t="array" ref="G584">IFERROR(
  INDEX(Table13[Quartile],
    MATCH(1,
      (Table13[[#This Row],[OrgName]]=Table13[OrgName]) *
      (Table13[[#This Row],[Month Number]]-1=Table13[Month Number]),
    0)
  ),
"")</f>
        <v>ThirdQuartile</v>
      </c>
      <c r="H584" s="9">
        <f>IF(Table13[[#This Row],[Previous Quartile]]="TopQuartile", 1,
 IF(Table13[[#This Row],[Previous Quartile]]="SecondQuartile", 2,
 IF(Table13[[#This Row],[Previous Quartile]]="ThirdQuartile", 3,
 IF(Table13[[#This Row],[Previous Quartile]]="FourthQuartile", 4, ""))))</f>
        <v>3</v>
      </c>
      <c r="I584" s="9" t="str">
        <f>IF(Table13[[#This Row],[Previous Quartile Value]]="", "",
   IF(Table13[[#This Row],[Quartile Value]] &lt; Table13[[#This Row],[Previous Quartile Value]], "Improved",
   IF(Table13[[#This Row],[Quartile Value]] &gt; Table13[[#This Row],[Previous Quartile Value]], "Dropped", "Same")))</f>
        <v>Same</v>
      </c>
      <c r="J584" s="10" t="s">
        <v>14</v>
      </c>
      <c r="K584" s="7" t="str">
        <f>VLOOKUP(J584,Introduction!$B$6:$C$14,2)</f>
        <v>South West</v>
      </c>
      <c r="L584" s="11">
        <v>339</v>
      </c>
      <c r="M584" s="12" t="s">
        <v>332</v>
      </c>
    </row>
    <row r="585" spans="1:13" ht="19.95" customHeight="1" x14ac:dyDescent="0.25">
      <c r="A585" s="41">
        <v>45413</v>
      </c>
      <c r="B585" s="47">
        <f>MONTH(Table13[[#This Row],[YearMonth]])</f>
        <v>5</v>
      </c>
      <c r="C585" s="9" t="s">
        <v>200</v>
      </c>
      <c r="D585" s="6" t="s">
        <v>341</v>
      </c>
      <c r="E585" s="6">
        <f>IF(Table13[[#This Row],[Quartile]]="TopQuartile", 1,
 IF(Table13[[#This Row],[Quartile]]="SecondQuartile", 2,
 IF(Table13[[#This Row],[Quartile]]="ThirdQuartile", 3,
 IF(Table13[[#This Row],[Quartile]]="FourthQuartile", 4, ""))))</f>
        <v>3</v>
      </c>
      <c r="F585" s="9" t="s">
        <v>343</v>
      </c>
      <c r="G585" s="9" t="str" cm="1">
        <f t="array" ref="G585">IFERROR(
  INDEX(Table13[Quartile],
    MATCH(1,
      (Table13[[#This Row],[OrgName]]=Table13[OrgName]) *
      (Table13[[#This Row],[Month Number]]-1=Table13[Month Number]),
    0)
  ),
"")</f>
        <v>FourthQuartile</v>
      </c>
      <c r="H585" s="9">
        <f>IF(Table13[[#This Row],[Previous Quartile]]="TopQuartile", 1,
 IF(Table13[[#This Row],[Previous Quartile]]="SecondQuartile", 2,
 IF(Table13[[#This Row],[Previous Quartile]]="ThirdQuartile", 3,
 IF(Table13[[#This Row],[Previous Quartile]]="FourthQuartile", 4, ""))))</f>
        <v>4</v>
      </c>
      <c r="I585" s="9" t="str">
        <f>IF(Table13[[#This Row],[Previous Quartile Value]]="", "",
   IF(Table13[[#This Row],[Quartile Value]] &lt; Table13[[#This Row],[Previous Quartile Value]], "Improved",
   IF(Table13[[#This Row],[Quartile Value]] &gt; Table13[[#This Row],[Previous Quartile Value]], "Dropped", "Same")))</f>
        <v>Improved</v>
      </c>
      <c r="J585" s="10" t="s">
        <v>20</v>
      </c>
      <c r="K585" s="7" t="str">
        <f>VLOOKUP(J585,Introduction!$B$6:$C$14,2)</f>
        <v>East of England</v>
      </c>
      <c r="L585" s="11">
        <v>361</v>
      </c>
      <c r="M585" s="12" t="s">
        <v>332</v>
      </c>
    </row>
    <row r="586" spans="1:13" ht="19.95" customHeight="1" x14ac:dyDescent="0.25">
      <c r="A586" s="41">
        <v>45413</v>
      </c>
      <c r="B586" s="47">
        <f>MONTH(Table13[[#This Row],[YearMonth]])</f>
        <v>5</v>
      </c>
      <c r="C586" s="9" t="s">
        <v>205</v>
      </c>
      <c r="D586" s="6" t="s">
        <v>341</v>
      </c>
      <c r="E586" s="6">
        <f>IF(Table13[[#This Row],[Quartile]]="TopQuartile", 1,
 IF(Table13[[#This Row],[Quartile]]="SecondQuartile", 2,
 IF(Table13[[#This Row],[Quartile]]="ThirdQuartile", 3,
 IF(Table13[[#This Row],[Quartile]]="FourthQuartile", 4, ""))))</f>
        <v>3</v>
      </c>
      <c r="F586" s="9" t="s">
        <v>344</v>
      </c>
      <c r="G586" s="9" t="str" cm="1">
        <f t="array" ref="G586">IFERROR(
  INDEX(Table13[Quartile],
    MATCH(1,
      (Table13[[#This Row],[OrgName]]=Table13[OrgName]) *
      (Table13[[#This Row],[Month Number]]-1=Table13[Month Number]),
    0)
  ),
"")</f>
        <v>ThirdQuartile</v>
      </c>
      <c r="H586" s="9">
        <f>IF(Table13[[#This Row],[Previous Quartile]]="TopQuartile", 1,
 IF(Table13[[#This Row],[Previous Quartile]]="SecondQuartile", 2,
 IF(Table13[[#This Row],[Previous Quartile]]="ThirdQuartile", 3,
 IF(Table13[[#This Row],[Previous Quartile]]="FourthQuartile", 4, ""))))</f>
        <v>3</v>
      </c>
      <c r="I586" s="9" t="str">
        <f>IF(Table13[[#This Row],[Previous Quartile Value]]="", "",
   IF(Table13[[#This Row],[Quartile Value]] &lt; Table13[[#This Row],[Previous Quartile Value]], "Improved",
   IF(Table13[[#This Row],[Quartile Value]] &gt; Table13[[#This Row],[Previous Quartile Value]], "Dropped", "Same")))</f>
        <v>Same</v>
      </c>
      <c r="J586" s="10" t="s">
        <v>24</v>
      </c>
      <c r="K586" s="7" t="str">
        <f>VLOOKUP(J586,Introduction!$B$6:$C$14,2)</f>
        <v>North East and Yorkshire</v>
      </c>
      <c r="L586" s="11">
        <v>372</v>
      </c>
      <c r="M586" s="12" t="s">
        <v>332</v>
      </c>
    </row>
    <row r="587" spans="1:13" ht="19.95" customHeight="1" x14ac:dyDescent="0.25">
      <c r="A587" s="41">
        <v>45413</v>
      </c>
      <c r="B587" s="47">
        <f>MONTH(Table13[[#This Row],[YearMonth]])</f>
        <v>5</v>
      </c>
      <c r="C587" s="9" t="s">
        <v>214</v>
      </c>
      <c r="D587" s="6" t="s">
        <v>350</v>
      </c>
      <c r="E587" s="6">
        <f>IF(Table13[[#This Row],[Quartile]]="TopQuartile", 1,
 IF(Table13[[#This Row],[Quartile]]="SecondQuartile", 2,
 IF(Table13[[#This Row],[Quartile]]="ThirdQuartile", 3,
 IF(Table13[[#This Row],[Quartile]]="FourthQuartile", 4, ""))))</f>
        <v>4</v>
      </c>
      <c r="F587" s="9" t="s">
        <v>345</v>
      </c>
      <c r="G587" s="9" t="str" cm="1">
        <f t="array" ref="G587">IFERROR(
  INDEX(Table13[Quartile],
    MATCH(1,
      (Table13[[#This Row],[OrgName]]=Table13[OrgName]) *
      (Table13[[#This Row],[Month Number]]-1=Table13[Month Number]),
    0)
  ),
"")</f>
        <v>ThirdQuartile</v>
      </c>
      <c r="H587" s="9">
        <f>IF(Table13[[#This Row],[Previous Quartile]]="TopQuartile", 1,
 IF(Table13[[#This Row],[Previous Quartile]]="SecondQuartile", 2,
 IF(Table13[[#This Row],[Previous Quartile]]="ThirdQuartile", 3,
 IF(Table13[[#This Row],[Previous Quartile]]="FourthQuartile", 4, ""))))</f>
        <v>3</v>
      </c>
      <c r="I587" s="9" t="str">
        <f>IF(Table13[[#This Row],[Previous Quartile Value]]="", "",
   IF(Table13[[#This Row],[Quartile Value]] &lt; Table13[[#This Row],[Previous Quartile Value]], "Improved",
   IF(Table13[[#This Row],[Quartile Value]] &gt; Table13[[#This Row],[Previous Quartile Value]], "Dropped", "Same")))</f>
        <v>Dropped</v>
      </c>
      <c r="J587" s="10" t="s">
        <v>20</v>
      </c>
      <c r="K587" s="7" t="str">
        <f>VLOOKUP(J587,Introduction!$B$6:$C$14,2)</f>
        <v>East of England</v>
      </c>
      <c r="L587" s="11">
        <v>176</v>
      </c>
      <c r="M587" s="12" t="s">
        <v>332</v>
      </c>
    </row>
    <row r="588" spans="1:13" ht="19.95" customHeight="1" x14ac:dyDescent="0.25">
      <c r="A588" s="41">
        <v>45413</v>
      </c>
      <c r="B588" s="47">
        <f>MONTH(Table13[[#This Row],[YearMonth]])</f>
        <v>5</v>
      </c>
      <c r="C588" s="9" t="s">
        <v>237</v>
      </c>
      <c r="D588" s="6" t="s">
        <v>350</v>
      </c>
      <c r="E588" s="6">
        <f>IF(Table13[[#This Row],[Quartile]]="TopQuartile", 1,
 IF(Table13[[#This Row],[Quartile]]="SecondQuartile", 2,
 IF(Table13[[#This Row],[Quartile]]="ThirdQuartile", 3,
 IF(Table13[[#This Row],[Quartile]]="FourthQuartile", 4, ""))))</f>
        <v>4</v>
      </c>
      <c r="F588" s="9" t="s">
        <v>349</v>
      </c>
      <c r="G588" s="9" t="str" cm="1">
        <f t="array" ref="G588">IFERROR(
  INDEX(Table13[Quartile],
    MATCH(1,
      (Table13[[#This Row],[OrgName]]=Table13[OrgName]) *
      (Table13[[#This Row],[Month Number]]-1=Table13[Month Number]),
    0)
  ),
"")</f>
        <v>ThirdQuartile</v>
      </c>
      <c r="H588" s="9">
        <f>IF(Table13[[#This Row],[Previous Quartile]]="TopQuartile", 1,
 IF(Table13[[#This Row],[Previous Quartile]]="SecondQuartile", 2,
 IF(Table13[[#This Row],[Previous Quartile]]="ThirdQuartile", 3,
 IF(Table13[[#This Row],[Previous Quartile]]="FourthQuartile", 4, ""))))</f>
        <v>3</v>
      </c>
      <c r="I588" s="9" t="str">
        <f>IF(Table13[[#This Row],[Previous Quartile Value]]="", "",
   IF(Table13[[#This Row],[Quartile Value]] &lt; Table13[[#This Row],[Previous Quartile Value]], "Improved",
   IF(Table13[[#This Row],[Quartile Value]] &gt; Table13[[#This Row],[Previous Quartile Value]], "Dropped", "Same")))</f>
        <v>Dropped</v>
      </c>
      <c r="J588" s="10" t="s">
        <v>24</v>
      </c>
      <c r="K588" s="7" t="str">
        <f>VLOOKUP(J588,Introduction!$B$6:$C$14,2)</f>
        <v>North East and Yorkshire</v>
      </c>
      <c r="L588" s="11">
        <v>155</v>
      </c>
      <c r="M588" s="12" t="s">
        <v>332</v>
      </c>
    </row>
    <row r="589" spans="1:13" ht="19.95" customHeight="1" x14ac:dyDescent="0.25">
      <c r="A589" s="41">
        <v>45413</v>
      </c>
      <c r="B589" s="47">
        <f>MONTH(Table13[[#This Row],[YearMonth]])</f>
        <v>5</v>
      </c>
      <c r="C589" s="9" t="s">
        <v>236</v>
      </c>
      <c r="D589" s="6" t="s">
        <v>350</v>
      </c>
      <c r="E589" s="6">
        <f>IF(Table13[[#This Row],[Quartile]]="TopQuartile", 1,
 IF(Table13[[#This Row],[Quartile]]="SecondQuartile", 2,
 IF(Table13[[#This Row],[Quartile]]="ThirdQuartile", 3,
 IF(Table13[[#This Row],[Quartile]]="FourthQuartile", 4, ""))))</f>
        <v>4</v>
      </c>
      <c r="F589" s="9" t="s">
        <v>348</v>
      </c>
      <c r="G589" s="9" t="str" cm="1">
        <f t="array" ref="G589">IFERROR(
  INDEX(Table13[Quartile],
    MATCH(1,
      (Table13[[#This Row],[OrgName]]=Table13[OrgName]) *
      (Table13[[#This Row],[Month Number]]-1=Table13[Month Number]),
    0)
  ),
"")</f>
        <v>ThirdQuartile</v>
      </c>
      <c r="H589" s="9">
        <f>IF(Table13[[#This Row],[Previous Quartile]]="TopQuartile", 1,
 IF(Table13[[#This Row],[Previous Quartile]]="SecondQuartile", 2,
 IF(Table13[[#This Row],[Previous Quartile]]="ThirdQuartile", 3,
 IF(Table13[[#This Row],[Previous Quartile]]="FourthQuartile", 4, ""))))</f>
        <v>3</v>
      </c>
      <c r="I589" s="9" t="str">
        <f>IF(Table13[[#This Row],[Previous Quartile Value]]="", "",
   IF(Table13[[#This Row],[Quartile Value]] &lt; Table13[[#This Row],[Previous Quartile Value]], "Improved",
   IF(Table13[[#This Row],[Quartile Value]] &gt; Table13[[#This Row],[Previous Quartile Value]], "Dropped", "Same")))</f>
        <v>Dropped</v>
      </c>
      <c r="J589" s="10" t="s">
        <v>18</v>
      </c>
      <c r="K589" s="7" t="str">
        <f>VLOOKUP(J589,Introduction!$B$6:$C$14,2)</f>
        <v>Midlands</v>
      </c>
      <c r="L589" s="11">
        <v>365</v>
      </c>
      <c r="M589" s="12" t="s">
        <v>332</v>
      </c>
    </row>
    <row r="590" spans="1:13" ht="19.95" customHeight="1" x14ac:dyDescent="0.25">
      <c r="A590" s="41">
        <v>45413</v>
      </c>
      <c r="B590" s="47">
        <f>MONTH(Table13[[#This Row],[YearMonth]])</f>
        <v>5</v>
      </c>
      <c r="C590" s="9" t="s">
        <v>254</v>
      </c>
      <c r="D590" s="6" t="s">
        <v>350</v>
      </c>
      <c r="E590" s="6">
        <f>IF(Table13[[#This Row],[Quartile]]="TopQuartile", 1,
 IF(Table13[[#This Row],[Quartile]]="SecondQuartile", 2,
 IF(Table13[[#This Row],[Quartile]]="ThirdQuartile", 3,
 IF(Table13[[#This Row],[Quartile]]="FourthQuartile", 4, ""))))</f>
        <v>4</v>
      </c>
      <c r="F590" s="9" t="s">
        <v>352</v>
      </c>
      <c r="G590" s="9" t="str" cm="1">
        <f t="array" ref="G590">IFERROR(
  INDEX(Table13[Quartile],
    MATCH(1,
      (Table13[[#This Row],[OrgName]]=Table13[OrgName]) *
      (Table13[[#This Row],[Month Number]]-1=Table13[Month Number]),
    0)
  ),
"")</f>
        <v>FourthQuartile</v>
      </c>
      <c r="H590" s="9">
        <f>IF(Table13[[#This Row],[Previous Quartile]]="TopQuartile", 1,
 IF(Table13[[#This Row],[Previous Quartile]]="SecondQuartile", 2,
 IF(Table13[[#This Row],[Previous Quartile]]="ThirdQuartile", 3,
 IF(Table13[[#This Row],[Previous Quartile]]="FourthQuartile", 4, ""))))</f>
        <v>4</v>
      </c>
      <c r="I590" s="9" t="str">
        <f>IF(Table13[[#This Row],[Previous Quartile Value]]="", "",
   IF(Table13[[#This Row],[Quartile Value]] &lt; Table13[[#This Row],[Previous Quartile Value]], "Improved",
   IF(Table13[[#This Row],[Quartile Value]] &gt; Table13[[#This Row],[Previous Quartile Value]], "Dropped", "Same")))</f>
        <v>Same</v>
      </c>
      <c r="J590" s="10" t="s">
        <v>22</v>
      </c>
      <c r="K590" s="7" t="str">
        <f>VLOOKUP(J590,Introduction!$B$6:$C$14,2)</f>
        <v>North West</v>
      </c>
      <c r="L590" s="11">
        <v>435</v>
      </c>
      <c r="M590" s="12" t="s">
        <v>332</v>
      </c>
    </row>
    <row r="591" spans="1:13" ht="19.95" customHeight="1" x14ac:dyDescent="0.25">
      <c r="A591" s="41">
        <v>45413</v>
      </c>
      <c r="B591" s="47">
        <f>MONTH(Table13[[#This Row],[YearMonth]])</f>
        <v>5</v>
      </c>
      <c r="C591" s="9" t="s">
        <v>257</v>
      </c>
      <c r="D591" s="6" t="s">
        <v>350</v>
      </c>
      <c r="E591" s="6">
        <f>IF(Table13[[#This Row],[Quartile]]="TopQuartile", 1,
 IF(Table13[[#This Row],[Quartile]]="SecondQuartile", 2,
 IF(Table13[[#This Row],[Quartile]]="ThirdQuartile", 3,
 IF(Table13[[#This Row],[Quartile]]="FourthQuartile", 4, ""))))</f>
        <v>4</v>
      </c>
      <c r="F591" s="9" t="s">
        <v>353</v>
      </c>
      <c r="G591" s="9" t="str" cm="1">
        <f t="array" ref="G591">IFERROR(
  INDEX(Table13[Quartile],
    MATCH(1,
      (Table13[[#This Row],[OrgName]]=Table13[OrgName]) *
      (Table13[[#This Row],[Month Number]]-1=Table13[Month Number]),
    0)
  ),
"")</f>
        <v>FourthQuartile</v>
      </c>
      <c r="H591" s="9">
        <f>IF(Table13[[#This Row],[Previous Quartile]]="TopQuartile", 1,
 IF(Table13[[#This Row],[Previous Quartile]]="SecondQuartile", 2,
 IF(Table13[[#This Row],[Previous Quartile]]="ThirdQuartile", 3,
 IF(Table13[[#This Row],[Previous Quartile]]="FourthQuartile", 4, ""))))</f>
        <v>4</v>
      </c>
      <c r="I591" s="9" t="str">
        <f>IF(Table13[[#This Row],[Previous Quartile Value]]="", "",
   IF(Table13[[#This Row],[Quartile Value]] &lt; Table13[[#This Row],[Previous Quartile Value]], "Improved",
   IF(Table13[[#This Row],[Quartile Value]] &gt; Table13[[#This Row],[Previous Quartile Value]], "Dropped", "Same")))</f>
        <v>Same</v>
      </c>
      <c r="J591" s="10" t="s">
        <v>14</v>
      </c>
      <c r="K591" s="7" t="str">
        <f>VLOOKUP(J591,Introduction!$B$6:$C$14,2)</f>
        <v>South West</v>
      </c>
      <c r="L591" s="11">
        <v>185</v>
      </c>
      <c r="M591" s="12" t="s">
        <v>332</v>
      </c>
    </row>
    <row r="592" spans="1:13" ht="19.95" customHeight="1" x14ac:dyDescent="0.25">
      <c r="A592" s="41">
        <v>45413</v>
      </c>
      <c r="B592" s="47">
        <f>MONTH(Table13[[#This Row],[YearMonth]])</f>
        <v>5</v>
      </c>
      <c r="C592" s="9" t="s">
        <v>270</v>
      </c>
      <c r="D592" s="6" t="s">
        <v>350</v>
      </c>
      <c r="E592" s="6">
        <f>IF(Table13[[#This Row],[Quartile]]="TopQuartile", 1,
 IF(Table13[[#This Row],[Quartile]]="SecondQuartile", 2,
 IF(Table13[[#This Row],[Quartile]]="ThirdQuartile", 3,
 IF(Table13[[#This Row],[Quartile]]="FourthQuartile", 4, ""))))</f>
        <v>4</v>
      </c>
      <c r="F592" s="9" t="s">
        <v>354</v>
      </c>
      <c r="G592" s="9" t="str" cm="1">
        <f t="array" ref="G592">IFERROR(
  INDEX(Table13[Quartile],
    MATCH(1,
      (Table13[[#This Row],[OrgName]]=Table13[OrgName]) *
      (Table13[[#This Row],[Month Number]]-1=Table13[Month Number]),
    0)
  ),
"")</f>
        <v>FourthQuartile</v>
      </c>
      <c r="H592" s="9">
        <f>IF(Table13[[#This Row],[Previous Quartile]]="TopQuartile", 1,
 IF(Table13[[#This Row],[Previous Quartile]]="SecondQuartile", 2,
 IF(Table13[[#This Row],[Previous Quartile]]="ThirdQuartile", 3,
 IF(Table13[[#This Row],[Previous Quartile]]="FourthQuartile", 4, ""))))</f>
        <v>4</v>
      </c>
      <c r="I592" s="9" t="str">
        <f>IF(Table13[[#This Row],[Previous Quartile Value]]="", "",
   IF(Table13[[#This Row],[Quartile Value]] &lt; Table13[[#This Row],[Previous Quartile Value]], "Improved",
   IF(Table13[[#This Row],[Quartile Value]] &gt; Table13[[#This Row],[Previous Quartile Value]], "Dropped", "Same")))</f>
        <v>Same</v>
      </c>
      <c r="J592" s="10" t="s">
        <v>16</v>
      </c>
      <c r="K592" s="7" t="str">
        <f>VLOOKUP(J592,Introduction!$B$6:$C$14,2)</f>
        <v>South East</v>
      </c>
      <c r="L592" s="11">
        <v>251</v>
      </c>
      <c r="M592" s="12" t="s">
        <v>332</v>
      </c>
    </row>
    <row r="593" spans="1:13" ht="19.95" customHeight="1" x14ac:dyDescent="0.25">
      <c r="A593" s="41">
        <v>45413</v>
      </c>
      <c r="B593" s="47">
        <f>MONTH(Table13[[#This Row],[YearMonth]])</f>
        <v>5</v>
      </c>
      <c r="C593" s="9" t="s">
        <v>283</v>
      </c>
      <c r="D593" s="6" t="s">
        <v>350</v>
      </c>
      <c r="E593" s="6">
        <f>IF(Table13[[#This Row],[Quartile]]="TopQuartile", 1,
 IF(Table13[[#This Row],[Quartile]]="SecondQuartile", 2,
 IF(Table13[[#This Row],[Quartile]]="ThirdQuartile", 3,
 IF(Table13[[#This Row],[Quartile]]="FourthQuartile", 4, ""))))</f>
        <v>4</v>
      </c>
      <c r="F593" s="9" t="s">
        <v>355</v>
      </c>
      <c r="G593" s="9" t="str" cm="1">
        <f t="array" ref="G593">IFERROR(
  INDEX(Table13[Quartile],
    MATCH(1,
      (Table13[[#This Row],[OrgName]]=Table13[OrgName]) *
      (Table13[[#This Row],[Month Number]]-1=Table13[Month Number]),
    0)
  ),
"")</f>
        <v>FourthQuartile</v>
      </c>
      <c r="H593" s="9">
        <f>IF(Table13[[#This Row],[Previous Quartile]]="TopQuartile", 1,
 IF(Table13[[#This Row],[Previous Quartile]]="SecondQuartile", 2,
 IF(Table13[[#This Row],[Previous Quartile]]="ThirdQuartile", 3,
 IF(Table13[[#This Row],[Previous Quartile]]="FourthQuartile", 4, ""))))</f>
        <v>4</v>
      </c>
      <c r="I593" s="9" t="str">
        <f>IF(Table13[[#This Row],[Previous Quartile Value]]="", "",
   IF(Table13[[#This Row],[Quartile Value]] &lt; Table13[[#This Row],[Previous Quartile Value]], "Improved",
   IF(Table13[[#This Row],[Quartile Value]] &gt; Table13[[#This Row],[Previous Quartile Value]], "Dropped", "Same")))</f>
        <v>Same</v>
      </c>
      <c r="J593" s="10" t="s">
        <v>16</v>
      </c>
      <c r="K593" s="7" t="str">
        <f>VLOOKUP(J593,Introduction!$B$6:$C$14,2)</f>
        <v>South East</v>
      </c>
      <c r="L593" s="11">
        <v>193</v>
      </c>
      <c r="M593" s="12" t="s">
        <v>332</v>
      </c>
    </row>
    <row r="594" spans="1:13" ht="19.95" customHeight="1" x14ac:dyDescent="0.25">
      <c r="A594" s="41">
        <v>45413</v>
      </c>
      <c r="B594" s="47">
        <f>MONTH(Table13[[#This Row],[YearMonth]])</f>
        <v>5</v>
      </c>
      <c r="C594" s="9" t="s">
        <v>246</v>
      </c>
      <c r="D594" s="6" t="s">
        <v>350</v>
      </c>
      <c r="E594" s="6">
        <f>IF(Table13[[#This Row],[Quartile]]="TopQuartile", 1,
 IF(Table13[[#This Row],[Quartile]]="SecondQuartile", 2,
 IF(Table13[[#This Row],[Quartile]]="ThirdQuartile", 3,
 IF(Table13[[#This Row],[Quartile]]="FourthQuartile", 4, ""))))</f>
        <v>4</v>
      </c>
      <c r="F594" s="9" t="s">
        <v>351</v>
      </c>
      <c r="G594" s="9" t="str" cm="1">
        <f t="array" ref="G594">IFERROR(
  INDEX(Table13[Quartile],
    MATCH(1,
      (Table13[[#This Row],[OrgName]]=Table13[OrgName]) *
      (Table13[[#This Row],[Month Number]]-1=Table13[Month Number]),
    0)
  ),
"")</f>
        <v>FourthQuartile</v>
      </c>
      <c r="H594" s="9">
        <f>IF(Table13[[#This Row],[Previous Quartile]]="TopQuartile", 1,
 IF(Table13[[#This Row],[Previous Quartile]]="SecondQuartile", 2,
 IF(Table13[[#This Row],[Previous Quartile]]="ThirdQuartile", 3,
 IF(Table13[[#This Row],[Previous Quartile]]="FourthQuartile", 4, ""))))</f>
        <v>4</v>
      </c>
      <c r="I594" s="9" t="str">
        <f>IF(Table13[[#This Row],[Previous Quartile Value]]="", "",
   IF(Table13[[#This Row],[Quartile Value]] &lt; Table13[[#This Row],[Previous Quartile Value]], "Improved",
   IF(Table13[[#This Row],[Quartile Value]] &gt; Table13[[#This Row],[Previous Quartile Value]], "Dropped", "Same")))</f>
        <v>Same</v>
      </c>
      <c r="J594" s="10" t="s">
        <v>14</v>
      </c>
      <c r="K594" s="7" t="str">
        <f>VLOOKUP(J594,Introduction!$B$6:$C$14,2)</f>
        <v>South West</v>
      </c>
      <c r="L594" s="11">
        <v>318</v>
      </c>
      <c r="M594" s="12" t="s">
        <v>332</v>
      </c>
    </row>
    <row r="595" spans="1:13" ht="19.95" customHeight="1" x14ac:dyDescent="0.25">
      <c r="A595" s="41">
        <v>45413</v>
      </c>
      <c r="B595" s="47">
        <f>MONTH(Table13[[#This Row],[YearMonth]])</f>
        <v>5</v>
      </c>
      <c r="C595" s="9" t="s">
        <v>290</v>
      </c>
      <c r="D595" s="6" t="s">
        <v>350</v>
      </c>
      <c r="E595" s="6">
        <f>IF(Table13[[#This Row],[Quartile]]="TopQuartile", 1,
 IF(Table13[[#This Row],[Quartile]]="SecondQuartile", 2,
 IF(Table13[[#This Row],[Quartile]]="ThirdQuartile", 3,
 IF(Table13[[#This Row],[Quartile]]="FourthQuartile", 4, ""))))</f>
        <v>4</v>
      </c>
      <c r="F595" s="9" t="s">
        <v>356</v>
      </c>
      <c r="G595" s="9" t="str" cm="1">
        <f t="array" ref="G595">IFERROR(
  INDEX(Table13[Quartile],
    MATCH(1,
      (Table13[[#This Row],[OrgName]]=Table13[OrgName]) *
      (Table13[[#This Row],[Month Number]]-1=Table13[Month Number]),
    0)
  ),
"")</f>
        <v>FourthQuartile</v>
      </c>
      <c r="H595" s="9">
        <f>IF(Table13[[#This Row],[Previous Quartile]]="TopQuartile", 1,
 IF(Table13[[#This Row],[Previous Quartile]]="SecondQuartile", 2,
 IF(Table13[[#This Row],[Previous Quartile]]="ThirdQuartile", 3,
 IF(Table13[[#This Row],[Previous Quartile]]="FourthQuartile", 4, ""))))</f>
        <v>4</v>
      </c>
      <c r="I595" s="9" t="str">
        <f>IF(Table13[[#This Row],[Previous Quartile Value]]="", "",
   IF(Table13[[#This Row],[Quartile Value]] &lt; Table13[[#This Row],[Previous Quartile Value]], "Improved",
   IF(Table13[[#This Row],[Quartile Value]] &gt; Table13[[#This Row],[Previous Quartile Value]], "Dropped", "Same")))</f>
        <v>Same</v>
      </c>
      <c r="J595" s="10" t="s">
        <v>18</v>
      </c>
      <c r="K595" s="7" t="str">
        <f>VLOOKUP(J595,Introduction!$B$6:$C$14,2)</f>
        <v>Midlands</v>
      </c>
      <c r="L595" s="11">
        <v>381</v>
      </c>
      <c r="M595" s="12" t="s">
        <v>332</v>
      </c>
    </row>
    <row r="596" spans="1:13" ht="19.95" customHeight="1" x14ac:dyDescent="0.25">
      <c r="A596" s="41">
        <v>45413</v>
      </c>
      <c r="B596" s="47">
        <f>MONTH(Table13[[#This Row],[YearMonth]])</f>
        <v>5</v>
      </c>
      <c r="C596" s="9" t="s">
        <v>292</v>
      </c>
      <c r="D596" s="6" t="s">
        <v>350</v>
      </c>
      <c r="E596" s="6">
        <f>IF(Table13[[#This Row],[Quartile]]="TopQuartile", 1,
 IF(Table13[[#This Row],[Quartile]]="SecondQuartile", 2,
 IF(Table13[[#This Row],[Quartile]]="ThirdQuartile", 3,
 IF(Table13[[#This Row],[Quartile]]="FourthQuartile", 4, ""))))</f>
        <v>4</v>
      </c>
      <c r="F596" s="9" t="s">
        <v>357</v>
      </c>
      <c r="G596" s="9" t="str" cm="1">
        <f t="array" ref="G596">IFERROR(
  INDEX(Table13[Quartile],
    MATCH(1,
      (Table13[[#This Row],[OrgName]]=Table13[OrgName]) *
      (Table13[[#This Row],[Month Number]]-1=Table13[Month Number]),
    0)
  ),
"")</f>
        <v>FourthQuartile</v>
      </c>
      <c r="H596" s="9">
        <f>IF(Table13[[#This Row],[Previous Quartile]]="TopQuartile", 1,
 IF(Table13[[#This Row],[Previous Quartile]]="SecondQuartile", 2,
 IF(Table13[[#This Row],[Previous Quartile]]="ThirdQuartile", 3,
 IF(Table13[[#This Row],[Previous Quartile]]="FourthQuartile", 4, ""))))</f>
        <v>4</v>
      </c>
      <c r="I596" s="9" t="str">
        <f>IF(Table13[[#This Row],[Previous Quartile Value]]="", "",
   IF(Table13[[#This Row],[Quartile Value]] &lt; Table13[[#This Row],[Previous Quartile Value]], "Improved",
   IF(Table13[[#This Row],[Quartile Value]] &gt; Table13[[#This Row],[Previous Quartile Value]], "Dropped", "Same")))</f>
        <v>Same</v>
      </c>
      <c r="J596" s="10" t="s">
        <v>14</v>
      </c>
      <c r="K596" s="7" t="str">
        <f>VLOOKUP(J596,Introduction!$B$6:$C$14,2)</f>
        <v>South West</v>
      </c>
      <c r="L596" s="11">
        <v>156</v>
      </c>
      <c r="M596" s="12" t="s">
        <v>332</v>
      </c>
    </row>
    <row r="597" spans="1:13" ht="19.95" customHeight="1" x14ac:dyDescent="0.25">
      <c r="A597" s="41">
        <v>45413</v>
      </c>
      <c r="B597" s="47">
        <f>MONTH(Table13[[#This Row],[YearMonth]])</f>
        <v>5</v>
      </c>
      <c r="C597" s="9" t="s">
        <v>50</v>
      </c>
      <c r="D597" s="6" t="s">
        <v>330</v>
      </c>
      <c r="E597" s="6">
        <f>IF(Table13[[#This Row],[Quartile]]="TopQuartile", 1,
 IF(Table13[[#This Row],[Quartile]]="SecondQuartile", 2,
 IF(Table13[[#This Row],[Quartile]]="ThirdQuartile", 3,
 IF(Table13[[#This Row],[Quartile]]="FourthQuartile", 4, ""))))</f>
        <v>1</v>
      </c>
      <c r="F597" s="9" t="s">
        <v>360</v>
      </c>
      <c r="G597" s="9" t="str" cm="1">
        <f t="array" ref="G597">IFERROR(
  INDEX(Table13[Quartile],
    MATCH(1,
      (Table13[[#This Row],[OrgName]]=Table13[OrgName]) *
      (Table13[[#This Row],[Month Number]]-1=Table13[Month Number]),
    0)
  ),
"")</f>
        <v>TopQuartile</v>
      </c>
      <c r="H597" s="9">
        <f>IF(Table13[[#This Row],[Previous Quartile]]="TopQuartile", 1,
 IF(Table13[[#This Row],[Previous Quartile]]="SecondQuartile", 2,
 IF(Table13[[#This Row],[Previous Quartile]]="ThirdQuartile", 3,
 IF(Table13[[#This Row],[Previous Quartile]]="FourthQuartile", 4, ""))))</f>
        <v>1</v>
      </c>
      <c r="I597" s="9" t="str">
        <f>IF(Table13[[#This Row],[Previous Quartile Value]]="", "",
   IF(Table13[[#This Row],[Quartile Value]] &lt; Table13[[#This Row],[Previous Quartile Value]], "Improved",
   IF(Table13[[#This Row],[Quartile Value]] &gt; Table13[[#This Row],[Previous Quartile Value]], "Dropped", "Same")))</f>
        <v>Same</v>
      </c>
      <c r="J597" s="10" t="s">
        <v>12</v>
      </c>
      <c r="K597" s="7" t="str">
        <f>VLOOKUP(J597,Introduction!$B$6:$C$14,2)</f>
        <v>London</v>
      </c>
      <c r="L597" s="11">
        <v>199</v>
      </c>
      <c r="M597" s="12" t="s">
        <v>359</v>
      </c>
    </row>
    <row r="598" spans="1:13" ht="19.95" customHeight="1" x14ac:dyDescent="0.25">
      <c r="A598" s="41">
        <v>45413</v>
      </c>
      <c r="B598" s="47">
        <f>MONTH(Table13[[#This Row],[YearMonth]])</f>
        <v>5</v>
      </c>
      <c r="C598" s="9" t="s">
        <v>59</v>
      </c>
      <c r="D598" s="6" t="s">
        <v>330</v>
      </c>
      <c r="E598" s="6">
        <f>IF(Table13[[#This Row],[Quartile]]="TopQuartile", 1,
 IF(Table13[[#This Row],[Quartile]]="SecondQuartile", 2,
 IF(Table13[[#This Row],[Quartile]]="ThirdQuartile", 3,
 IF(Table13[[#This Row],[Quartile]]="FourthQuartile", 4, ""))))</f>
        <v>1</v>
      </c>
      <c r="F598" s="9" t="s">
        <v>363</v>
      </c>
      <c r="G598" s="9" t="str" cm="1">
        <f t="array" ref="G598">IFERROR(
  INDEX(Table13[Quartile],
    MATCH(1,
      (Table13[[#This Row],[OrgName]]=Table13[OrgName]) *
      (Table13[[#This Row],[Month Number]]-1=Table13[Month Number]),
    0)
  ),
"")</f>
        <v>TopQuartile</v>
      </c>
      <c r="H598" s="9">
        <f>IF(Table13[[#This Row],[Previous Quartile]]="TopQuartile", 1,
 IF(Table13[[#This Row],[Previous Quartile]]="SecondQuartile", 2,
 IF(Table13[[#This Row],[Previous Quartile]]="ThirdQuartile", 3,
 IF(Table13[[#This Row],[Previous Quartile]]="FourthQuartile", 4, ""))))</f>
        <v>1</v>
      </c>
      <c r="I598" s="9" t="str">
        <f>IF(Table13[[#This Row],[Previous Quartile Value]]="", "",
   IF(Table13[[#This Row],[Quartile Value]] &lt; Table13[[#This Row],[Previous Quartile Value]], "Improved",
   IF(Table13[[#This Row],[Quartile Value]] &gt; Table13[[#This Row],[Previous Quartile Value]], "Dropped", "Same")))</f>
        <v>Same</v>
      </c>
      <c r="J598" s="10" t="s">
        <v>24</v>
      </c>
      <c r="K598" s="7" t="str">
        <f>VLOOKUP(J598,Introduction!$B$6:$C$14,2)</f>
        <v>North East and Yorkshire</v>
      </c>
      <c r="L598" s="11">
        <v>208</v>
      </c>
      <c r="M598" s="12" t="s">
        <v>359</v>
      </c>
    </row>
    <row r="599" spans="1:13" ht="19.95" customHeight="1" x14ac:dyDescent="0.25">
      <c r="A599" s="41">
        <v>45413</v>
      </c>
      <c r="B599" s="47">
        <f>MONTH(Table13[[#This Row],[YearMonth]])</f>
        <v>5</v>
      </c>
      <c r="C599" s="9" t="s">
        <v>37</v>
      </c>
      <c r="D599" s="6" t="s">
        <v>330</v>
      </c>
      <c r="E599" s="6">
        <f>IF(Table13[[#This Row],[Quartile]]="TopQuartile", 1,
 IF(Table13[[#This Row],[Quartile]]="SecondQuartile", 2,
 IF(Table13[[#This Row],[Quartile]]="ThirdQuartile", 3,
 IF(Table13[[#This Row],[Quartile]]="FourthQuartile", 4, ""))))</f>
        <v>1</v>
      </c>
      <c r="F599" s="9" t="s">
        <v>358</v>
      </c>
      <c r="G599" s="9" t="str" cm="1">
        <f t="array" ref="G599">IFERROR(
  INDEX(Table13[Quartile],
    MATCH(1,
      (Table13[[#This Row],[OrgName]]=Table13[OrgName]) *
      (Table13[[#This Row],[Month Number]]-1=Table13[Month Number]),
    0)
  ),
"")</f>
        <v>TopQuartile</v>
      </c>
      <c r="H599" s="9">
        <f>IF(Table13[[#This Row],[Previous Quartile]]="TopQuartile", 1,
 IF(Table13[[#This Row],[Previous Quartile]]="SecondQuartile", 2,
 IF(Table13[[#This Row],[Previous Quartile]]="ThirdQuartile", 3,
 IF(Table13[[#This Row],[Previous Quartile]]="FourthQuartile", 4, ""))))</f>
        <v>1</v>
      </c>
      <c r="I599" s="9" t="str">
        <f>IF(Table13[[#This Row],[Previous Quartile Value]]="", "",
   IF(Table13[[#This Row],[Quartile Value]] &lt; Table13[[#This Row],[Previous Quartile Value]], "Improved",
   IF(Table13[[#This Row],[Quartile Value]] &gt; Table13[[#This Row],[Previous Quartile Value]], "Dropped", "Same")))</f>
        <v>Same</v>
      </c>
      <c r="J599" s="10" t="s">
        <v>18</v>
      </c>
      <c r="K599" s="7" t="str">
        <f>VLOOKUP(J599,Introduction!$B$6:$C$14,2)</f>
        <v>Midlands</v>
      </c>
      <c r="L599" s="11">
        <v>223</v>
      </c>
      <c r="M599" s="12" t="s">
        <v>359</v>
      </c>
    </row>
    <row r="600" spans="1:13" ht="19.95" customHeight="1" x14ac:dyDescent="0.25">
      <c r="A600" s="41">
        <v>45413</v>
      </c>
      <c r="B600" s="47">
        <f>MONTH(Table13[[#This Row],[YearMonth]])</f>
        <v>5</v>
      </c>
      <c r="C600" s="9" t="s">
        <v>105</v>
      </c>
      <c r="D600" s="6" t="s">
        <v>330</v>
      </c>
      <c r="E600" s="6">
        <f>IF(Table13[[#This Row],[Quartile]]="TopQuartile", 1,
 IF(Table13[[#This Row],[Quartile]]="SecondQuartile", 2,
 IF(Table13[[#This Row],[Quartile]]="ThirdQuartile", 3,
 IF(Table13[[#This Row],[Quartile]]="FourthQuartile", 4, ""))))</f>
        <v>1</v>
      </c>
      <c r="F600" s="9" t="s">
        <v>365</v>
      </c>
      <c r="G600" s="9" t="str" cm="1">
        <f t="array" ref="G600">IFERROR(
  INDEX(Table13[Quartile],
    MATCH(1,
      (Table13[[#This Row],[OrgName]]=Table13[OrgName]) *
      (Table13[[#This Row],[Month Number]]-1=Table13[Month Number]),
    0)
  ),
"")</f>
        <v>TopQuartile</v>
      </c>
      <c r="H600" s="9">
        <f>IF(Table13[[#This Row],[Previous Quartile]]="TopQuartile", 1,
 IF(Table13[[#This Row],[Previous Quartile]]="SecondQuartile", 2,
 IF(Table13[[#This Row],[Previous Quartile]]="ThirdQuartile", 3,
 IF(Table13[[#This Row],[Previous Quartile]]="FourthQuartile", 4, ""))))</f>
        <v>1</v>
      </c>
      <c r="I600" s="9" t="str">
        <f>IF(Table13[[#This Row],[Previous Quartile Value]]="", "",
   IF(Table13[[#This Row],[Quartile Value]] &lt; Table13[[#This Row],[Previous Quartile Value]], "Improved",
   IF(Table13[[#This Row],[Quartile Value]] &gt; Table13[[#This Row],[Previous Quartile Value]], "Dropped", "Same")))</f>
        <v>Same</v>
      </c>
      <c r="J600" s="10" t="s">
        <v>12</v>
      </c>
      <c r="K600" s="7" t="str">
        <f>VLOOKUP(J600,Introduction!$B$6:$C$14,2)</f>
        <v>London</v>
      </c>
      <c r="L600" s="11">
        <v>396</v>
      </c>
      <c r="M600" s="12" t="s">
        <v>359</v>
      </c>
    </row>
    <row r="601" spans="1:13" ht="19.95" customHeight="1" x14ac:dyDescent="0.25">
      <c r="A601" s="41">
        <v>45413</v>
      </c>
      <c r="B601" s="47">
        <f>MONTH(Table13[[#This Row],[YearMonth]])</f>
        <v>5</v>
      </c>
      <c r="C601" s="9" t="s">
        <v>136</v>
      </c>
      <c r="D601" s="6" t="s">
        <v>338</v>
      </c>
      <c r="E601" s="6">
        <f>IF(Table13[[#This Row],[Quartile]]="TopQuartile", 1,
 IF(Table13[[#This Row],[Quartile]]="SecondQuartile", 2,
 IF(Table13[[#This Row],[Quartile]]="ThirdQuartile", 3,
 IF(Table13[[#This Row],[Quartile]]="FourthQuartile", 4, ""))))</f>
        <v>2</v>
      </c>
      <c r="F601" s="9" t="s">
        <v>368</v>
      </c>
      <c r="G601" s="9" t="str" cm="1">
        <f t="array" ref="G601">IFERROR(
  INDEX(Table13[Quartile],
    MATCH(1,
      (Table13[[#This Row],[OrgName]]=Table13[OrgName]) *
      (Table13[[#This Row],[Month Number]]-1=Table13[Month Number]),
    0)
  ),
"")</f>
        <v>SecondQuartile</v>
      </c>
      <c r="H601" s="9">
        <f>IF(Table13[[#This Row],[Previous Quartile]]="TopQuartile", 1,
 IF(Table13[[#This Row],[Previous Quartile]]="SecondQuartile", 2,
 IF(Table13[[#This Row],[Previous Quartile]]="ThirdQuartile", 3,
 IF(Table13[[#This Row],[Previous Quartile]]="FourthQuartile", 4, ""))))</f>
        <v>2</v>
      </c>
      <c r="I601" s="9" t="str">
        <f>IF(Table13[[#This Row],[Previous Quartile Value]]="", "",
   IF(Table13[[#This Row],[Quartile Value]] &lt; Table13[[#This Row],[Previous Quartile Value]], "Improved",
   IF(Table13[[#This Row],[Quartile Value]] &gt; Table13[[#This Row],[Previous Quartile Value]], "Dropped", "Same")))</f>
        <v>Same</v>
      </c>
      <c r="J601" s="10" t="s">
        <v>16</v>
      </c>
      <c r="K601" s="7" t="str">
        <f>VLOOKUP(J601,Introduction!$B$6:$C$14,2)</f>
        <v>South East</v>
      </c>
      <c r="L601" s="11">
        <v>326</v>
      </c>
      <c r="M601" s="12" t="s">
        <v>359</v>
      </c>
    </row>
    <row r="602" spans="1:13" ht="19.95" customHeight="1" x14ac:dyDescent="0.25">
      <c r="A602" s="41">
        <v>45413</v>
      </c>
      <c r="B602" s="47">
        <f>MONTH(Table13[[#This Row],[YearMonth]])</f>
        <v>5</v>
      </c>
      <c r="C602" s="9" t="s">
        <v>54</v>
      </c>
      <c r="D602" s="6" t="s">
        <v>338</v>
      </c>
      <c r="E602" s="6">
        <f>IF(Table13[[#This Row],[Quartile]]="TopQuartile", 1,
 IF(Table13[[#This Row],[Quartile]]="SecondQuartile", 2,
 IF(Table13[[#This Row],[Quartile]]="ThirdQuartile", 3,
 IF(Table13[[#This Row],[Quartile]]="FourthQuartile", 4, ""))))</f>
        <v>2</v>
      </c>
      <c r="F602" s="9" t="s">
        <v>361</v>
      </c>
      <c r="G602" s="9" t="str" cm="1">
        <f t="array" ref="G602">IFERROR(
  INDEX(Table13[Quartile],
    MATCH(1,
      (Table13[[#This Row],[OrgName]]=Table13[OrgName]) *
      (Table13[[#This Row],[Month Number]]-1=Table13[Month Number]),
    0)
  ),
"")</f>
        <v>SecondQuartile</v>
      </c>
      <c r="H602" s="9">
        <f>IF(Table13[[#This Row],[Previous Quartile]]="TopQuartile", 1,
 IF(Table13[[#This Row],[Previous Quartile]]="SecondQuartile", 2,
 IF(Table13[[#This Row],[Previous Quartile]]="ThirdQuartile", 3,
 IF(Table13[[#This Row],[Previous Quartile]]="FourthQuartile", 4, ""))))</f>
        <v>2</v>
      </c>
      <c r="I602" s="9" t="str">
        <f>IF(Table13[[#This Row],[Previous Quartile Value]]="", "",
   IF(Table13[[#This Row],[Quartile Value]] &lt; Table13[[#This Row],[Previous Quartile Value]], "Improved",
   IF(Table13[[#This Row],[Quartile Value]] &gt; Table13[[#This Row],[Previous Quartile Value]], "Dropped", "Same")))</f>
        <v>Same</v>
      </c>
      <c r="J602" s="10" t="s">
        <v>24</v>
      </c>
      <c r="K602" s="7" t="str">
        <f>VLOOKUP(J602,Introduction!$B$6:$C$14,2)</f>
        <v>North East and Yorkshire</v>
      </c>
      <c r="L602" s="11">
        <v>297</v>
      </c>
      <c r="M602" s="12" t="s">
        <v>359</v>
      </c>
    </row>
    <row r="603" spans="1:13" ht="19.95" customHeight="1" x14ac:dyDescent="0.25">
      <c r="A603" s="41">
        <v>45413</v>
      </c>
      <c r="B603" s="47">
        <f>MONTH(Table13[[#This Row],[YearMonth]])</f>
        <v>5</v>
      </c>
      <c r="C603" s="9" t="s">
        <v>97</v>
      </c>
      <c r="D603" s="6" t="s">
        <v>338</v>
      </c>
      <c r="E603" s="6">
        <f>IF(Table13[[#This Row],[Quartile]]="TopQuartile", 1,
 IF(Table13[[#This Row],[Quartile]]="SecondQuartile", 2,
 IF(Table13[[#This Row],[Quartile]]="ThirdQuartile", 3,
 IF(Table13[[#This Row],[Quartile]]="FourthQuartile", 4, ""))))</f>
        <v>2</v>
      </c>
      <c r="F603" s="9" t="s">
        <v>364</v>
      </c>
      <c r="G603" s="9" t="str" cm="1">
        <f t="array" ref="G603">IFERROR(
  INDEX(Table13[Quartile],
    MATCH(1,
      (Table13[[#This Row],[OrgName]]=Table13[OrgName]) *
      (Table13[[#This Row],[Month Number]]-1=Table13[Month Number]),
    0)
  ),
"")</f>
        <v>SecondQuartile</v>
      </c>
      <c r="H603" s="9">
        <f>IF(Table13[[#This Row],[Previous Quartile]]="TopQuartile", 1,
 IF(Table13[[#This Row],[Previous Quartile]]="SecondQuartile", 2,
 IF(Table13[[#This Row],[Previous Quartile]]="ThirdQuartile", 3,
 IF(Table13[[#This Row],[Previous Quartile]]="FourthQuartile", 4, ""))))</f>
        <v>2</v>
      </c>
      <c r="I603" s="9" t="str">
        <f>IF(Table13[[#This Row],[Previous Quartile Value]]="", "",
   IF(Table13[[#This Row],[Quartile Value]] &lt; Table13[[#This Row],[Previous Quartile Value]], "Improved",
   IF(Table13[[#This Row],[Quartile Value]] &gt; Table13[[#This Row],[Previous Quartile Value]], "Dropped", "Same")))</f>
        <v>Same</v>
      </c>
      <c r="J603" s="10" t="s">
        <v>14</v>
      </c>
      <c r="K603" s="7" t="str">
        <f>VLOOKUP(J603,Introduction!$B$6:$C$14,2)</f>
        <v>South West</v>
      </c>
      <c r="L603" s="11">
        <v>427</v>
      </c>
      <c r="M603" s="12" t="s">
        <v>359</v>
      </c>
    </row>
    <row r="604" spans="1:13" ht="19.95" customHeight="1" x14ac:dyDescent="0.25">
      <c r="A604" s="41">
        <v>45413</v>
      </c>
      <c r="B604" s="47">
        <f>MONTH(Table13[[#This Row],[YearMonth]])</f>
        <v>5</v>
      </c>
      <c r="C604" s="9" t="s">
        <v>129</v>
      </c>
      <c r="D604" s="6" t="s">
        <v>338</v>
      </c>
      <c r="E604" s="6">
        <f>IF(Table13[[#This Row],[Quartile]]="TopQuartile", 1,
 IF(Table13[[#This Row],[Quartile]]="SecondQuartile", 2,
 IF(Table13[[#This Row],[Quartile]]="ThirdQuartile", 3,
 IF(Table13[[#This Row],[Quartile]]="FourthQuartile", 4, ""))))</f>
        <v>2</v>
      </c>
      <c r="F604" s="9" t="s">
        <v>367</v>
      </c>
      <c r="G604" s="9" t="str" cm="1">
        <f t="array" ref="G604">IFERROR(
  INDEX(Table13[Quartile],
    MATCH(1,
      (Table13[[#This Row],[OrgName]]=Table13[OrgName]) *
      (Table13[[#This Row],[Month Number]]-1=Table13[Month Number]),
    0)
  ),
"")</f>
        <v>SecondQuartile</v>
      </c>
      <c r="H604" s="9">
        <f>IF(Table13[[#This Row],[Previous Quartile]]="TopQuartile", 1,
 IF(Table13[[#This Row],[Previous Quartile]]="SecondQuartile", 2,
 IF(Table13[[#This Row],[Previous Quartile]]="ThirdQuartile", 3,
 IF(Table13[[#This Row],[Previous Quartile]]="FourthQuartile", 4, ""))))</f>
        <v>2</v>
      </c>
      <c r="I604" s="9" t="str">
        <f>IF(Table13[[#This Row],[Previous Quartile Value]]="", "",
   IF(Table13[[#This Row],[Quartile Value]] &lt; Table13[[#This Row],[Previous Quartile Value]], "Improved",
   IF(Table13[[#This Row],[Quartile Value]] &gt; Table13[[#This Row],[Previous Quartile Value]], "Dropped", "Same")))</f>
        <v>Same</v>
      </c>
      <c r="J604" s="10" t="s">
        <v>18</v>
      </c>
      <c r="K604" s="7" t="str">
        <f>VLOOKUP(J604,Introduction!$B$6:$C$14,2)</f>
        <v>Midlands</v>
      </c>
      <c r="L604" s="11">
        <v>265</v>
      </c>
      <c r="M604" s="12" t="s">
        <v>359</v>
      </c>
    </row>
    <row r="605" spans="1:13" ht="19.95" customHeight="1" x14ac:dyDescent="0.25">
      <c r="A605" s="41">
        <v>45413</v>
      </c>
      <c r="B605" s="47">
        <f>MONTH(Table13[[#This Row],[YearMonth]])</f>
        <v>5</v>
      </c>
      <c r="C605" s="9" t="s">
        <v>55</v>
      </c>
      <c r="D605" s="6" t="s">
        <v>338</v>
      </c>
      <c r="E605" s="6">
        <f>IF(Table13[[#This Row],[Quartile]]="TopQuartile", 1,
 IF(Table13[[#This Row],[Quartile]]="SecondQuartile", 2,
 IF(Table13[[#This Row],[Quartile]]="ThirdQuartile", 3,
 IF(Table13[[#This Row],[Quartile]]="FourthQuartile", 4, ""))))</f>
        <v>2</v>
      </c>
      <c r="F605" s="9" t="s">
        <v>362</v>
      </c>
      <c r="G605" s="9" t="str" cm="1">
        <f t="array" ref="G605">IFERROR(
  INDEX(Table13[Quartile],
    MATCH(1,
      (Table13[[#This Row],[OrgName]]=Table13[OrgName]) *
      (Table13[[#This Row],[Month Number]]-1=Table13[Month Number]),
    0)
  ),
"")</f>
        <v>SecondQuartile</v>
      </c>
      <c r="H605" s="9">
        <f>IF(Table13[[#This Row],[Previous Quartile]]="TopQuartile", 1,
 IF(Table13[[#This Row],[Previous Quartile]]="SecondQuartile", 2,
 IF(Table13[[#This Row],[Previous Quartile]]="ThirdQuartile", 3,
 IF(Table13[[#This Row],[Previous Quartile]]="FourthQuartile", 4, ""))))</f>
        <v>2</v>
      </c>
      <c r="I605" s="9" t="str">
        <f>IF(Table13[[#This Row],[Previous Quartile Value]]="", "",
   IF(Table13[[#This Row],[Quartile Value]] &lt; Table13[[#This Row],[Previous Quartile Value]], "Improved",
   IF(Table13[[#This Row],[Quartile Value]] &gt; Table13[[#This Row],[Previous Quartile Value]], "Dropped", "Same")))</f>
        <v>Same</v>
      </c>
      <c r="J605" s="10" t="s">
        <v>18</v>
      </c>
      <c r="K605" s="7" t="str">
        <f>VLOOKUP(J605,Introduction!$B$6:$C$14,2)</f>
        <v>Midlands</v>
      </c>
      <c r="L605" s="11">
        <v>214</v>
      </c>
      <c r="M605" s="12" t="s">
        <v>359</v>
      </c>
    </row>
    <row r="606" spans="1:13" ht="19.95" customHeight="1" x14ac:dyDescent="0.25">
      <c r="A606" s="41">
        <v>45413</v>
      </c>
      <c r="B606" s="47">
        <f>MONTH(Table13[[#This Row],[YearMonth]])</f>
        <v>5</v>
      </c>
      <c r="C606" s="9" t="s">
        <v>173</v>
      </c>
      <c r="D606" s="6" t="s">
        <v>338</v>
      </c>
      <c r="E606" s="6">
        <f>IF(Table13[[#This Row],[Quartile]]="TopQuartile", 1,
 IF(Table13[[#This Row],[Quartile]]="SecondQuartile", 2,
 IF(Table13[[#This Row],[Quartile]]="ThirdQuartile", 3,
 IF(Table13[[#This Row],[Quartile]]="FourthQuartile", 4, ""))))</f>
        <v>2</v>
      </c>
      <c r="F606" s="9" t="s">
        <v>371</v>
      </c>
      <c r="G606" s="9" t="str" cm="1">
        <f t="array" ref="G606">IFERROR(
  INDEX(Table13[Quartile],
    MATCH(1,
      (Table13[[#This Row],[OrgName]]=Table13[OrgName]) *
      (Table13[[#This Row],[Month Number]]-1=Table13[Month Number]),
    0)
  ),
"")</f>
        <v>SecondQuartile</v>
      </c>
      <c r="H606" s="9">
        <f>IF(Table13[[#This Row],[Previous Quartile]]="TopQuartile", 1,
 IF(Table13[[#This Row],[Previous Quartile]]="SecondQuartile", 2,
 IF(Table13[[#This Row],[Previous Quartile]]="ThirdQuartile", 3,
 IF(Table13[[#This Row],[Previous Quartile]]="FourthQuartile", 4, ""))))</f>
        <v>2</v>
      </c>
      <c r="I606" s="9" t="str">
        <f>IF(Table13[[#This Row],[Previous Quartile Value]]="", "",
   IF(Table13[[#This Row],[Quartile Value]] &lt; Table13[[#This Row],[Previous Quartile Value]], "Improved",
   IF(Table13[[#This Row],[Quartile Value]] &gt; Table13[[#This Row],[Previous Quartile Value]], "Dropped", "Same")))</f>
        <v>Same</v>
      </c>
      <c r="J606" s="10" t="s">
        <v>22</v>
      </c>
      <c r="K606" s="7" t="str">
        <f>VLOOKUP(J606,Introduction!$B$6:$C$14,2)</f>
        <v>North West</v>
      </c>
      <c r="L606" s="11">
        <v>241</v>
      </c>
      <c r="M606" s="12" t="s">
        <v>359</v>
      </c>
    </row>
    <row r="607" spans="1:13" ht="19.95" customHeight="1" x14ac:dyDescent="0.25">
      <c r="A607" s="41">
        <v>45413</v>
      </c>
      <c r="B607" s="47">
        <f>MONTH(Table13[[#This Row],[YearMonth]])</f>
        <v>5</v>
      </c>
      <c r="C607" s="9" t="s">
        <v>121</v>
      </c>
      <c r="D607" s="6" t="s">
        <v>338</v>
      </c>
      <c r="E607" s="6">
        <f>IF(Table13[[#This Row],[Quartile]]="TopQuartile", 1,
 IF(Table13[[#This Row],[Quartile]]="SecondQuartile", 2,
 IF(Table13[[#This Row],[Quartile]]="ThirdQuartile", 3,
 IF(Table13[[#This Row],[Quartile]]="FourthQuartile", 4, ""))))</f>
        <v>2</v>
      </c>
      <c r="F607" s="9" t="s">
        <v>366</v>
      </c>
      <c r="G607" s="9" t="str" cm="1">
        <f t="array" ref="G607">IFERROR(
  INDEX(Table13[Quartile],
    MATCH(1,
      (Table13[[#This Row],[OrgName]]=Table13[OrgName]) *
      (Table13[[#This Row],[Month Number]]-1=Table13[Month Number]),
    0)
  ),
"")</f>
        <v>SecondQuartile</v>
      </c>
      <c r="H607" s="9">
        <f>IF(Table13[[#This Row],[Previous Quartile]]="TopQuartile", 1,
 IF(Table13[[#This Row],[Previous Quartile]]="SecondQuartile", 2,
 IF(Table13[[#This Row],[Previous Quartile]]="ThirdQuartile", 3,
 IF(Table13[[#This Row],[Previous Quartile]]="FourthQuartile", 4, ""))))</f>
        <v>2</v>
      </c>
      <c r="I607" s="9" t="str">
        <f>IF(Table13[[#This Row],[Previous Quartile Value]]="", "",
   IF(Table13[[#This Row],[Quartile Value]] &lt; Table13[[#This Row],[Previous Quartile Value]], "Improved",
   IF(Table13[[#This Row],[Quartile Value]] &gt; Table13[[#This Row],[Previous Quartile Value]], "Dropped", "Same")))</f>
        <v>Same</v>
      </c>
      <c r="J607" s="10" t="s">
        <v>24</v>
      </c>
      <c r="K607" s="7" t="str">
        <f>VLOOKUP(J607,Introduction!$B$6:$C$14,2)</f>
        <v>North East and Yorkshire</v>
      </c>
      <c r="L607" s="11">
        <v>345</v>
      </c>
      <c r="M607" s="12" t="s">
        <v>359</v>
      </c>
    </row>
    <row r="608" spans="1:13" ht="19.95" customHeight="1" x14ac:dyDescent="0.25">
      <c r="A608" s="41">
        <v>45413</v>
      </c>
      <c r="B608" s="47">
        <f>MONTH(Table13[[#This Row],[YearMonth]])</f>
        <v>5</v>
      </c>
      <c r="C608" s="9" t="s">
        <v>169</v>
      </c>
      <c r="D608" s="6" t="s">
        <v>338</v>
      </c>
      <c r="E608" s="6">
        <f>IF(Table13[[#This Row],[Quartile]]="TopQuartile", 1,
 IF(Table13[[#This Row],[Quartile]]="SecondQuartile", 2,
 IF(Table13[[#This Row],[Quartile]]="ThirdQuartile", 3,
 IF(Table13[[#This Row],[Quartile]]="FourthQuartile", 4, ""))))</f>
        <v>2</v>
      </c>
      <c r="F608" s="9" t="s">
        <v>370</v>
      </c>
      <c r="G608" s="9" t="str" cm="1">
        <f t="array" ref="G608">IFERROR(
  INDEX(Table13[Quartile],
    MATCH(1,
      (Table13[[#This Row],[OrgName]]=Table13[OrgName]) *
      (Table13[[#This Row],[Month Number]]-1=Table13[Month Number]),
    0)
  ),
"")</f>
        <v>SecondQuartile</v>
      </c>
      <c r="H608" s="9">
        <f>IF(Table13[[#This Row],[Previous Quartile]]="TopQuartile", 1,
 IF(Table13[[#This Row],[Previous Quartile]]="SecondQuartile", 2,
 IF(Table13[[#This Row],[Previous Quartile]]="ThirdQuartile", 3,
 IF(Table13[[#This Row],[Previous Quartile]]="FourthQuartile", 4, ""))))</f>
        <v>2</v>
      </c>
      <c r="I608" s="9" t="str">
        <f>IF(Table13[[#This Row],[Previous Quartile Value]]="", "",
   IF(Table13[[#This Row],[Quartile Value]] &lt; Table13[[#This Row],[Previous Quartile Value]], "Improved",
   IF(Table13[[#This Row],[Quartile Value]] &gt; Table13[[#This Row],[Previous Quartile Value]], "Dropped", "Same")))</f>
        <v>Same</v>
      </c>
      <c r="J608" s="10" t="s">
        <v>16</v>
      </c>
      <c r="K608" s="7" t="str">
        <f>VLOOKUP(J608,Introduction!$B$6:$C$14,2)</f>
        <v>South East</v>
      </c>
      <c r="L608" s="11">
        <v>275</v>
      </c>
      <c r="M608" s="12" t="s">
        <v>359</v>
      </c>
    </row>
    <row r="609" spans="1:13" ht="19.95" customHeight="1" x14ac:dyDescent="0.25">
      <c r="A609" s="41">
        <v>45413</v>
      </c>
      <c r="B609" s="47">
        <f>MONTH(Table13[[#This Row],[YearMonth]])</f>
        <v>5</v>
      </c>
      <c r="C609" s="9" t="s">
        <v>143</v>
      </c>
      <c r="D609" s="6" t="s">
        <v>341</v>
      </c>
      <c r="E609" s="6">
        <f>IF(Table13[[#This Row],[Quartile]]="TopQuartile", 1,
 IF(Table13[[#This Row],[Quartile]]="SecondQuartile", 2,
 IF(Table13[[#This Row],[Quartile]]="ThirdQuartile", 3,
 IF(Table13[[#This Row],[Quartile]]="FourthQuartile", 4, ""))))</f>
        <v>3</v>
      </c>
      <c r="F609" s="9" t="s">
        <v>369</v>
      </c>
      <c r="G609" s="9" t="str" cm="1">
        <f t="array" ref="G609">IFERROR(
  INDEX(Table13[Quartile],
    MATCH(1,
      (Table13[[#This Row],[OrgName]]=Table13[OrgName]) *
      (Table13[[#This Row],[Month Number]]-1=Table13[Month Number]),
    0)
  ),
"")</f>
        <v>SecondQuartile</v>
      </c>
      <c r="H609" s="9">
        <f>IF(Table13[[#This Row],[Previous Quartile]]="TopQuartile", 1,
 IF(Table13[[#This Row],[Previous Quartile]]="SecondQuartile", 2,
 IF(Table13[[#This Row],[Previous Quartile]]="ThirdQuartile", 3,
 IF(Table13[[#This Row],[Previous Quartile]]="FourthQuartile", 4, ""))))</f>
        <v>2</v>
      </c>
      <c r="I609" s="9" t="str">
        <f>IF(Table13[[#This Row],[Previous Quartile Value]]="", "",
   IF(Table13[[#This Row],[Quartile Value]] &lt; Table13[[#This Row],[Previous Quartile Value]], "Improved",
   IF(Table13[[#This Row],[Quartile Value]] &gt; Table13[[#This Row],[Previous Quartile Value]], "Dropped", "Same")))</f>
        <v>Dropped</v>
      </c>
      <c r="J609" s="10" t="s">
        <v>16</v>
      </c>
      <c r="K609" s="7" t="str">
        <f>VLOOKUP(J609,Introduction!$B$6:$C$14,2)</f>
        <v>South East</v>
      </c>
      <c r="L609" s="11">
        <v>384</v>
      </c>
      <c r="M609" s="12" t="s">
        <v>359</v>
      </c>
    </row>
    <row r="610" spans="1:13" ht="19.95" customHeight="1" x14ac:dyDescent="0.25">
      <c r="A610" s="41">
        <v>45413</v>
      </c>
      <c r="B610" s="47">
        <f>MONTH(Table13[[#This Row],[YearMonth]])</f>
        <v>5</v>
      </c>
      <c r="C610" s="9" t="s">
        <v>188</v>
      </c>
      <c r="D610" s="6" t="s">
        <v>341</v>
      </c>
      <c r="E610" s="6">
        <f>IF(Table13[[#This Row],[Quartile]]="TopQuartile", 1,
 IF(Table13[[#This Row],[Quartile]]="SecondQuartile", 2,
 IF(Table13[[#This Row],[Quartile]]="ThirdQuartile", 3,
 IF(Table13[[#This Row],[Quartile]]="FourthQuartile", 4, ""))))</f>
        <v>3</v>
      </c>
      <c r="F610" s="9" t="s">
        <v>372</v>
      </c>
      <c r="G610" s="9" t="str" cm="1">
        <f t="array" ref="G610">IFERROR(
  INDEX(Table13[Quartile],
    MATCH(1,
      (Table13[[#This Row],[OrgName]]=Table13[OrgName]) *
      (Table13[[#This Row],[Month Number]]-1=Table13[Month Number]),
    0)
  ),
"")</f>
        <v>ThirdQuartile</v>
      </c>
      <c r="H610" s="9">
        <f>IF(Table13[[#This Row],[Previous Quartile]]="TopQuartile", 1,
 IF(Table13[[#This Row],[Previous Quartile]]="SecondQuartile", 2,
 IF(Table13[[#This Row],[Previous Quartile]]="ThirdQuartile", 3,
 IF(Table13[[#This Row],[Previous Quartile]]="FourthQuartile", 4, ""))))</f>
        <v>3</v>
      </c>
      <c r="I610" s="9" t="str">
        <f>IF(Table13[[#This Row],[Previous Quartile Value]]="", "",
   IF(Table13[[#This Row],[Quartile Value]] &lt; Table13[[#This Row],[Previous Quartile Value]], "Improved",
   IF(Table13[[#This Row],[Quartile Value]] &gt; Table13[[#This Row],[Previous Quartile Value]], "Dropped", "Same")))</f>
        <v>Same</v>
      </c>
      <c r="J610" s="10" t="s">
        <v>22</v>
      </c>
      <c r="K610" s="7" t="str">
        <f>VLOOKUP(J610,Introduction!$B$6:$C$14,2)</f>
        <v>North West</v>
      </c>
      <c r="L610" s="11">
        <v>362</v>
      </c>
      <c r="M610" s="12" t="s">
        <v>359</v>
      </c>
    </row>
    <row r="611" spans="1:13" ht="19.95" customHeight="1" x14ac:dyDescent="0.25">
      <c r="A611" s="41">
        <v>45413</v>
      </c>
      <c r="B611" s="47">
        <f>MONTH(Table13[[#This Row],[YearMonth]])</f>
        <v>5</v>
      </c>
      <c r="C611" s="9" t="s">
        <v>203</v>
      </c>
      <c r="D611" s="6" t="s">
        <v>341</v>
      </c>
      <c r="E611" s="6">
        <f>IF(Table13[[#This Row],[Quartile]]="TopQuartile", 1,
 IF(Table13[[#This Row],[Quartile]]="SecondQuartile", 2,
 IF(Table13[[#This Row],[Quartile]]="ThirdQuartile", 3,
 IF(Table13[[#This Row],[Quartile]]="FourthQuartile", 4, ""))))</f>
        <v>3</v>
      </c>
      <c r="F611" s="9" t="s">
        <v>374</v>
      </c>
      <c r="G611" s="9" t="str" cm="1">
        <f t="array" ref="G611">IFERROR(
  INDEX(Table13[Quartile],
    MATCH(1,
      (Table13[[#This Row],[OrgName]]=Table13[OrgName]) *
      (Table13[[#This Row],[Month Number]]-1=Table13[Month Number]),
    0)
  ),
"")</f>
        <v>ThirdQuartile</v>
      </c>
      <c r="H611" s="9">
        <f>IF(Table13[[#This Row],[Previous Quartile]]="TopQuartile", 1,
 IF(Table13[[#This Row],[Previous Quartile]]="SecondQuartile", 2,
 IF(Table13[[#This Row],[Previous Quartile]]="ThirdQuartile", 3,
 IF(Table13[[#This Row],[Previous Quartile]]="FourthQuartile", 4, ""))))</f>
        <v>3</v>
      </c>
      <c r="I611" s="9" t="str">
        <f>IF(Table13[[#This Row],[Previous Quartile Value]]="", "",
   IF(Table13[[#This Row],[Quartile Value]] &lt; Table13[[#This Row],[Previous Quartile Value]], "Improved",
   IF(Table13[[#This Row],[Quartile Value]] &gt; Table13[[#This Row],[Previous Quartile Value]], "Dropped", "Same")))</f>
        <v>Same</v>
      </c>
      <c r="J611" s="10" t="s">
        <v>20</v>
      </c>
      <c r="K611" s="7" t="str">
        <f>VLOOKUP(J611,Introduction!$B$6:$C$14,2)</f>
        <v>East of England</v>
      </c>
      <c r="L611" s="11">
        <v>418</v>
      </c>
      <c r="M611" s="12" t="s">
        <v>359</v>
      </c>
    </row>
    <row r="612" spans="1:13" ht="19.95" customHeight="1" x14ac:dyDescent="0.25">
      <c r="A612" s="41">
        <v>45413</v>
      </c>
      <c r="B612" s="47">
        <f>MONTH(Table13[[#This Row],[YearMonth]])</f>
        <v>5</v>
      </c>
      <c r="C612" s="9" t="s">
        <v>202</v>
      </c>
      <c r="D612" s="6" t="s">
        <v>341</v>
      </c>
      <c r="E612" s="6">
        <f>IF(Table13[[#This Row],[Quartile]]="TopQuartile", 1,
 IF(Table13[[#This Row],[Quartile]]="SecondQuartile", 2,
 IF(Table13[[#This Row],[Quartile]]="ThirdQuartile", 3,
 IF(Table13[[#This Row],[Quartile]]="FourthQuartile", 4, ""))))</f>
        <v>3</v>
      </c>
      <c r="F612" s="9" t="s">
        <v>373</v>
      </c>
      <c r="G612" s="9" t="str" cm="1">
        <f t="array" ref="G612">IFERROR(
  INDEX(Table13[Quartile],
    MATCH(1,
      (Table13[[#This Row],[OrgName]]=Table13[OrgName]) *
      (Table13[[#This Row],[Month Number]]-1=Table13[Month Number]),
    0)
  ),
"")</f>
        <v>ThirdQuartile</v>
      </c>
      <c r="H612" s="9">
        <f>IF(Table13[[#This Row],[Previous Quartile]]="TopQuartile", 1,
 IF(Table13[[#This Row],[Previous Quartile]]="SecondQuartile", 2,
 IF(Table13[[#This Row],[Previous Quartile]]="ThirdQuartile", 3,
 IF(Table13[[#This Row],[Previous Quartile]]="FourthQuartile", 4, ""))))</f>
        <v>3</v>
      </c>
      <c r="I612" s="9" t="str">
        <f>IF(Table13[[#This Row],[Previous Quartile Value]]="", "",
   IF(Table13[[#This Row],[Quartile Value]] &lt; Table13[[#This Row],[Previous Quartile Value]], "Improved",
   IF(Table13[[#This Row],[Quartile Value]] &gt; Table13[[#This Row],[Previous Quartile Value]], "Dropped", "Same")))</f>
        <v>Same</v>
      </c>
      <c r="J612" s="10" t="s">
        <v>24</v>
      </c>
      <c r="K612" s="7" t="str">
        <f>VLOOKUP(J612,Introduction!$B$6:$C$14,2)</f>
        <v>North East and Yorkshire</v>
      </c>
      <c r="L612" s="11">
        <v>262</v>
      </c>
      <c r="M612" s="12" t="s">
        <v>359</v>
      </c>
    </row>
    <row r="613" spans="1:13" ht="19.95" customHeight="1" x14ac:dyDescent="0.25">
      <c r="A613" s="41">
        <v>45413</v>
      </c>
      <c r="B613" s="47">
        <f>MONTH(Table13[[#This Row],[YearMonth]])</f>
        <v>5</v>
      </c>
      <c r="C613" s="9" t="s">
        <v>204</v>
      </c>
      <c r="D613" s="6" t="s">
        <v>341</v>
      </c>
      <c r="E613" s="6">
        <f>IF(Table13[[#This Row],[Quartile]]="TopQuartile", 1,
 IF(Table13[[#This Row],[Quartile]]="SecondQuartile", 2,
 IF(Table13[[#This Row],[Quartile]]="ThirdQuartile", 3,
 IF(Table13[[#This Row],[Quartile]]="FourthQuartile", 4, ""))))</f>
        <v>3</v>
      </c>
      <c r="F613" s="9" t="s">
        <v>375</v>
      </c>
      <c r="G613" s="9" t="str" cm="1">
        <f t="array" ref="G613">IFERROR(
  INDEX(Table13[Quartile],
    MATCH(1,
      (Table13[[#This Row],[OrgName]]=Table13[OrgName]) *
      (Table13[[#This Row],[Month Number]]-1=Table13[Month Number]),
    0)
  ),
"")</f>
        <v>ThirdQuartile</v>
      </c>
      <c r="H613" s="9">
        <f>IF(Table13[[#This Row],[Previous Quartile]]="TopQuartile", 1,
 IF(Table13[[#This Row],[Previous Quartile]]="SecondQuartile", 2,
 IF(Table13[[#This Row],[Previous Quartile]]="ThirdQuartile", 3,
 IF(Table13[[#This Row],[Previous Quartile]]="FourthQuartile", 4, ""))))</f>
        <v>3</v>
      </c>
      <c r="I613" s="9" t="str">
        <f>IF(Table13[[#This Row],[Previous Quartile Value]]="", "",
   IF(Table13[[#This Row],[Quartile Value]] &lt; Table13[[#This Row],[Previous Quartile Value]], "Improved",
   IF(Table13[[#This Row],[Quartile Value]] &gt; Table13[[#This Row],[Previous Quartile Value]], "Dropped", "Same")))</f>
        <v>Same</v>
      </c>
      <c r="J613" s="10" t="s">
        <v>14</v>
      </c>
      <c r="K613" s="7" t="str">
        <f>VLOOKUP(J613,Introduction!$B$6:$C$14,2)</f>
        <v>South West</v>
      </c>
      <c r="L613" s="11">
        <v>249</v>
      </c>
      <c r="M613" s="12" t="s">
        <v>359</v>
      </c>
    </row>
    <row r="614" spans="1:13" ht="19.95" customHeight="1" x14ac:dyDescent="0.25">
      <c r="A614" s="41">
        <v>45413</v>
      </c>
      <c r="B614" s="47">
        <f>MONTH(Table13[[#This Row],[YearMonth]])</f>
        <v>5</v>
      </c>
      <c r="C614" s="9" t="s">
        <v>227</v>
      </c>
      <c r="D614" s="6" t="s">
        <v>350</v>
      </c>
      <c r="E614" s="6">
        <f>IF(Table13[[#This Row],[Quartile]]="TopQuartile", 1,
 IF(Table13[[#This Row],[Quartile]]="SecondQuartile", 2,
 IF(Table13[[#This Row],[Quartile]]="ThirdQuartile", 3,
 IF(Table13[[#This Row],[Quartile]]="FourthQuartile", 4, ""))))</f>
        <v>4</v>
      </c>
      <c r="F614" s="9" t="s">
        <v>376</v>
      </c>
      <c r="G614" s="9" t="str" cm="1">
        <f t="array" ref="G614">IFERROR(
  INDEX(Table13[Quartile],
    MATCH(1,
      (Table13[[#This Row],[OrgName]]=Table13[OrgName]) *
      (Table13[[#This Row],[Month Number]]-1=Table13[Month Number]),
    0)
  ),
"")</f>
        <v>ThirdQuartile</v>
      </c>
      <c r="H614" s="9">
        <f>IF(Table13[[#This Row],[Previous Quartile]]="TopQuartile", 1,
 IF(Table13[[#This Row],[Previous Quartile]]="SecondQuartile", 2,
 IF(Table13[[#This Row],[Previous Quartile]]="ThirdQuartile", 3,
 IF(Table13[[#This Row],[Previous Quartile]]="FourthQuartile", 4, ""))))</f>
        <v>3</v>
      </c>
      <c r="I614" s="9" t="str">
        <f>IF(Table13[[#This Row],[Previous Quartile Value]]="", "",
   IF(Table13[[#This Row],[Quartile Value]] &lt; Table13[[#This Row],[Previous Quartile Value]], "Improved",
   IF(Table13[[#This Row],[Quartile Value]] &gt; Table13[[#This Row],[Previous Quartile Value]], "Dropped", "Same")))</f>
        <v>Dropped</v>
      </c>
      <c r="J614" s="10" t="s">
        <v>22</v>
      </c>
      <c r="K614" s="7" t="str">
        <f>VLOOKUP(J614,Introduction!$B$6:$C$14,2)</f>
        <v>North West</v>
      </c>
      <c r="L614" s="11">
        <v>302</v>
      </c>
      <c r="M614" s="12" t="s">
        <v>359</v>
      </c>
    </row>
    <row r="615" spans="1:13" ht="19.95" customHeight="1" x14ac:dyDescent="0.25">
      <c r="A615" s="41">
        <v>45413</v>
      </c>
      <c r="B615" s="47">
        <f>MONTH(Table13[[#This Row],[YearMonth]])</f>
        <v>5</v>
      </c>
      <c r="C615" s="9" t="s">
        <v>242</v>
      </c>
      <c r="D615" s="6" t="s">
        <v>350</v>
      </c>
      <c r="E615" s="6">
        <f>IF(Table13[[#This Row],[Quartile]]="TopQuartile", 1,
 IF(Table13[[#This Row],[Quartile]]="SecondQuartile", 2,
 IF(Table13[[#This Row],[Quartile]]="ThirdQuartile", 3,
 IF(Table13[[#This Row],[Quartile]]="FourthQuartile", 4, ""))))</f>
        <v>4</v>
      </c>
      <c r="F615" s="9" t="s">
        <v>377</v>
      </c>
      <c r="G615" s="9" t="str" cm="1">
        <f t="array" ref="G615">IFERROR(
  INDEX(Table13[Quartile],
    MATCH(1,
      (Table13[[#This Row],[OrgName]]=Table13[OrgName]) *
      (Table13[[#This Row],[Month Number]]-1=Table13[Month Number]),
    0)
  ),
"")</f>
        <v>ThirdQuartile</v>
      </c>
      <c r="H615" s="9">
        <f>IF(Table13[[#This Row],[Previous Quartile]]="TopQuartile", 1,
 IF(Table13[[#This Row],[Previous Quartile]]="SecondQuartile", 2,
 IF(Table13[[#This Row],[Previous Quartile]]="ThirdQuartile", 3,
 IF(Table13[[#This Row],[Previous Quartile]]="FourthQuartile", 4, ""))))</f>
        <v>3</v>
      </c>
      <c r="I615" s="9" t="str">
        <f>IF(Table13[[#This Row],[Previous Quartile Value]]="", "",
   IF(Table13[[#This Row],[Quartile Value]] &lt; Table13[[#This Row],[Previous Quartile Value]], "Improved",
   IF(Table13[[#This Row],[Quartile Value]] &gt; Table13[[#This Row],[Previous Quartile Value]], "Dropped", "Same")))</f>
        <v>Dropped</v>
      </c>
      <c r="J615" s="10" t="s">
        <v>16</v>
      </c>
      <c r="K615" s="7" t="str">
        <f>VLOOKUP(J615,Introduction!$B$6:$C$14,2)</f>
        <v>South East</v>
      </c>
      <c r="L615" s="11">
        <v>323</v>
      </c>
      <c r="M615" s="12" t="s">
        <v>359</v>
      </c>
    </row>
    <row r="616" spans="1:13" ht="19.95" customHeight="1" x14ac:dyDescent="0.25">
      <c r="A616" s="41">
        <v>45413</v>
      </c>
      <c r="B616" s="47">
        <f>MONTH(Table13[[#This Row],[YearMonth]])</f>
        <v>5</v>
      </c>
      <c r="C616" s="9" t="s">
        <v>252</v>
      </c>
      <c r="D616" s="6" t="s">
        <v>350</v>
      </c>
      <c r="E616" s="6">
        <f>IF(Table13[[#This Row],[Quartile]]="TopQuartile", 1,
 IF(Table13[[#This Row],[Quartile]]="SecondQuartile", 2,
 IF(Table13[[#This Row],[Quartile]]="ThirdQuartile", 3,
 IF(Table13[[#This Row],[Quartile]]="FourthQuartile", 4, ""))))</f>
        <v>4</v>
      </c>
      <c r="F616" s="9" t="s">
        <v>378</v>
      </c>
      <c r="G616" s="9" t="str" cm="1">
        <f t="array" ref="G616">IFERROR(
  INDEX(Table13[Quartile],
    MATCH(1,
      (Table13[[#This Row],[OrgName]]=Table13[OrgName]) *
      (Table13[[#This Row],[Month Number]]-1=Table13[Month Number]),
    0)
  ),
"")</f>
        <v>FourthQuartile</v>
      </c>
      <c r="H616" s="9">
        <f>IF(Table13[[#This Row],[Previous Quartile]]="TopQuartile", 1,
 IF(Table13[[#This Row],[Previous Quartile]]="SecondQuartile", 2,
 IF(Table13[[#This Row],[Previous Quartile]]="ThirdQuartile", 3,
 IF(Table13[[#This Row],[Previous Quartile]]="FourthQuartile", 4, ""))))</f>
        <v>4</v>
      </c>
      <c r="I616" s="9" t="str">
        <f>IF(Table13[[#This Row],[Previous Quartile Value]]="", "",
   IF(Table13[[#This Row],[Quartile Value]] &lt; Table13[[#This Row],[Previous Quartile Value]], "Improved",
   IF(Table13[[#This Row],[Quartile Value]] &gt; Table13[[#This Row],[Previous Quartile Value]], "Dropped", "Same")))</f>
        <v>Same</v>
      </c>
      <c r="J616" s="10" t="s">
        <v>18</v>
      </c>
      <c r="K616" s="7" t="str">
        <f>VLOOKUP(J616,Introduction!$B$6:$C$14,2)</f>
        <v>Midlands</v>
      </c>
      <c r="L616" s="11">
        <v>253</v>
      </c>
      <c r="M616" s="12" t="s">
        <v>359</v>
      </c>
    </row>
    <row r="617" spans="1:13" ht="19.95" customHeight="1" x14ac:dyDescent="0.25">
      <c r="A617" s="41">
        <v>45413</v>
      </c>
      <c r="B617" s="47">
        <f>MONTH(Table13[[#This Row],[YearMonth]])</f>
        <v>5</v>
      </c>
      <c r="C617" s="9" t="s">
        <v>138</v>
      </c>
      <c r="D617" s="6" t="s">
        <v>330</v>
      </c>
      <c r="E617" s="6">
        <f>IF(Table13[[#This Row],[Quartile]]="TopQuartile", 1,
 IF(Table13[[#This Row],[Quartile]]="SecondQuartile", 2,
 IF(Table13[[#This Row],[Quartile]]="ThirdQuartile", 3,
 IF(Table13[[#This Row],[Quartile]]="FourthQuartile", 4, ""))))</f>
        <v>1</v>
      </c>
      <c r="F617" s="9" t="s">
        <v>382</v>
      </c>
      <c r="G617" s="9" t="str" cm="1">
        <f t="array" ref="G617">IFERROR(
  INDEX(Table13[Quartile],
    MATCH(1,
      (Table13[[#This Row],[OrgName]]=Table13[OrgName]) *
      (Table13[[#This Row],[Month Number]]-1=Table13[Month Number]),
    0)
  ),
"")</f>
        <v>TopQuartile</v>
      </c>
      <c r="H617" s="9">
        <f>IF(Table13[[#This Row],[Previous Quartile]]="TopQuartile", 1,
 IF(Table13[[#This Row],[Previous Quartile]]="SecondQuartile", 2,
 IF(Table13[[#This Row],[Previous Quartile]]="ThirdQuartile", 3,
 IF(Table13[[#This Row],[Previous Quartile]]="FourthQuartile", 4, ""))))</f>
        <v>1</v>
      </c>
      <c r="I617" s="9" t="str">
        <f>IF(Table13[[#This Row],[Previous Quartile Value]]="", "",
   IF(Table13[[#This Row],[Quartile Value]] &lt; Table13[[#This Row],[Previous Quartile Value]], "Improved",
   IF(Table13[[#This Row],[Quartile Value]] &gt; Table13[[#This Row],[Previous Quartile Value]], "Dropped", "Same")))</f>
        <v>Same</v>
      </c>
      <c r="J617" s="10" t="s">
        <v>24</v>
      </c>
      <c r="K617" s="7" t="str">
        <f>VLOOKUP(J617,Introduction!$B$6:$C$14,2)</f>
        <v>North East and Yorkshire</v>
      </c>
      <c r="L617" s="11">
        <v>439</v>
      </c>
      <c r="M617" s="12" t="s">
        <v>380</v>
      </c>
    </row>
    <row r="618" spans="1:13" ht="19.95" customHeight="1" x14ac:dyDescent="0.25">
      <c r="A618" s="41">
        <v>45413</v>
      </c>
      <c r="B618" s="47">
        <f>MONTH(Table13[[#This Row],[YearMonth]])</f>
        <v>5</v>
      </c>
      <c r="C618" s="9" t="s">
        <v>104</v>
      </c>
      <c r="D618" s="6" t="s">
        <v>330</v>
      </c>
      <c r="E618" s="6">
        <f>IF(Table13[[#This Row],[Quartile]]="TopQuartile", 1,
 IF(Table13[[#This Row],[Quartile]]="SecondQuartile", 2,
 IF(Table13[[#This Row],[Quartile]]="ThirdQuartile", 3,
 IF(Table13[[#This Row],[Quartile]]="FourthQuartile", 4, ""))))</f>
        <v>1</v>
      </c>
      <c r="F618" s="9" t="s">
        <v>379</v>
      </c>
      <c r="G618" s="9" t="str" cm="1">
        <f t="array" ref="G618">IFERROR(
  INDEX(Table13[Quartile],
    MATCH(1,
      (Table13[[#This Row],[OrgName]]=Table13[OrgName]) *
      (Table13[[#This Row],[Month Number]]-1=Table13[Month Number]),
    0)
  ),
"")</f>
        <v>TopQuartile</v>
      </c>
      <c r="H618" s="9">
        <f>IF(Table13[[#This Row],[Previous Quartile]]="TopQuartile", 1,
 IF(Table13[[#This Row],[Previous Quartile]]="SecondQuartile", 2,
 IF(Table13[[#This Row],[Previous Quartile]]="ThirdQuartile", 3,
 IF(Table13[[#This Row],[Previous Quartile]]="FourthQuartile", 4, ""))))</f>
        <v>1</v>
      </c>
      <c r="I618" s="9" t="str">
        <f>IF(Table13[[#This Row],[Previous Quartile Value]]="", "",
   IF(Table13[[#This Row],[Quartile Value]] &lt; Table13[[#This Row],[Previous Quartile Value]], "Improved",
   IF(Table13[[#This Row],[Quartile Value]] &gt; Table13[[#This Row],[Previous Quartile Value]], "Dropped", "Same")))</f>
        <v>Same</v>
      </c>
      <c r="J618" s="10" t="s">
        <v>16</v>
      </c>
      <c r="K618" s="7" t="str">
        <f>VLOOKUP(J618,Introduction!$B$6:$C$14,2)</f>
        <v>South East</v>
      </c>
      <c r="L618" s="11">
        <v>434</v>
      </c>
      <c r="M618" s="12" t="s">
        <v>380</v>
      </c>
    </row>
    <row r="619" spans="1:13" ht="19.95" customHeight="1" x14ac:dyDescent="0.25">
      <c r="A619" s="41">
        <v>45413</v>
      </c>
      <c r="B619" s="47">
        <f>MONTH(Table13[[#This Row],[YearMonth]])</f>
        <v>5</v>
      </c>
      <c r="C619" s="9" t="s">
        <v>106</v>
      </c>
      <c r="D619" s="6" t="s">
        <v>330</v>
      </c>
      <c r="E619" s="6">
        <f>IF(Table13[[#This Row],[Quartile]]="TopQuartile", 1,
 IF(Table13[[#This Row],[Quartile]]="SecondQuartile", 2,
 IF(Table13[[#This Row],[Quartile]]="ThirdQuartile", 3,
 IF(Table13[[#This Row],[Quartile]]="FourthQuartile", 4, ""))))</f>
        <v>1</v>
      </c>
      <c r="F619" s="9" t="s">
        <v>381</v>
      </c>
      <c r="G619" s="9" t="str" cm="1">
        <f t="array" ref="G619">IFERROR(
  INDEX(Table13[Quartile],
    MATCH(1,
      (Table13[[#This Row],[OrgName]]=Table13[OrgName]) *
      (Table13[[#This Row],[Month Number]]-1=Table13[Month Number]),
    0)
  ),
"")</f>
        <v>TopQuartile</v>
      </c>
      <c r="H619" s="9">
        <f>IF(Table13[[#This Row],[Previous Quartile]]="TopQuartile", 1,
 IF(Table13[[#This Row],[Previous Quartile]]="SecondQuartile", 2,
 IF(Table13[[#This Row],[Previous Quartile]]="ThirdQuartile", 3,
 IF(Table13[[#This Row],[Previous Quartile]]="FourthQuartile", 4, ""))))</f>
        <v>1</v>
      </c>
      <c r="I619" s="9" t="str">
        <f>IF(Table13[[#This Row],[Previous Quartile Value]]="", "",
   IF(Table13[[#This Row],[Quartile Value]] &lt; Table13[[#This Row],[Previous Quartile Value]], "Improved",
   IF(Table13[[#This Row],[Quartile Value]] &gt; Table13[[#This Row],[Previous Quartile Value]], "Dropped", "Same")))</f>
        <v>Same</v>
      </c>
      <c r="J619" s="10" t="s">
        <v>14</v>
      </c>
      <c r="K619" s="7" t="str">
        <f>VLOOKUP(J619,Introduction!$B$6:$C$14,2)</f>
        <v>South West</v>
      </c>
      <c r="L619" s="11">
        <v>388</v>
      </c>
      <c r="M619" s="12" t="s">
        <v>380</v>
      </c>
    </row>
    <row r="620" spans="1:13" ht="19.95" customHeight="1" x14ac:dyDescent="0.25">
      <c r="A620" s="41">
        <v>45413</v>
      </c>
      <c r="B620" s="47">
        <f>MONTH(Table13[[#This Row],[YearMonth]])</f>
        <v>5</v>
      </c>
      <c r="C620" s="9" t="s">
        <v>148</v>
      </c>
      <c r="D620" s="6" t="s">
        <v>338</v>
      </c>
      <c r="E620" s="6">
        <f>IF(Table13[[#This Row],[Quartile]]="TopQuartile", 1,
 IF(Table13[[#This Row],[Quartile]]="SecondQuartile", 2,
 IF(Table13[[#This Row],[Quartile]]="ThirdQuartile", 3,
 IF(Table13[[#This Row],[Quartile]]="FourthQuartile", 4, ""))))</f>
        <v>2</v>
      </c>
      <c r="F620" s="9" t="s">
        <v>383</v>
      </c>
      <c r="G620" s="9" t="str" cm="1">
        <f t="array" ref="G620">IFERROR(
  INDEX(Table13[Quartile],
    MATCH(1,
      (Table13[[#This Row],[OrgName]]=Table13[OrgName]) *
      (Table13[[#This Row],[Month Number]]-1=Table13[Month Number]),
    0)
  ),
"")</f>
        <v>SecondQuartile</v>
      </c>
      <c r="H620" s="9">
        <f>IF(Table13[[#This Row],[Previous Quartile]]="TopQuartile", 1,
 IF(Table13[[#This Row],[Previous Quartile]]="SecondQuartile", 2,
 IF(Table13[[#This Row],[Previous Quartile]]="ThirdQuartile", 3,
 IF(Table13[[#This Row],[Previous Quartile]]="FourthQuartile", 4, ""))))</f>
        <v>2</v>
      </c>
      <c r="I620" s="9" t="str">
        <f>IF(Table13[[#This Row],[Previous Quartile Value]]="", "",
   IF(Table13[[#This Row],[Quartile Value]] &lt; Table13[[#This Row],[Previous Quartile Value]], "Improved",
   IF(Table13[[#This Row],[Quartile Value]] &gt; Table13[[#This Row],[Previous Quartile Value]], "Dropped", "Same")))</f>
        <v>Same</v>
      </c>
      <c r="J620" s="10" t="s">
        <v>18</v>
      </c>
      <c r="K620" s="7" t="str">
        <f>VLOOKUP(J620,Introduction!$B$6:$C$14,2)</f>
        <v>Midlands</v>
      </c>
      <c r="L620" s="11">
        <v>229</v>
      </c>
      <c r="M620" s="12" t="s">
        <v>380</v>
      </c>
    </row>
    <row r="621" spans="1:13" ht="19.95" customHeight="1" x14ac:dyDescent="0.25">
      <c r="A621" s="41">
        <v>45413</v>
      </c>
      <c r="B621" s="47">
        <f>MONTH(Table13[[#This Row],[YearMonth]])</f>
        <v>5</v>
      </c>
      <c r="C621" s="9" t="s">
        <v>243</v>
      </c>
      <c r="D621" s="6" t="s">
        <v>338</v>
      </c>
      <c r="E621" s="6">
        <f>IF(Table13[[#This Row],[Quartile]]="TopQuartile", 1,
 IF(Table13[[#This Row],[Quartile]]="SecondQuartile", 2,
 IF(Table13[[#This Row],[Quartile]]="ThirdQuartile", 3,
 IF(Table13[[#This Row],[Quartile]]="FourthQuartile", 4, ""))))</f>
        <v>2</v>
      </c>
      <c r="F621" s="9" t="s">
        <v>385</v>
      </c>
      <c r="G621" s="9" t="str" cm="1">
        <f t="array" ref="G621">IFERROR(
  INDEX(Table13[Quartile],
    MATCH(1,
      (Table13[[#This Row],[OrgName]]=Table13[OrgName]) *
      (Table13[[#This Row],[Month Number]]-1=Table13[Month Number]),
    0)
  ),
"")</f>
        <v>SecondQuartile</v>
      </c>
      <c r="H621" s="9">
        <f>IF(Table13[[#This Row],[Previous Quartile]]="TopQuartile", 1,
 IF(Table13[[#This Row],[Previous Quartile]]="SecondQuartile", 2,
 IF(Table13[[#This Row],[Previous Quartile]]="ThirdQuartile", 3,
 IF(Table13[[#This Row],[Previous Quartile]]="FourthQuartile", 4, ""))))</f>
        <v>2</v>
      </c>
      <c r="I621" s="9" t="str">
        <f>IF(Table13[[#This Row],[Previous Quartile Value]]="", "",
   IF(Table13[[#This Row],[Quartile Value]] &lt; Table13[[#This Row],[Previous Quartile Value]], "Improved",
   IF(Table13[[#This Row],[Quartile Value]] &gt; Table13[[#This Row],[Previous Quartile Value]], "Dropped", "Same")))</f>
        <v>Same</v>
      </c>
      <c r="J621" s="10" t="s">
        <v>16</v>
      </c>
      <c r="K621" s="7" t="str">
        <f>VLOOKUP(J621,Introduction!$B$6:$C$14,2)</f>
        <v>South East</v>
      </c>
      <c r="L621" s="11">
        <v>470</v>
      </c>
      <c r="M621" s="12" t="s">
        <v>380</v>
      </c>
    </row>
    <row r="622" spans="1:13" ht="19.95" customHeight="1" x14ac:dyDescent="0.25">
      <c r="A622" s="41">
        <v>45413</v>
      </c>
      <c r="B622" s="47">
        <f>MONTH(Table13[[#This Row],[YearMonth]])</f>
        <v>5</v>
      </c>
      <c r="C622" s="9" t="s">
        <v>164</v>
      </c>
      <c r="D622" s="6" t="s">
        <v>341</v>
      </c>
      <c r="E622" s="6">
        <f>IF(Table13[[#This Row],[Quartile]]="TopQuartile", 1,
 IF(Table13[[#This Row],[Quartile]]="SecondQuartile", 2,
 IF(Table13[[#This Row],[Quartile]]="ThirdQuartile", 3,
 IF(Table13[[#This Row],[Quartile]]="FourthQuartile", 4, ""))))</f>
        <v>3</v>
      </c>
      <c r="F622" s="9" t="s">
        <v>384</v>
      </c>
      <c r="G622" s="9" t="str" cm="1">
        <f t="array" ref="G622">IFERROR(
  INDEX(Table13[Quartile],
    MATCH(1,
      (Table13[[#This Row],[OrgName]]=Table13[OrgName]) *
      (Table13[[#This Row],[Month Number]]-1=Table13[Month Number]),
    0)
  ),
"")</f>
        <v>ThirdQuartile</v>
      </c>
      <c r="H622" s="9">
        <f>IF(Table13[[#This Row],[Previous Quartile]]="TopQuartile", 1,
 IF(Table13[[#This Row],[Previous Quartile]]="SecondQuartile", 2,
 IF(Table13[[#This Row],[Previous Quartile]]="ThirdQuartile", 3,
 IF(Table13[[#This Row],[Previous Quartile]]="FourthQuartile", 4, ""))))</f>
        <v>3</v>
      </c>
      <c r="I622" s="9" t="str">
        <f>IF(Table13[[#This Row],[Previous Quartile Value]]="", "",
   IF(Table13[[#This Row],[Quartile Value]] &lt; Table13[[#This Row],[Previous Quartile Value]], "Improved",
   IF(Table13[[#This Row],[Quartile Value]] &gt; Table13[[#This Row],[Previous Quartile Value]], "Dropped", "Same")))</f>
        <v>Same</v>
      </c>
      <c r="J622" s="10" t="s">
        <v>14</v>
      </c>
      <c r="K622" s="7" t="str">
        <f>VLOOKUP(J622,Introduction!$B$6:$C$14,2)</f>
        <v>South West</v>
      </c>
      <c r="L622" s="11">
        <v>184</v>
      </c>
      <c r="M622" s="12" t="s">
        <v>380</v>
      </c>
    </row>
    <row r="623" spans="1:13" ht="19.95" customHeight="1" x14ac:dyDescent="0.25">
      <c r="A623" s="41">
        <v>45413</v>
      </c>
      <c r="B623" s="47">
        <f>MONTH(Table13[[#This Row],[YearMonth]])</f>
        <v>5</v>
      </c>
      <c r="C623" s="9" t="s">
        <v>310</v>
      </c>
      <c r="D623" s="6" t="s">
        <v>350</v>
      </c>
      <c r="E623" s="6">
        <f>IF(Table13[[#This Row],[Quartile]]="TopQuartile", 1,
 IF(Table13[[#This Row],[Quartile]]="SecondQuartile", 2,
 IF(Table13[[#This Row],[Quartile]]="ThirdQuartile", 3,
 IF(Table13[[#This Row],[Quartile]]="FourthQuartile", 4, ""))))</f>
        <v>4</v>
      </c>
      <c r="F623" s="9" t="s">
        <v>386</v>
      </c>
      <c r="G623" s="9" t="str" cm="1">
        <f t="array" ref="G623">IFERROR(
  INDEX(Table13[Quartile],
    MATCH(1,
      (Table13[[#This Row],[OrgName]]=Table13[OrgName]) *
      (Table13[[#This Row],[Month Number]]-1=Table13[Month Number]),
    0)
  ),
"")</f>
        <v>FourthQuartile</v>
      </c>
      <c r="H623" s="9">
        <f>IF(Table13[[#This Row],[Previous Quartile]]="TopQuartile", 1,
 IF(Table13[[#This Row],[Previous Quartile]]="SecondQuartile", 2,
 IF(Table13[[#This Row],[Previous Quartile]]="ThirdQuartile", 3,
 IF(Table13[[#This Row],[Previous Quartile]]="FourthQuartile", 4, ""))))</f>
        <v>4</v>
      </c>
      <c r="I623" s="9" t="str">
        <f>IF(Table13[[#This Row],[Previous Quartile Value]]="", "",
   IF(Table13[[#This Row],[Quartile Value]] &lt; Table13[[#This Row],[Previous Quartile Value]], "Improved",
   IF(Table13[[#This Row],[Quartile Value]] &gt; Table13[[#This Row],[Previous Quartile Value]], "Dropped", "Same")))</f>
        <v>Same</v>
      </c>
      <c r="J623" s="10" t="s">
        <v>12</v>
      </c>
      <c r="K623" s="7" t="str">
        <f>VLOOKUP(J623,Introduction!$B$6:$C$14,2)</f>
        <v>London</v>
      </c>
      <c r="L623" s="11">
        <v>220</v>
      </c>
      <c r="M623" s="12" t="s">
        <v>380</v>
      </c>
    </row>
    <row r="624" spans="1:13" ht="19.95" customHeight="1" x14ac:dyDescent="0.25">
      <c r="A624" s="41">
        <v>45413</v>
      </c>
      <c r="B624" s="47">
        <f>MONTH(Table13[[#This Row],[YearMonth]])</f>
        <v>5</v>
      </c>
      <c r="C624" s="9" t="s">
        <v>39</v>
      </c>
      <c r="D624" s="6" t="s">
        <v>330</v>
      </c>
      <c r="E624" s="6">
        <f>IF(Table13[[#This Row],[Quartile]]="TopQuartile", 1,
 IF(Table13[[#This Row],[Quartile]]="SecondQuartile", 2,
 IF(Table13[[#This Row],[Quartile]]="ThirdQuartile", 3,
 IF(Table13[[#This Row],[Quartile]]="FourthQuartile", 4, ""))))</f>
        <v>1</v>
      </c>
      <c r="F624" s="9" t="s">
        <v>387</v>
      </c>
      <c r="G624" s="9" t="str" cm="1">
        <f t="array" ref="G624">IFERROR(
  INDEX(Table13[Quartile],
    MATCH(1,
      (Table13[[#This Row],[OrgName]]=Table13[OrgName]) *
      (Table13[[#This Row],[Month Number]]-1=Table13[Month Number]),
    0)
  ),
"")</f>
        <v>TopQuartile</v>
      </c>
      <c r="H624" s="9">
        <f>IF(Table13[[#This Row],[Previous Quartile]]="TopQuartile", 1,
 IF(Table13[[#This Row],[Previous Quartile]]="SecondQuartile", 2,
 IF(Table13[[#This Row],[Previous Quartile]]="ThirdQuartile", 3,
 IF(Table13[[#This Row],[Previous Quartile]]="FourthQuartile", 4, ""))))</f>
        <v>1</v>
      </c>
      <c r="I624" s="9" t="str">
        <f>IF(Table13[[#This Row],[Previous Quartile Value]]="", "",
   IF(Table13[[#This Row],[Quartile Value]] &lt; Table13[[#This Row],[Previous Quartile Value]], "Improved",
   IF(Table13[[#This Row],[Quartile Value]] &gt; Table13[[#This Row],[Previous Quartile Value]], "Dropped", "Same")))</f>
        <v>Same</v>
      </c>
      <c r="J624" s="10" t="s">
        <v>24</v>
      </c>
      <c r="K624" s="7" t="str">
        <f>VLOOKUP(J624,Introduction!$B$6:$C$14,2)</f>
        <v>North East and Yorkshire</v>
      </c>
      <c r="L624" s="11">
        <v>163</v>
      </c>
      <c r="M624" s="12" t="s">
        <v>388</v>
      </c>
    </row>
    <row r="625" spans="1:13" ht="19.95" customHeight="1" x14ac:dyDescent="0.25">
      <c r="A625" s="41">
        <v>45413</v>
      </c>
      <c r="B625" s="47">
        <f>MONTH(Table13[[#This Row],[YearMonth]])</f>
        <v>5</v>
      </c>
      <c r="C625" s="9" t="s">
        <v>53</v>
      </c>
      <c r="D625" s="6" t="s">
        <v>330</v>
      </c>
      <c r="E625" s="6">
        <f>IF(Table13[[#This Row],[Quartile]]="TopQuartile", 1,
 IF(Table13[[#This Row],[Quartile]]="SecondQuartile", 2,
 IF(Table13[[#This Row],[Quartile]]="ThirdQuartile", 3,
 IF(Table13[[#This Row],[Quartile]]="FourthQuartile", 4, ""))))</f>
        <v>1</v>
      </c>
      <c r="F625" s="9" t="s">
        <v>390</v>
      </c>
      <c r="G625" s="9" t="str" cm="1">
        <f t="array" ref="G625">IFERROR(
  INDEX(Table13[Quartile],
    MATCH(1,
      (Table13[[#This Row],[OrgName]]=Table13[OrgName]) *
      (Table13[[#This Row],[Month Number]]-1=Table13[Month Number]),
    0)
  ),
"")</f>
        <v>TopQuartile</v>
      </c>
      <c r="H625" s="9">
        <f>IF(Table13[[#This Row],[Previous Quartile]]="TopQuartile", 1,
 IF(Table13[[#This Row],[Previous Quartile]]="SecondQuartile", 2,
 IF(Table13[[#This Row],[Previous Quartile]]="ThirdQuartile", 3,
 IF(Table13[[#This Row],[Previous Quartile]]="FourthQuartile", 4, ""))))</f>
        <v>1</v>
      </c>
      <c r="I625" s="9" t="str">
        <f>IF(Table13[[#This Row],[Previous Quartile Value]]="", "",
   IF(Table13[[#This Row],[Quartile Value]] &lt; Table13[[#This Row],[Previous Quartile Value]], "Improved",
   IF(Table13[[#This Row],[Quartile Value]] &gt; Table13[[#This Row],[Previous Quartile Value]], "Dropped", "Same")))</f>
        <v>Same</v>
      </c>
      <c r="J625" s="10" t="s">
        <v>22</v>
      </c>
      <c r="K625" s="7" t="str">
        <f>VLOOKUP(J625,Introduction!$B$6:$C$14,2)</f>
        <v>North West</v>
      </c>
      <c r="L625" s="11">
        <v>209</v>
      </c>
      <c r="M625" s="12" t="s">
        <v>388</v>
      </c>
    </row>
    <row r="626" spans="1:13" ht="19.95" customHeight="1" x14ac:dyDescent="0.25">
      <c r="A626" s="41">
        <v>45413</v>
      </c>
      <c r="B626" s="47">
        <f>MONTH(Table13[[#This Row],[YearMonth]])</f>
        <v>5</v>
      </c>
      <c r="C626" s="9" t="s">
        <v>43</v>
      </c>
      <c r="D626" s="6" t="s">
        <v>330</v>
      </c>
      <c r="E626" s="6">
        <f>IF(Table13[[#This Row],[Quartile]]="TopQuartile", 1,
 IF(Table13[[#This Row],[Quartile]]="SecondQuartile", 2,
 IF(Table13[[#This Row],[Quartile]]="ThirdQuartile", 3,
 IF(Table13[[#This Row],[Quartile]]="FourthQuartile", 4, ""))))</f>
        <v>1</v>
      </c>
      <c r="F626" s="9" t="s">
        <v>389</v>
      </c>
      <c r="G626" s="9" t="str" cm="1">
        <f t="array" ref="G626">IFERROR(
  INDEX(Table13[Quartile],
    MATCH(1,
      (Table13[[#This Row],[OrgName]]=Table13[OrgName]) *
      (Table13[[#This Row],[Month Number]]-1=Table13[Month Number]),
    0)
  ),
"")</f>
        <v>TopQuartile</v>
      </c>
      <c r="H626" s="9">
        <f>IF(Table13[[#This Row],[Previous Quartile]]="TopQuartile", 1,
 IF(Table13[[#This Row],[Previous Quartile]]="SecondQuartile", 2,
 IF(Table13[[#This Row],[Previous Quartile]]="ThirdQuartile", 3,
 IF(Table13[[#This Row],[Previous Quartile]]="FourthQuartile", 4, ""))))</f>
        <v>1</v>
      </c>
      <c r="I626" s="9" t="str">
        <f>IF(Table13[[#This Row],[Previous Quartile Value]]="", "",
   IF(Table13[[#This Row],[Quartile Value]] &lt; Table13[[#This Row],[Previous Quartile Value]], "Improved",
   IF(Table13[[#This Row],[Quartile Value]] &gt; Table13[[#This Row],[Previous Quartile Value]], "Dropped", "Same")))</f>
        <v>Same</v>
      </c>
      <c r="J626" s="10" t="s">
        <v>24</v>
      </c>
      <c r="K626" s="7" t="str">
        <f>VLOOKUP(J626,Introduction!$B$6:$C$14,2)</f>
        <v>North East and Yorkshire</v>
      </c>
      <c r="L626" s="11">
        <v>423</v>
      </c>
      <c r="M626" s="12" t="s">
        <v>388</v>
      </c>
    </row>
    <row r="627" spans="1:13" ht="19.95" customHeight="1" x14ac:dyDescent="0.25">
      <c r="A627" s="41">
        <v>45413</v>
      </c>
      <c r="B627" s="47">
        <f>MONTH(Table13[[#This Row],[YearMonth]])</f>
        <v>5</v>
      </c>
      <c r="C627" s="9" t="s">
        <v>68</v>
      </c>
      <c r="D627" s="6" t="s">
        <v>330</v>
      </c>
      <c r="E627" s="6">
        <f>IF(Table13[[#This Row],[Quartile]]="TopQuartile", 1,
 IF(Table13[[#This Row],[Quartile]]="SecondQuartile", 2,
 IF(Table13[[#This Row],[Quartile]]="ThirdQuartile", 3,
 IF(Table13[[#This Row],[Quartile]]="FourthQuartile", 4, ""))))</f>
        <v>1</v>
      </c>
      <c r="F627" s="9" t="s">
        <v>393</v>
      </c>
      <c r="G627" s="9" t="str" cm="1">
        <f t="array" ref="G627">IFERROR(
  INDEX(Table13[Quartile],
    MATCH(1,
      (Table13[[#This Row],[OrgName]]=Table13[OrgName]) *
      (Table13[[#This Row],[Month Number]]-1=Table13[Month Number]),
    0)
  ),
"")</f>
        <v>TopQuartile</v>
      </c>
      <c r="H627" s="9">
        <f>IF(Table13[[#This Row],[Previous Quartile]]="TopQuartile", 1,
 IF(Table13[[#This Row],[Previous Quartile]]="SecondQuartile", 2,
 IF(Table13[[#This Row],[Previous Quartile]]="ThirdQuartile", 3,
 IF(Table13[[#This Row],[Previous Quartile]]="FourthQuartile", 4, ""))))</f>
        <v>1</v>
      </c>
      <c r="I627" s="9" t="str">
        <f>IF(Table13[[#This Row],[Previous Quartile Value]]="", "",
   IF(Table13[[#This Row],[Quartile Value]] &lt; Table13[[#This Row],[Previous Quartile Value]], "Improved",
   IF(Table13[[#This Row],[Quartile Value]] &gt; Table13[[#This Row],[Previous Quartile Value]], "Dropped", "Same")))</f>
        <v>Same</v>
      </c>
      <c r="J627" s="10" t="s">
        <v>24</v>
      </c>
      <c r="K627" s="7" t="str">
        <f>VLOOKUP(J627,Introduction!$B$6:$C$14,2)</f>
        <v>North East and Yorkshire</v>
      </c>
      <c r="L627" s="11">
        <v>165</v>
      </c>
      <c r="M627" s="12" t="s">
        <v>388</v>
      </c>
    </row>
    <row r="628" spans="1:13" ht="19.95" customHeight="1" x14ac:dyDescent="0.25">
      <c r="A628" s="41">
        <v>45413</v>
      </c>
      <c r="B628" s="47">
        <f>MONTH(Table13[[#This Row],[YearMonth]])</f>
        <v>5</v>
      </c>
      <c r="C628" s="9" t="s">
        <v>60</v>
      </c>
      <c r="D628" s="6" t="s">
        <v>330</v>
      </c>
      <c r="E628" s="6">
        <f>IF(Table13[[#This Row],[Quartile]]="TopQuartile", 1,
 IF(Table13[[#This Row],[Quartile]]="SecondQuartile", 2,
 IF(Table13[[#This Row],[Quartile]]="ThirdQuartile", 3,
 IF(Table13[[#This Row],[Quartile]]="FourthQuartile", 4, ""))))</f>
        <v>1</v>
      </c>
      <c r="F628" s="9" t="s">
        <v>391</v>
      </c>
      <c r="G628" s="9" t="str" cm="1">
        <f t="array" ref="G628">IFERROR(
  INDEX(Table13[Quartile],
    MATCH(1,
      (Table13[[#This Row],[OrgName]]=Table13[OrgName]) *
      (Table13[[#This Row],[Month Number]]-1=Table13[Month Number]),
    0)
  ),
"")</f>
        <v>TopQuartile</v>
      </c>
      <c r="H628" s="9">
        <f>IF(Table13[[#This Row],[Previous Quartile]]="TopQuartile", 1,
 IF(Table13[[#This Row],[Previous Quartile]]="SecondQuartile", 2,
 IF(Table13[[#This Row],[Previous Quartile]]="ThirdQuartile", 3,
 IF(Table13[[#This Row],[Previous Quartile]]="FourthQuartile", 4, ""))))</f>
        <v>1</v>
      </c>
      <c r="I628" s="9" t="str">
        <f>IF(Table13[[#This Row],[Previous Quartile Value]]="", "",
   IF(Table13[[#This Row],[Quartile Value]] &lt; Table13[[#This Row],[Previous Quartile Value]], "Improved",
   IF(Table13[[#This Row],[Quartile Value]] &gt; Table13[[#This Row],[Previous Quartile Value]], "Dropped", "Same")))</f>
        <v>Same</v>
      </c>
      <c r="J628" s="10" t="s">
        <v>18</v>
      </c>
      <c r="K628" s="7" t="str">
        <f>VLOOKUP(J628,Introduction!$B$6:$C$14,2)</f>
        <v>Midlands</v>
      </c>
      <c r="L628" s="11">
        <v>166</v>
      </c>
      <c r="M628" s="12" t="s">
        <v>388</v>
      </c>
    </row>
    <row r="629" spans="1:13" ht="19.95" customHeight="1" x14ac:dyDescent="0.25">
      <c r="A629" s="41">
        <v>45413</v>
      </c>
      <c r="B629" s="47">
        <f>MONTH(Table13[[#This Row],[YearMonth]])</f>
        <v>5</v>
      </c>
      <c r="C629" s="9" t="s">
        <v>75</v>
      </c>
      <c r="D629" s="6" t="s">
        <v>330</v>
      </c>
      <c r="E629" s="6">
        <f>IF(Table13[[#This Row],[Quartile]]="TopQuartile", 1,
 IF(Table13[[#This Row],[Quartile]]="SecondQuartile", 2,
 IF(Table13[[#This Row],[Quartile]]="ThirdQuartile", 3,
 IF(Table13[[#This Row],[Quartile]]="FourthQuartile", 4, ""))))</f>
        <v>1</v>
      </c>
      <c r="F629" s="9" t="s">
        <v>394</v>
      </c>
      <c r="G629" s="9" t="str" cm="1">
        <f t="array" ref="G629">IFERROR(
  INDEX(Table13[Quartile],
    MATCH(1,
      (Table13[[#This Row],[OrgName]]=Table13[OrgName]) *
      (Table13[[#This Row],[Month Number]]-1=Table13[Month Number]),
    0)
  ),
"")</f>
        <v>TopQuartile</v>
      </c>
      <c r="H629" s="9">
        <f>IF(Table13[[#This Row],[Previous Quartile]]="TopQuartile", 1,
 IF(Table13[[#This Row],[Previous Quartile]]="SecondQuartile", 2,
 IF(Table13[[#This Row],[Previous Quartile]]="ThirdQuartile", 3,
 IF(Table13[[#This Row],[Previous Quartile]]="FourthQuartile", 4, ""))))</f>
        <v>1</v>
      </c>
      <c r="I629" s="9" t="str">
        <f>IF(Table13[[#This Row],[Previous Quartile Value]]="", "",
   IF(Table13[[#This Row],[Quartile Value]] &lt; Table13[[#This Row],[Previous Quartile Value]], "Improved",
   IF(Table13[[#This Row],[Quartile Value]] &gt; Table13[[#This Row],[Previous Quartile Value]], "Dropped", "Same")))</f>
        <v>Same</v>
      </c>
      <c r="J629" s="10" t="s">
        <v>16</v>
      </c>
      <c r="K629" s="7" t="str">
        <f>VLOOKUP(J629,Introduction!$B$6:$C$14,2)</f>
        <v>South East</v>
      </c>
      <c r="L629" s="11">
        <v>252</v>
      </c>
      <c r="M629" s="12" t="s">
        <v>388</v>
      </c>
    </row>
    <row r="630" spans="1:13" ht="19.95" customHeight="1" x14ac:dyDescent="0.25">
      <c r="A630" s="41">
        <v>45413</v>
      </c>
      <c r="B630" s="47">
        <f>MONTH(Table13[[#This Row],[YearMonth]])</f>
        <v>5</v>
      </c>
      <c r="C630" s="9" t="s">
        <v>61</v>
      </c>
      <c r="D630" s="6" t="s">
        <v>330</v>
      </c>
      <c r="E630" s="6">
        <f>IF(Table13[[#This Row],[Quartile]]="TopQuartile", 1,
 IF(Table13[[#This Row],[Quartile]]="SecondQuartile", 2,
 IF(Table13[[#This Row],[Quartile]]="ThirdQuartile", 3,
 IF(Table13[[#This Row],[Quartile]]="FourthQuartile", 4, ""))))</f>
        <v>1</v>
      </c>
      <c r="F630" s="9" t="s">
        <v>392</v>
      </c>
      <c r="G630" s="9" t="str" cm="1">
        <f t="array" ref="G630">IFERROR(
  INDEX(Table13[Quartile],
    MATCH(1,
      (Table13[[#This Row],[OrgName]]=Table13[OrgName]) *
      (Table13[[#This Row],[Month Number]]-1=Table13[Month Number]),
    0)
  ),
"")</f>
        <v>TopQuartile</v>
      </c>
      <c r="H630" s="9">
        <f>IF(Table13[[#This Row],[Previous Quartile]]="TopQuartile", 1,
 IF(Table13[[#This Row],[Previous Quartile]]="SecondQuartile", 2,
 IF(Table13[[#This Row],[Previous Quartile]]="ThirdQuartile", 3,
 IF(Table13[[#This Row],[Previous Quartile]]="FourthQuartile", 4, ""))))</f>
        <v>1</v>
      </c>
      <c r="I630" s="9" t="str">
        <f>IF(Table13[[#This Row],[Previous Quartile Value]]="", "",
   IF(Table13[[#This Row],[Quartile Value]] &lt; Table13[[#This Row],[Previous Quartile Value]], "Improved",
   IF(Table13[[#This Row],[Quartile Value]] &gt; Table13[[#This Row],[Previous Quartile Value]], "Dropped", "Same")))</f>
        <v>Same</v>
      </c>
      <c r="J630" s="10" t="s">
        <v>20</v>
      </c>
      <c r="K630" s="7" t="str">
        <f>VLOOKUP(J630,Introduction!$B$6:$C$14,2)</f>
        <v>East of England</v>
      </c>
      <c r="L630" s="11">
        <v>426</v>
      </c>
      <c r="M630" s="12" t="s">
        <v>388</v>
      </c>
    </row>
    <row r="631" spans="1:13" ht="19.95" customHeight="1" x14ac:dyDescent="0.25">
      <c r="A631" s="41">
        <v>45413</v>
      </c>
      <c r="B631" s="47">
        <f>MONTH(Table13[[#This Row],[YearMonth]])</f>
        <v>5</v>
      </c>
      <c r="C631" s="9" t="s">
        <v>135</v>
      </c>
      <c r="D631" s="6" t="s">
        <v>330</v>
      </c>
      <c r="E631" s="6">
        <f>IF(Table13[[#This Row],[Quartile]]="TopQuartile", 1,
 IF(Table13[[#This Row],[Quartile]]="SecondQuartile", 2,
 IF(Table13[[#This Row],[Quartile]]="ThirdQuartile", 3,
 IF(Table13[[#This Row],[Quartile]]="FourthQuartile", 4, ""))))</f>
        <v>1</v>
      </c>
      <c r="F631" s="9" t="s">
        <v>397</v>
      </c>
      <c r="G631" s="9" t="str" cm="1">
        <f t="array" ref="G631">IFERROR(
  INDEX(Table13[Quartile],
    MATCH(1,
      (Table13[[#This Row],[OrgName]]=Table13[OrgName]) *
      (Table13[[#This Row],[Month Number]]-1=Table13[Month Number]),
    0)
  ),
"")</f>
        <v>SecondQuartile</v>
      </c>
      <c r="H631" s="9">
        <f>IF(Table13[[#This Row],[Previous Quartile]]="TopQuartile", 1,
 IF(Table13[[#This Row],[Previous Quartile]]="SecondQuartile", 2,
 IF(Table13[[#This Row],[Previous Quartile]]="ThirdQuartile", 3,
 IF(Table13[[#This Row],[Previous Quartile]]="FourthQuartile", 4, ""))))</f>
        <v>2</v>
      </c>
      <c r="I631" s="9" t="str">
        <f>IF(Table13[[#This Row],[Previous Quartile Value]]="", "",
   IF(Table13[[#This Row],[Quartile Value]] &lt; Table13[[#This Row],[Previous Quartile Value]], "Improved",
   IF(Table13[[#This Row],[Quartile Value]] &gt; Table13[[#This Row],[Previous Quartile Value]], "Dropped", "Same")))</f>
        <v>Improved</v>
      </c>
      <c r="J631" s="10" t="s">
        <v>18</v>
      </c>
      <c r="K631" s="7" t="str">
        <f>VLOOKUP(J631,Introduction!$B$6:$C$14,2)</f>
        <v>Midlands</v>
      </c>
      <c r="L631" s="11">
        <v>264</v>
      </c>
      <c r="M631" s="12" t="s">
        <v>388</v>
      </c>
    </row>
    <row r="632" spans="1:13" ht="19.95" customHeight="1" x14ac:dyDescent="0.25">
      <c r="A632" s="41">
        <v>45413</v>
      </c>
      <c r="B632" s="47">
        <f>MONTH(Table13[[#This Row],[YearMonth]])</f>
        <v>5</v>
      </c>
      <c r="C632" s="9" t="s">
        <v>127</v>
      </c>
      <c r="D632" s="6" t="s">
        <v>338</v>
      </c>
      <c r="E632" s="6">
        <f>IF(Table13[[#This Row],[Quartile]]="TopQuartile", 1,
 IF(Table13[[#This Row],[Quartile]]="SecondQuartile", 2,
 IF(Table13[[#This Row],[Quartile]]="ThirdQuartile", 3,
 IF(Table13[[#This Row],[Quartile]]="FourthQuartile", 4, ""))))</f>
        <v>2</v>
      </c>
      <c r="F632" s="9" t="s">
        <v>396</v>
      </c>
      <c r="G632" s="9" t="str" cm="1">
        <f t="array" ref="G632">IFERROR(
  INDEX(Table13[Quartile],
    MATCH(1,
      (Table13[[#This Row],[OrgName]]=Table13[OrgName]) *
      (Table13[[#This Row],[Month Number]]-1=Table13[Month Number]),
    0)
  ),
"")</f>
        <v>TopQuartile</v>
      </c>
      <c r="H632" s="9">
        <f>IF(Table13[[#This Row],[Previous Quartile]]="TopQuartile", 1,
 IF(Table13[[#This Row],[Previous Quartile]]="SecondQuartile", 2,
 IF(Table13[[#This Row],[Previous Quartile]]="ThirdQuartile", 3,
 IF(Table13[[#This Row],[Previous Quartile]]="FourthQuartile", 4, ""))))</f>
        <v>1</v>
      </c>
      <c r="I632" s="9" t="str">
        <f>IF(Table13[[#This Row],[Previous Quartile Value]]="", "",
   IF(Table13[[#This Row],[Quartile Value]] &lt; Table13[[#This Row],[Previous Quartile Value]], "Improved",
   IF(Table13[[#This Row],[Quartile Value]] &gt; Table13[[#This Row],[Previous Quartile Value]], "Dropped", "Same")))</f>
        <v>Dropped</v>
      </c>
      <c r="J632" s="10" t="s">
        <v>22</v>
      </c>
      <c r="K632" s="7" t="str">
        <f>VLOOKUP(J632,Introduction!$B$6:$C$14,2)</f>
        <v>North West</v>
      </c>
      <c r="L632" s="11">
        <v>210</v>
      </c>
      <c r="M632" s="12" t="s">
        <v>388</v>
      </c>
    </row>
    <row r="633" spans="1:13" ht="19.95" customHeight="1" x14ac:dyDescent="0.25">
      <c r="A633" s="41">
        <v>45413</v>
      </c>
      <c r="B633" s="47">
        <f>MONTH(Table13[[#This Row],[YearMonth]])</f>
        <v>5</v>
      </c>
      <c r="C633" s="9" t="s">
        <v>122</v>
      </c>
      <c r="D633" s="6" t="s">
        <v>338</v>
      </c>
      <c r="E633" s="6">
        <f>IF(Table13[[#This Row],[Quartile]]="TopQuartile", 1,
 IF(Table13[[#This Row],[Quartile]]="SecondQuartile", 2,
 IF(Table13[[#This Row],[Quartile]]="ThirdQuartile", 3,
 IF(Table13[[#This Row],[Quartile]]="FourthQuartile", 4, ""))))</f>
        <v>2</v>
      </c>
      <c r="F633" s="9" t="s">
        <v>395</v>
      </c>
      <c r="G633" s="9" t="str" cm="1">
        <f t="array" ref="G633">IFERROR(
  INDEX(Table13[Quartile],
    MATCH(1,
      (Table13[[#This Row],[OrgName]]=Table13[OrgName]) *
      (Table13[[#This Row],[Month Number]]-1=Table13[Month Number]),
    0)
  ),
"")</f>
        <v>SecondQuartile</v>
      </c>
      <c r="H633" s="9">
        <f>IF(Table13[[#This Row],[Previous Quartile]]="TopQuartile", 1,
 IF(Table13[[#This Row],[Previous Quartile]]="SecondQuartile", 2,
 IF(Table13[[#This Row],[Previous Quartile]]="ThirdQuartile", 3,
 IF(Table13[[#This Row],[Previous Quartile]]="FourthQuartile", 4, ""))))</f>
        <v>2</v>
      </c>
      <c r="I633" s="9" t="str">
        <f>IF(Table13[[#This Row],[Previous Quartile Value]]="", "",
   IF(Table13[[#This Row],[Quartile Value]] &lt; Table13[[#This Row],[Previous Quartile Value]], "Improved",
   IF(Table13[[#This Row],[Quartile Value]] &gt; Table13[[#This Row],[Previous Quartile Value]], "Dropped", "Same")))</f>
        <v>Same</v>
      </c>
      <c r="J633" s="10" t="s">
        <v>24</v>
      </c>
      <c r="K633" s="7" t="str">
        <f>VLOOKUP(J633,Introduction!$B$6:$C$14,2)</f>
        <v>North East and Yorkshire</v>
      </c>
      <c r="L633" s="11">
        <v>421</v>
      </c>
      <c r="M633" s="12" t="s">
        <v>388</v>
      </c>
    </row>
    <row r="634" spans="1:13" ht="19.95" customHeight="1" x14ac:dyDescent="0.25">
      <c r="A634" s="41">
        <v>45413</v>
      </c>
      <c r="B634" s="47">
        <f>MONTH(Table13[[#This Row],[YearMonth]])</f>
        <v>5</v>
      </c>
      <c r="C634" s="9" t="s">
        <v>209</v>
      </c>
      <c r="D634" s="6" t="s">
        <v>341</v>
      </c>
      <c r="E634" s="6">
        <f>IF(Table13[[#This Row],[Quartile]]="TopQuartile", 1,
 IF(Table13[[#This Row],[Quartile]]="SecondQuartile", 2,
 IF(Table13[[#This Row],[Quartile]]="ThirdQuartile", 3,
 IF(Table13[[#This Row],[Quartile]]="FourthQuartile", 4, ""))))</f>
        <v>3</v>
      </c>
      <c r="F634" s="9" t="s">
        <v>398</v>
      </c>
      <c r="G634" s="9" t="str" cm="1">
        <f t="array" ref="G634">IFERROR(
  INDEX(Table13[Quartile],
    MATCH(1,
      (Table13[[#This Row],[OrgName]]=Table13[OrgName]) *
      (Table13[[#This Row],[Month Number]]-1=Table13[Month Number]),
    0)
  ),
"")</f>
        <v>ThirdQuartile</v>
      </c>
      <c r="H634" s="9">
        <f>IF(Table13[[#This Row],[Previous Quartile]]="TopQuartile", 1,
 IF(Table13[[#This Row],[Previous Quartile]]="SecondQuartile", 2,
 IF(Table13[[#This Row],[Previous Quartile]]="ThirdQuartile", 3,
 IF(Table13[[#This Row],[Previous Quartile]]="FourthQuartile", 4, ""))))</f>
        <v>3</v>
      </c>
      <c r="I634" s="9" t="str">
        <f>IF(Table13[[#This Row],[Previous Quartile Value]]="", "",
   IF(Table13[[#This Row],[Quartile Value]] &lt; Table13[[#This Row],[Previous Quartile Value]], "Improved",
   IF(Table13[[#This Row],[Quartile Value]] &gt; Table13[[#This Row],[Previous Quartile Value]], "Dropped", "Same")))</f>
        <v>Same</v>
      </c>
      <c r="J634" s="10" t="s">
        <v>22</v>
      </c>
      <c r="K634" s="7" t="str">
        <f>VLOOKUP(J634,Introduction!$B$6:$C$14,2)</f>
        <v>North West</v>
      </c>
      <c r="L634" s="11">
        <v>412</v>
      </c>
      <c r="M634" s="12" t="s">
        <v>388</v>
      </c>
    </row>
    <row r="635" spans="1:13" ht="19.95" customHeight="1" x14ac:dyDescent="0.25">
      <c r="A635" s="41">
        <v>45413</v>
      </c>
      <c r="B635" s="47">
        <f>MONTH(Table13[[#This Row],[YearMonth]])</f>
        <v>5</v>
      </c>
      <c r="C635" s="9" t="s">
        <v>217</v>
      </c>
      <c r="D635" s="6" t="s">
        <v>341</v>
      </c>
      <c r="E635" s="6">
        <f>IF(Table13[[#This Row],[Quartile]]="TopQuartile", 1,
 IF(Table13[[#This Row],[Quartile]]="SecondQuartile", 2,
 IF(Table13[[#This Row],[Quartile]]="ThirdQuartile", 3,
 IF(Table13[[#This Row],[Quartile]]="FourthQuartile", 4, ""))))</f>
        <v>3</v>
      </c>
      <c r="F635" s="9" t="s">
        <v>399</v>
      </c>
      <c r="G635" s="9" t="str" cm="1">
        <f t="array" ref="G635">IFERROR(
  INDEX(Table13[Quartile],
    MATCH(1,
      (Table13[[#This Row],[OrgName]]=Table13[OrgName]) *
      (Table13[[#This Row],[Month Number]]-1=Table13[Month Number]),
    0)
  ),
"")</f>
        <v>ThirdQuartile</v>
      </c>
      <c r="H635" s="9">
        <f>IF(Table13[[#This Row],[Previous Quartile]]="TopQuartile", 1,
 IF(Table13[[#This Row],[Previous Quartile]]="SecondQuartile", 2,
 IF(Table13[[#This Row],[Previous Quartile]]="ThirdQuartile", 3,
 IF(Table13[[#This Row],[Previous Quartile]]="FourthQuartile", 4, ""))))</f>
        <v>3</v>
      </c>
      <c r="I635" s="9" t="str">
        <f>IF(Table13[[#This Row],[Previous Quartile Value]]="", "",
   IF(Table13[[#This Row],[Quartile Value]] &lt; Table13[[#This Row],[Previous Quartile Value]], "Improved",
   IF(Table13[[#This Row],[Quartile Value]] &gt; Table13[[#This Row],[Previous Quartile Value]], "Dropped", "Same")))</f>
        <v>Same</v>
      </c>
      <c r="J635" s="10" t="s">
        <v>14</v>
      </c>
      <c r="K635" s="7" t="str">
        <f>VLOOKUP(J635,Introduction!$B$6:$C$14,2)</f>
        <v>South West</v>
      </c>
      <c r="L635" s="11">
        <v>269</v>
      </c>
      <c r="M635" s="12" t="s">
        <v>388</v>
      </c>
    </row>
    <row r="636" spans="1:13" ht="19.95" customHeight="1" x14ac:dyDescent="0.25">
      <c r="A636" s="41">
        <v>45413</v>
      </c>
      <c r="B636" s="47">
        <f>MONTH(Table13[[#This Row],[YearMonth]])</f>
        <v>5</v>
      </c>
      <c r="C636" s="9" t="s">
        <v>232</v>
      </c>
      <c r="D636" s="6" t="s">
        <v>350</v>
      </c>
      <c r="E636" s="6">
        <f>IF(Table13[[#This Row],[Quartile]]="TopQuartile", 1,
 IF(Table13[[#This Row],[Quartile]]="SecondQuartile", 2,
 IF(Table13[[#This Row],[Quartile]]="ThirdQuartile", 3,
 IF(Table13[[#This Row],[Quartile]]="FourthQuartile", 4, ""))))</f>
        <v>4</v>
      </c>
      <c r="F636" s="9" t="s">
        <v>402</v>
      </c>
      <c r="G636" s="9" t="str" cm="1">
        <f t="array" ref="G636">IFERROR(
  INDEX(Table13[Quartile],
    MATCH(1,
      (Table13[[#This Row],[OrgName]]=Table13[OrgName]) *
      (Table13[[#This Row],[Month Number]]-1=Table13[Month Number]),
    0)
  ),
"")</f>
        <v>ThirdQuartile</v>
      </c>
      <c r="H636" s="9">
        <f>IF(Table13[[#This Row],[Previous Quartile]]="TopQuartile", 1,
 IF(Table13[[#This Row],[Previous Quartile]]="SecondQuartile", 2,
 IF(Table13[[#This Row],[Previous Quartile]]="ThirdQuartile", 3,
 IF(Table13[[#This Row],[Previous Quartile]]="FourthQuartile", 4, ""))))</f>
        <v>3</v>
      </c>
      <c r="I636" s="9" t="str">
        <f>IF(Table13[[#This Row],[Previous Quartile Value]]="", "",
   IF(Table13[[#This Row],[Quartile Value]] &lt; Table13[[#This Row],[Previous Quartile Value]], "Improved",
   IF(Table13[[#This Row],[Quartile Value]] &gt; Table13[[#This Row],[Previous Quartile Value]], "Dropped", "Same")))</f>
        <v>Dropped</v>
      </c>
      <c r="J636" s="10" t="s">
        <v>12</v>
      </c>
      <c r="K636" s="7" t="str">
        <f>VLOOKUP(J636,Introduction!$B$6:$C$14,2)</f>
        <v>London</v>
      </c>
      <c r="L636" s="11">
        <v>394</v>
      </c>
      <c r="M636" s="12" t="s">
        <v>388</v>
      </c>
    </row>
    <row r="637" spans="1:13" ht="19.95" customHeight="1" x14ac:dyDescent="0.25">
      <c r="A637" s="41">
        <v>45413</v>
      </c>
      <c r="B637" s="47">
        <f>MONTH(Table13[[#This Row],[YearMonth]])</f>
        <v>5</v>
      </c>
      <c r="C637" s="9" t="s">
        <v>224</v>
      </c>
      <c r="D637" s="6" t="s">
        <v>350</v>
      </c>
      <c r="E637" s="6">
        <f>IF(Table13[[#This Row],[Quartile]]="TopQuartile", 1,
 IF(Table13[[#This Row],[Quartile]]="SecondQuartile", 2,
 IF(Table13[[#This Row],[Quartile]]="ThirdQuartile", 3,
 IF(Table13[[#This Row],[Quartile]]="FourthQuartile", 4, ""))))</f>
        <v>4</v>
      </c>
      <c r="F637" s="9" t="s">
        <v>400</v>
      </c>
      <c r="G637" s="9" t="str" cm="1">
        <f t="array" ref="G637">IFERROR(
  INDEX(Table13[Quartile],
    MATCH(1,
      (Table13[[#This Row],[OrgName]]=Table13[OrgName]) *
      (Table13[[#This Row],[Month Number]]-1=Table13[Month Number]),
    0)
  ),
"")</f>
        <v>ThirdQuartile</v>
      </c>
      <c r="H637" s="9">
        <f>IF(Table13[[#This Row],[Previous Quartile]]="TopQuartile", 1,
 IF(Table13[[#This Row],[Previous Quartile]]="SecondQuartile", 2,
 IF(Table13[[#This Row],[Previous Quartile]]="ThirdQuartile", 3,
 IF(Table13[[#This Row],[Previous Quartile]]="FourthQuartile", 4, ""))))</f>
        <v>3</v>
      </c>
      <c r="I637" s="9" t="str">
        <f>IF(Table13[[#This Row],[Previous Quartile Value]]="", "",
   IF(Table13[[#This Row],[Quartile Value]] &lt; Table13[[#This Row],[Previous Quartile Value]], "Improved",
   IF(Table13[[#This Row],[Quartile Value]] &gt; Table13[[#This Row],[Previous Quartile Value]], "Dropped", "Same")))</f>
        <v>Dropped</v>
      </c>
      <c r="J637" s="10" t="s">
        <v>18</v>
      </c>
      <c r="K637" s="7" t="str">
        <f>VLOOKUP(J637,Introduction!$B$6:$C$14,2)</f>
        <v>Midlands</v>
      </c>
      <c r="L637" s="11">
        <v>407</v>
      </c>
      <c r="M637" s="12" t="s">
        <v>388</v>
      </c>
    </row>
    <row r="638" spans="1:13" ht="19.95" customHeight="1" x14ac:dyDescent="0.25">
      <c r="A638" s="41">
        <v>45413</v>
      </c>
      <c r="B638" s="47">
        <f>MONTH(Table13[[#This Row],[YearMonth]])</f>
        <v>5</v>
      </c>
      <c r="C638" s="9" t="s">
        <v>226</v>
      </c>
      <c r="D638" s="6" t="s">
        <v>350</v>
      </c>
      <c r="E638" s="6">
        <f>IF(Table13[[#This Row],[Quartile]]="TopQuartile", 1,
 IF(Table13[[#This Row],[Quartile]]="SecondQuartile", 2,
 IF(Table13[[#This Row],[Quartile]]="ThirdQuartile", 3,
 IF(Table13[[#This Row],[Quartile]]="FourthQuartile", 4, ""))))</f>
        <v>4</v>
      </c>
      <c r="F638" s="9" t="s">
        <v>401</v>
      </c>
      <c r="G638" s="9" t="str" cm="1">
        <f t="array" ref="G638">IFERROR(
  INDEX(Table13[Quartile],
    MATCH(1,
      (Table13[[#This Row],[OrgName]]=Table13[OrgName]) *
      (Table13[[#This Row],[Month Number]]-1=Table13[Month Number]),
    0)
  ),
"")</f>
        <v>ThirdQuartile</v>
      </c>
      <c r="H638" s="9">
        <f>IF(Table13[[#This Row],[Previous Quartile]]="TopQuartile", 1,
 IF(Table13[[#This Row],[Previous Quartile]]="SecondQuartile", 2,
 IF(Table13[[#This Row],[Previous Quartile]]="ThirdQuartile", 3,
 IF(Table13[[#This Row],[Previous Quartile]]="FourthQuartile", 4, ""))))</f>
        <v>3</v>
      </c>
      <c r="I638" s="9" t="str">
        <f>IF(Table13[[#This Row],[Previous Quartile Value]]="", "",
   IF(Table13[[#This Row],[Quartile Value]] &lt; Table13[[#This Row],[Previous Quartile Value]], "Improved",
   IF(Table13[[#This Row],[Quartile Value]] &gt; Table13[[#This Row],[Previous Quartile Value]], "Dropped", "Same")))</f>
        <v>Dropped</v>
      </c>
      <c r="J638" s="10" t="s">
        <v>22</v>
      </c>
      <c r="K638" s="7" t="str">
        <f>VLOOKUP(J638,Introduction!$B$6:$C$14,2)</f>
        <v>North West</v>
      </c>
      <c r="L638" s="11">
        <v>245</v>
      </c>
      <c r="M638" s="12" t="s">
        <v>388</v>
      </c>
    </row>
    <row r="639" spans="1:13" ht="19.95" customHeight="1" x14ac:dyDescent="0.25">
      <c r="A639" s="41">
        <v>45413</v>
      </c>
      <c r="B639" s="47">
        <f>MONTH(Table13[[#This Row],[YearMonth]])</f>
        <v>5</v>
      </c>
      <c r="C639" s="9" t="s">
        <v>245</v>
      </c>
      <c r="D639" s="6" t="s">
        <v>350</v>
      </c>
      <c r="E639" s="6">
        <f>IF(Table13[[#This Row],[Quartile]]="TopQuartile", 1,
 IF(Table13[[#This Row],[Quartile]]="SecondQuartile", 2,
 IF(Table13[[#This Row],[Quartile]]="ThirdQuartile", 3,
 IF(Table13[[#This Row],[Quartile]]="FourthQuartile", 4, ""))))</f>
        <v>4</v>
      </c>
      <c r="F639" s="9" t="s">
        <v>403</v>
      </c>
      <c r="G639" s="9" t="str" cm="1">
        <f t="array" ref="G639">IFERROR(
  INDEX(Table13[Quartile],
    MATCH(1,
      (Table13[[#This Row],[OrgName]]=Table13[OrgName]) *
      (Table13[[#This Row],[Month Number]]-1=Table13[Month Number]),
    0)
  ),
"")</f>
        <v>ThirdQuartile</v>
      </c>
      <c r="H639" s="9">
        <f>IF(Table13[[#This Row],[Previous Quartile]]="TopQuartile", 1,
 IF(Table13[[#This Row],[Previous Quartile]]="SecondQuartile", 2,
 IF(Table13[[#This Row],[Previous Quartile]]="ThirdQuartile", 3,
 IF(Table13[[#This Row],[Previous Quartile]]="FourthQuartile", 4, ""))))</f>
        <v>3</v>
      </c>
      <c r="I639" s="9" t="str">
        <f>IF(Table13[[#This Row],[Previous Quartile Value]]="", "",
   IF(Table13[[#This Row],[Quartile Value]] &lt; Table13[[#This Row],[Previous Quartile Value]], "Improved",
   IF(Table13[[#This Row],[Quartile Value]] &gt; Table13[[#This Row],[Previous Quartile Value]], "Dropped", "Same")))</f>
        <v>Dropped</v>
      </c>
      <c r="J639" s="10" t="s">
        <v>18</v>
      </c>
      <c r="K639" s="7" t="str">
        <f>VLOOKUP(J639,Introduction!$B$6:$C$14,2)</f>
        <v>Midlands</v>
      </c>
      <c r="L639" s="11">
        <v>230</v>
      </c>
      <c r="M639" s="12" t="s">
        <v>388</v>
      </c>
    </row>
    <row r="640" spans="1:13" ht="19.95" customHeight="1" x14ac:dyDescent="0.25">
      <c r="A640" s="41">
        <v>45413</v>
      </c>
      <c r="B640" s="47">
        <f>MONTH(Table13[[#This Row],[YearMonth]])</f>
        <v>5</v>
      </c>
      <c r="C640" s="9" t="s">
        <v>249</v>
      </c>
      <c r="D640" s="6" t="s">
        <v>350</v>
      </c>
      <c r="E640" s="6">
        <f>IF(Table13[[#This Row],[Quartile]]="TopQuartile", 1,
 IF(Table13[[#This Row],[Quartile]]="SecondQuartile", 2,
 IF(Table13[[#This Row],[Quartile]]="ThirdQuartile", 3,
 IF(Table13[[#This Row],[Quartile]]="FourthQuartile", 4, ""))))</f>
        <v>4</v>
      </c>
      <c r="F640" s="9" t="s">
        <v>404</v>
      </c>
      <c r="G640" s="9" t="str" cm="1">
        <f t="array" ref="G640">IFERROR(
  INDEX(Table13[Quartile],
    MATCH(1,
      (Table13[[#This Row],[OrgName]]=Table13[OrgName]) *
      (Table13[[#This Row],[Month Number]]-1=Table13[Month Number]),
    0)
  ),
"")</f>
        <v>ThirdQuartile</v>
      </c>
      <c r="H640" s="9">
        <f>IF(Table13[[#This Row],[Previous Quartile]]="TopQuartile", 1,
 IF(Table13[[#This Row],[Previous Quartile]]="SecondQuartile", 2,
 IF(Table13[[#This Row],[Previous Quartile]]="ThirdQuartile", 3,
 IF(Table13[[#This Row],[Previous Quartile]]="FourthQuartile", 4, ""))))</f>
        <v>3</v>
      </c>
      <c r="I640" s="9" t="str">
        <f>IF(Table13[[#This Row],[Previous Quartile Value]]="", "",
   IF(Table13[[#This Row],[Quartile Value]] &lt; Table13[[#This Row],[Previous Quartile Value]], "Improved",
   IF(Table13[[#This Row],[Quartile Value]] &gt; Table13[[#This Row],[Previous Quartile Value]], "Dropped", "Same")))</f>
        <v>Dropped</v>
      </c>
      <c r="J640" s="10" t="s">
        <v>20</v>
      </c>
      <c r="K640" s="7" t="str">
        <f>VLOOKUP(J640,Introduction!$B$6:$C$14,2)</f>
        <v>East of England</v>
      </c>
      <c r="L640" s="11">
        <v>292</v>
      </c>
      <c r="M640" s="12" t="s">
        <v>388</v>
      </c>
    </row>
    <row r="641" spans="1:13" ht="19.95" customHeight="1" x14ac:dyDescent="0.25">
      <c r="A641" s="41">
        <v>45413</v>
      </c>
      <c r="B641" s="47">
        <f>MONTH(Table13[[#This Row],[YearMonth]])</f>
        <v>5</v>
      </c>
      <c r="C641" s="9" t="s">
        <v>256</v>
      </c>
      <c r="D641" s="6" t="s">
        <v>350</v>
      </c>
      <c r="E641" s="6">
        <f>IF(Table13[[#This Row],[Quartile]]="TopQuartile", 1,
 IF(Table13[[#This Row],[Quartile]]="SecondQuartile", 2,
 IF(Table13[[#This Row],[Quartile]]="ThirdQuartile", 3,
 IF(Table13[[#This Row],[Quartile]]="FourthQuartile", 4, ""))))</f>
        <v>4</v>
      </c>
      <c r="F641" s="9" t="s">
        <v>405</v>
      </c>
      <c r="G641" s="9" t="str" cm="1">
        <f t="array" ref="G641">IFERROR(
  INDEX(Table13[Quartile],
    MATCH(1,
      (Table13[[#This Row],[OrgName]]=Table13[OrgName]) *
      (Table13[[#This Row],[Month Number]]-1=Table13[Month Number]),
    0)
  ),
"")</f>
        <v>FourthQuartile</v>
      </c>
      <c r="H641" s="9">
        <f>IF(Table13[[#This Row],[Previous Quartile]]="TopQuartile", 1,
 IF(Table13[[#This Row],[Previous Quartile]]="SecondQuartile", 2,
 IF(Table13[[#This Row],[Previous Quartile]]="ThirdQuartile", 3,
 IF(Table13[[#This Row],[Previous Quartile]]="FourthQuartile", 4, ""))))</f>
        <v>4</v>
      </c>
      <c r="I641" s="9" t="str">
        <f>IF(Table13[[#This Row],[Previous Quartile Value]]="", "",
   IF(Table13[[#This Row],[Quartile Value]] &lt; Table13[[#This Row],[Previous Quartile Value]], "Improved",
   IF(Table13[[#This Row],[Quartile Value]] &gt; Table13[[#This Row],[Previous Quartile Value]], "Dropped", "Same")))</f>
        <v>Same</v>
      </c>
      <c r="J641" s="10" t="s">
        <v>14</v>
      </c>
      <c r="K641" s="7" t="str">
        <f>VLOOKUP(J641,Introduction!$B$6:$C$14,2)</f>
        <v>South West</v>
      </c>
      <c r="L641" s="11">
        <v>405</v>
      </c>
      <c r="M641" s="12" t="s">
        <v>388</v>
      </c>
    </row>
    <row r="642" spans="1:13" ht="19.95" customHeight="1" x14ac:dyDescent="0.25">
      <c r="A642" s="41">
        <v>45413</v>
      </c>
      <c r="B642" s="47">
        <f>MONTH(Table13[[#This Row],[YearMonth]])</f>
        <v>5</v>
      </c>
      <c r="C642" s="9" t="s">
        <v>305</v>
      </c>
      <c r="D642" s="6" t="s">
        <v>350</v>
      </c>
      <c r="E642" s="6">
        <f>IF(Table13[[#This Row],[Quartile]]="TopQuartile", 1,
 IF(Table13[[#This Row],[Quartile]]="SecondQuartile", 2,
 IF(Table13[[#This Row],[Quartile]]="ThirdQuartile", 3,
 IF(Table13[[#This Row],[Quartile]]="FourthQuartile", 4, ""))))</f>
        <v>4</v>
      </c>
      <c r="F642" s="9" t="s">
        <v>406</v>
      </c>
      <c r="G642" s="9" t="str" cm="1">
        <f t="array" ref="G642">IFERROR(
  INDEX(Table13[Quartile],
    MATCH(1,
      (Table13[[#This Row],[OrgName]]=Table13[OrgName]) *
      (Table13[[#This Row],[Month Number]]-1=Table13[Month Number]),
    0)
  ),
"")</f>
        <v>FourthQuartile</v>
      </c>
      <c r="H642" s="9">
        <f>IF(Table13[[#This Row],[Previous Quartile]]="TopQuartile", 1,
 IF(Table13[[#This Row],[Previous Quartile]]="SecondQuartile", 2,
 IF(Table13[[#This Row],[Previous Quartile]]="ThirdQuartile", 3,
 IF(Table13[[#This Row],[Previous Quartile]]="FourthQuartile", 4, ""))))</f>
        <v>4</v>
      </c>
      <c r="I642" s="9" t="str">
        <f>IF(Table13[[#This Row],[Previous Quartile Value]]="", "",
   IF(Table13[[#This Row],[Quartile Value]] &lt; Table13[[#This Row],[Previous Quartile Value]], "Improved",
   IF(Table13[[#This Row],[Quartile Value]] &gt; Table13[[#This Row],[Previous Quartile Value]], "Dropped", "Same")))</f>
        <v>Same</v>
      </c>
      <c r="J642" s="10" t="s">
        <v>20</v>
      </c>
      <c r="K642" s="7" t="str">
        <f>VLOOKUP(J642,Introduction!$B$6:$C$14,2)</f>
        <v>East of England</v>
      </c>
      <c r="L642" s="11">
        <v>179</v>
      </c>
      <c r="M642" s="12" t="s">
        <v>388</v>
      </c>
    </row>
    <row r="643" spans="1:13" ht="19.95" customHeight="1" x14ac:dyDescent="0.25">
      <c r="A643" s="41">
        <v>45413</v>
      </c>
      <c r="B643" s="47">
        <f>MONTH(Table13[[#This Row],[YearMonth]])</f>
        <v>5</v>
      </c>
      <c r="C643" s="9" t="s">
        <v>56</v>
      </c>
      <c r="D643" s="6" t="s">
        <v>330</v>
      </c>
      <c r="E643" s="6">
        <f>IF(Table13[[#This Row],[Quartile]]="TopQuartile", 1,
 IF(Table13[[#This Row],[Quartile]]="SecondQuartile", 2,
 IF(Table13[[#This Row],[Quartile]]="ThirdQuartile", 3,
 IF(Table13[[#This Row],[Quartile]]="FourthQuartile", 4, ""))))</f>
        <v>1</v>
      </c>
      <c r="F643" s="9" t="s">
        <v>407</v>
      </c>
      <c r="G643" s="9" t="str" cm="1">
        <f t="array" ref="G643">IFERROR(
  INDEX(Table13[Quartile],
    MATCH(1,
      (Table13[[#This Row],[OrgName]]=Table13[OrgName]) *
      (Table13[[#This Row],[Month Number]]-1=Table13[Month Number]),
    0)
  ),
"")</f>
        <v>TopQuartile</v>
      </c>
      <c r="H643" s="9">
        <f>IF(Table13[[#This Row],[Previous Quartile]]="TopQuartile", 1,
 IF(Table13[[#This Row],[Previous Quartile]]="SecondQuartile", 2,
 IF(Table13[[#This Row],[Previous Quartile]]="ThirdQuartile", 3,
 IF(Table13[[#This Row],[Previous Quartile]]="FourthQuartile", 4, ""))))</f>
        <v>1</v>
      </c>
      <c r="I643" s="9" t="str">
        <f>IF(Table13[[#This Row],[Previous Quartile Value]]="", "",
   IF(Table13[[#This Row],[Quartile Value]] &lt; Table13[[#This Row],[Previous Quartile Value]], "Improved",
   IF(Table13[[#This Row],[Quartile Value]] &gt; Table13[[#This Row],[Previous Quartile Value]], "Dropped", "Same")))</f>
        <v>Same</v>
      </c>
      <c r="J643" s="10" t="s">
        <v>20</v>
      </c>
      <c r="K643" s="7" t="str">
        <f>VLOOKUP(J643,Introduction!$B$6:$C$14,2)</f>
        <v>East of England</v>
      </c>
      <c r="L643" s="11">
        <v>175</v>
      </c>
      <c r="M643" s="12" t="s">
        <v>408</v>
      </c>
    </row>
    <row r="644" spans="1:13" ht="19.95" customHeight="1" x14ac:dyDescent="0.25">
      <c r="A644" s="41">
        <v>45413</v>
      </c>
      <c r="B644" s="47">
        <f>MONTH(Table13[[#This Row],[YearMonth]])</f>
        <v>5</v>
      </c>
      <c r="C644" s="9" t="s">
        <v>125</v>
      </c>
      <c r="D644" s="6" t="s">
        <v>330</v>
      </c>
      <c r="E644" s="6">
        <f>IF(Table13[[#This Row],[Quartile]]="TopQuartile", 1,
 IF(Table13[[#This Row],[Quartile]]="SecondQuartile", 2,
 IF(Table13[[#This Row],[Quartile]]="ThirdQuartile", 3,
 IF(Table13[[#This Row],[Quartile]]="FourthQuartile", 4, ""))))</f>
        <v>1</v>
      </c>
      <c r="F644" s="9" t="s">
        <v>414</v>
      </c>
      <c r="G644" s="9" t="str" cm="1">
        <f t="array" ref="G644">IFERROR(
  INDEX(Table13[Quartile],
    MATCH(1,
      (Table13[[#This Row],[OrgName]]=Table13[OrgName]) *
      (Table13[[#This Row],[Month Number]]-1=Table13[Month Number]),
    0)
  ),
"")</f>
        <v>TopQuartile</v>
      </c>
      <c r="H644" s="9">
        <f>IF(Table13[[#This Row],[Previous Quartile]]="TopQuartile", 1,
 IF(Table13[[#This Row],[Previous Quartile]]="SecondQuartile", 2,
 IF(Table13[[#This Row],[Previous Quartile]]="ThirdQuartile", 3,
 IF(Table13[[#This Row],[Previous Quartile]]="FourthQuartile", 4, ""))))</f>
        <v>1</v>
      </c>
      <c r="I644" s="9" t="str">
        <f>IF(Table13[[#This Row],[Previous Quartile Value]]="", "",
   IF(Table13[[#This Row],[Quartile Value]] &lt; Table13[[#This Row],[Previous Quartile Value]], "Improved",
   IF(Table13[[#This Row],[Quartile Value]] &gt; Table13[[#This Row],[Previous Quartile Value]], "Dropped", "Same")))</f>
        <v>Same</v>
      </c>
      <c r="J644" s="10" t="s">
        <v>22</v>
      </c>
      <c r="K644" s="7" t="str">
        <f>VLOOKUP(J644,Introduction!$B$6:$C$14,2)</f>
        <v>North West</v>
      </c>
      <c r="L644" s="11">
        <v>160</v>
      </c>
      <c r="M644" s="12" t="s">
        <v>408</v>
      </c>
    </row>
    <row r="645" spans="1:13" ht="19.95" customHeight="1" x14ac:dyDescent="0.25">
      <c r="A645" s="41">
        <v>45413</v>
      </c>
      <c r="B645" s="47">
        <f>MONTH(Table13[[#This Row],[YearMonth]])</f>
        <v>5</v>
      </c>
      <c r="C645" s="9" t="s">
        <v>99</v>
      </c>
      <c r="D645" s="6" t="s">
        <v>330</v>
      </c>
      <c r="E645" s="6">
        <f>IF(Table13[[#This Row],[Quartile]]="TopQuartile", 1,
 IF(Table13[[#This Row],[Quartile]]="SecondQuartile", 2,
 IF(Table13[[#This Row],[Quartile]]="ThirdQuartile", 3,
 IF(Table13[[#This Row],[Quartile]]="FourthQuartile", 4, ""))))</f>
        <v>1</v>
      </c>
      <c r="F645" s="9" t="s">
        <v>411</v>
      </c>
      <c r="G645" s="9" t="str" cm="1">
        <f t="array" ref="G645">IFERROR(
  INDEX(Table13[Quartile],
    MATCH(1,
      (Table13[[#This Row],[OrgName]]=Table13[OrgName]) *
      (Table13[[#This Row],[Month Number]]-1=Table13[Month Number]),
    0)
  ),
"")</f>
        <v>TopQuartile</v>
      </c>
      <c r="H645" s="9">
        <f>IF(Table13[[#This Row],[Previous Quartile]]="TopQuartile", 1,
 IF(Table13[[#This Row],[Previous Quartile]]="SecondQuartile", 2,
 IF(Table13[[#This Row],[Previous Quartile]]="ThirdQuartile", 3,
 IF(Table13[[#This Row],[Previous Quartile]]="FourthQuartile", 4, ""))))</f>
        <v>1</v>
      </c>
      <c r="I645" s="9" t="str">
        <f>IF(Table13[[#This Row],[Previous Quartile Value]]="", "",
   IF(Table13[[#This Row],[Quartile Value]] &lt; Table13[[#This Row],[Previous Quartile Value]], "Improved",
   IF(Table13[[#This Row],[Quartile Value]] &gt; Table13[[#This Row],[Previous Quartile Value]], "Dropped", "Same")))</f>
        <v>Same</v>
      </c>
      <c r="J645" s="10" t="s">
        <v>12</v>
      </c>
      <c r="K645" s="7" t="str">
        <f>VLOOKUP(J645,Introduction!$B$6:$C$14,2)</f>
        <v>London</v>
      </c>
      <c r="L645" s="11">
        <v>271</v>
      </c>
      <c r="M645" s="12" t="s">
        <v>408</v>
      </c>
    </row>
    <row r="646" spans="1:13" ht="19.95" customHeight="1" x14ac:dyDescent="0.25">
      <c r="A646" s="41">
        <v>45413</v>
      </c>
      <c r="B646" s="47">
        <f>MONTH(Table13[[#This Row],[YearMonth]])</f>
        <v>5</v>
      </c>
      <c r="C646" s="9" t="s">
        <v>84</v>
      </c>
      <c r="D646" s="6" t="s">
        <v>330</v>
      </c>
      <c r="E646" s="6">
        <f>IF(Table13[[#This Row],[Quartile]]="TopQuartile", 1,
 IF(Table13[[#This Row],[Quartile]]="SecondQuartile", 2,
 IF(Table13[[#This Row],[Quartile]]="ThirdQuartile", 3,
 IF(Table13[[#This Row],[Quartile]]="FourthQuartile", 4, ""))))</f>
        <v>1</v>
      </c>
      <c r="F646" s="9" t="s">
        <v>409</v>
      </c>
      <c r="G646" s="9" t="str" cm="1">
        <f t="array" ref="G646">IFERROR(
  INDEX(Table13[Quartile],
    MATCH(1,
      (Table13[[#This Row],[OrgName]]=Table13[OrgName]) *
      (Table13[[#This Row],[Month Number]]-1=Table13[Month Number]),
    0)
  ),
"")</f>
        <v>TopQuartile</v>
      </c>
      <c r="H646" s="9">
        <f>IF(Table13[[#This Row],[Previous Quartile]]="TopQuartile", 1,
 IF(Table13[[#This Row],[Previous Quartile]]="SecondQuartile", 2,
 IF(Table13[[#This Row],[Previous Quartile]]="ThirdQuartile", 3,
 IF(Table13[[#This Row],[Previous Quartile]]="FourthQuartile", 4, ""))))</f>
        <v>1</v>
      </c>
      <c r="I646" s="9" t="str">
        <f>IF(Table13[[#This Row],[Previous Quartile Value]]="", "",
   IF(Table13[[#This Row],[Quartile Value]] &lt; Table13[[#This Row],[Previous Quartile Value]], "Improved",
   IF(Table13[[#This Row],[Quartile Value]] &gt; Table13[[#This Row],[Previous Quartile Value]], "Dropped", "Same")))</f>
        <v>Same</v>
      </c>
      <c r="J646" s="10" t="s">
        <v>16</v>
      </c>
      <c r="K646" s="7" t="str">
        <f>VLOOKUP(J646,Introduction!$B$6:$C$14,2)</f>
        <v>South East</v>
      </c>
      <c r="L646" s="11">
        <v>276</v>
      </c>
      <c r="M646" s="12" t="s">
        <v>408</v>
      </c>
    </row>
    <row r="647" spans="1:13" ht="19.95" customHeight="1" x14ac:dyDescent="0.25">
      <c r="A647" s="41">
        <v>45413</v>
      </c>
      <c r="B647" s="47">
        <f>MONTH(Table13[[#This Row],[YearMonth]])</f>
        <v>5</v>
      </c>
      <c r="C647" s="9" t="s">
        <v>102</v>
      </c>
      <c r="D647" s="6" t="s">
        <v>330</v>
      </c>
      <c r="E647" s="6">
        <f>IF(Table13[[#This Row],[Quartile]]="TopQuartile", 1,
 IF(Table13[[#This Row],[Quartile]]="SecondQuartile", 2,
 IF(Table13[[#This Row],[Quartile]]="ThirdQuartile", 3,
 IF(Table13[[#This Row],[Quartile]]="FourthQuartile", 4, ""))))</f>
        <v>1</v>
      </c>
      <c r="F647" s="9" t="s">
        <v>412</v>
      </c>
      <c r="G647" s="9" t="str" cm="1">
        <f t="array" ref="G647">IFERROR(
  INDEX(Table13[Quartile],
    MATCH(1,
      (Table13[[#This Row],[OrgName]]=Table13[OrgName]) *
      (Table13[[#This Row],[Month Number]]-1=Table13[Month Number]),
    0)
  ),
"")</f>
        <v>TopQuartile</v>
      </c>
      <c r="H647" s="9">
        <f>IF(Table13[[#This Row],[Previous Quartile]]="TopQuartile", 1,
 IF(Table13[[#This Row],[Previous Quartile]]="SecondQuartile", 2,
 IF(Table13[[#This Row],[Previous Quartile]]="ThirdQuartile", 3,
 IF(Table13[[#This Row],[Previous Quartile]]="FourthQuartile", 4, ""))))</f>
        <v>1</v>
      </c>
      <c r="I647" s="9" t="str">
        <f>IF(Table13[[#This Row],[Previous Quartile Value]]="", "",
   IF(Table13[[#This Row],[Quartile Value]] &lt; Table13[[#This Row],[Previous Quartile Value]], "Improved",
   IF(Table13[[#This Row],[Quartile Value]] &gt; Table13[[#This Row],[Previous Quartile Value]], "Dropped", "Same")))</f>
        <v>Same</v>
      </c>
      <c r="J647" s="10" t="s">
        <v>22</v>
      </c>
      <c r="K647" s="7" t="str">
        <f>VLOOKUP(J647,Introduction!$B$6:$C$14,2)</f>
        <v>North West</v>
      </c>
      <c r="L647" s="11">
        <v>411</v>
      </c>
      <c r="M647" s="12" t="s">
        <v>408</v>
      </c>
    </row>
    <row r="648" spans="1:13" ht="19.95" customHeight="1" x14ac:dyDescent="0.25">
      <c r="A648" s="41">
        <v>45413</v>
      </c>
      <c r="B648" s="47">
        <f>MONTH(Table13[[#This Row],[YearMonth]])</f>
        <v>5</v>
      </c>
      <c r="C648" s="9" t="s">
        <v>108</v>
      </c>
      <c r="D648" s="6" t="s">
        <v>338</v>
      </c>
      <c r="E648" s="6">
        <f>IF(Table13[[#This Row],[Quartile]]="TopQuartile", 1,
 IF(Table13[[#This Row],[Quartile]]="SecondQuartile", 2,
 IF(Table13[[#This Row],[Quartile]]="ThirdQuartile", 3,
 IF(Table13[[#This Row],[Quartile]]="FourthQuartile", 4, ""))))</f>
        <v>2</v>
      </c>
      <c r="F648" s="9" t="s">
        <v>413</v>
      </c>
      <c r="G648" s="9" t="str" cm="1">
        <f t="array" ref="G648">IFERROR(
  INDEX(Table13[Quartile],
    MATCH(1,
      (Table13[[#This Row],[OrgName]]=Table13[OrgName]) *
      (Table13[[#This Row],[Month Number]]-1=Table13[Month Number]),
    0)
  ),
"")</f>
        <v>SecondQuartile</v>
      </c>
      <c r="H648" s="9">
        <f>IF(Table13[[#This Row],[Previous Quartile]]="TopQuartile", 1,
 IF(Table13[[#This Row],[Previous Quartile]]="SecondQuartile", 2,
 IF(Table13[[#This Row],[Previous Quartile]]="ThirdQuartile", 3,
 IF(Table13[[#This Row],[Previous Quartile]]="FourthQuartile", 4, ""))))</f>
        <v>2</v>
      </c>
      <c r="I648" s="9" t="str">
        <f>IF(Table13[[#This Row],[Previous Quartile Value]]="", "",
   IF(Table13[[#This Row],[Quartile Value]] &lt; Table13[[#This Row],[Previous Quartile Value]], "Improved",
   IF(Table13[[#This Row],[Quartile Value]] &gt; Table13[[#This Row],[Previous Quartile Value]], "Dropped", "Same")))</f>
        <v>Same</v>
      </c>
      <c r="J648" s="10" t="s">
        <v>22</v>
      </c>
      <c r="K648" s="7" t="str">
        <f>VLOOKUP(J648,Introduction!$B$6:$C$14,2)</f>
        <v>North West</v>
      </c>
      <c r="L648" s="11">
        <v>158</v>
      </c>
      <c r="M648" s="12" t="s">
        <v>408</v>
      </c>
    </row>
    <row r="649" spans="1:13" ht="19.95" customHeight="1" x14ac:dyDescent="0.25">
      <c r="A649" s="41">
        <v>45413</v>
      </c>
      <c r="B649" s="47">
        <f>MONTH(Table13[[#This Row],[YearMonth]])</f>
        <v>5</v>
      </c>
      <c r="C649" s="9" t="s">
        <v>96</v>
      </c>
      <c r="D649" s="6" t="s">
        <v>338</v>
      </c>
      <c r="E649" s="6">
        <f>IF(Table13[[#This Row],[Quartile]]="TopQuartile", 1,
 IF(Table13[[#This Row],[Quartile]]="SecondQuartile", 2,
 IF(Table13[[#This Row],[Quartile]]="ThirdQuartile", 3,
 IF(Table13[[#This Row],[Quartile]]="FourthQuartile", 4, ""))))</f>
        <v>2</v>
      </c>
      <c r="F649" s="9" t="s">
        <v>410</v>
      </c>
      <c r="G649" s="9" t="str" cm="1">
        <f t="array" ref="G649">IFERROR(
  INDEX(Table13[Quartile],
    MATCH(1,
      (Table13[[#This Row],[OrgName]]=Table13[OrgName]) *
      (Table13[[#This Row],[Month Number]]-1=Table13[Month Number]),
    0)
  ),
"")</f>
        <v>SecondQuartile</v>
      </c>
      <c r="H649" s="9">
        <f>IF(Table13[[#This Row],[Previous Quartile]]="TopQuartile", 1,
 IF(Table13[[#This Row],[Previous Quartile]]="SecondQuartile", 2,
 IF(Table13[[#This Row],[Previous Quartile]]="ThirdQuartile", 3,
 IF(Table13[[#This Row],[Previous Quartile]]="FourthQuartile", 4, ""))))</f>
        <v>2</v>
      </c>
      <c r="I649" s="9" t="str">
        <f>IF(Table13[[#This Row],[Previous Quartile Value]]="", "",
   IF(Table13[[#This Row],[Quartile Value]] &lt; Table13[[#This Row],[Previous Quartile Value]], "Improved",
   IF(Table13[[#This Row],[Quartile Value]] &gt; Table13[[#This Row],[Previous Quartile Value]], "Dropped", "Same")))</f>
        <v>Same</v>
      </c>
      <c r="J649" s="10" t="s">
        <v>18</v>
      </c>
      <c r="K649" s="7" t="str">
        <f>VLOOKUP(J649,Introduction!$B$6:$C$14,2)</f>
        <v>Midlands</v>
      </c>
      <c r="L649" s="11">
        <v>303</v>
      </c>
      <c r="M649" s="12" t="s">
        <v>408</v>
      </c>
    </row>
    <row r="650" spans="1:13" ht="19.95" customHeight="1" x14ac:dyDescent="0.25">
      <c r="A650" s="41">
        <v>45413</v>
      </c>
      <c r="B650" s="47">
        <f>MONTH(Table13[[#This Row],[YearMonth]])</f>
        <v>5</v>
      </c>
      <c r="C650" s="9" t="s">
        <v>150</v>
      </c>
      <c r="D650" s="6" t="s">
        <v>338</v>
      </c>
      <c r="E650" s="6">
        <f>IF(Table13[[#This Row],[Quartile]]="TopQuartile", 1,
 IF(Table13[[#This Row],[Quartile]]="SecondQuartile", 2,
 IF(Table13[[#This Row],[Quartile]]="ThirdQuartile", 3,
 IF(Table13[[#This Row],[Quartile]]="FourthQuartile", 4, ""))))</f>
        <v>2</v>
      </c>
      <c r="F650" s="9" t="s">
        <v>415</v>
      </c>
      <c r="G650" s="9" t="str" cm="1">
        <f t="array" ref="G650">IFERROR(
  INDEX(Table13[Quartile],
    MATCH(1,
      (Table13[[#This Row],[OrgName]]=Table13[OrgName]) *
      (Table13[[#This Row],[Month Number]]-1=Table13[Month Number]),
    0)
  ),
"")</f>
        <v>SecondQuartile</v>
      </c>
      <c r="H650" s="9">
        <f>IF(Table13[[#This Row],[Previous Quartile]]="TopQuartile", 1,
 IF(Table13[[#This Row],[Previous Quartile]]="SecondQuartile", 2,
 IF(Table13[[#This Row],[Previous Quartile]]="ThirdQuartile", 3,
 IF(Table13[[#This Row],[Previous Quartile]]="FourthQuartile", 4, ""))))</f>
        <v>2</v>
      </c>
      <c r="I650" s="9" t="str">
        <f>IF(Table13[[#This Row],[Previous Quartile Value]]="", "",
   IF(Table13[[#This Row],[Quartile Value]] &lt; Table13[[#This Row],[Previous Quartile Value]], "Improved",
   IF(Table13[[#This Row],[Quartile Value]] &gt; Table13[[#This Row],[Previous Quartile Value]], "Dropped", "Same")))</f>
        <v>Same</v>
      </c>
      <c r="J650" s="10" t="s">
        <v>22</v>
      </c>
      <c r="K650" s="7" t="str">
        <f>VLOOKUP(J650,Introduction!$B$6:$C$14,2)</f>
        <v>North West</v>
      </c>
      <c r="L650" s="11">
        <v>413</v>
      </c>
      <c r="M650" s="12" t="s">
        <v>408</v>
      </c>
    </row>
    <row r="651" spans="1:13" ht="19.95" customHeight="1" x14ac:dyDescent="0.25">
      <c r="A651" s="41">
        <v>45413</v>
      </c>
      <c r="B651" s="47">
        <f>MONTH(Table13[[#This Row],[YearMonth]])</f>
        <v>5</v>
      </c>
      <c r="C651" s="9" t="s">
        <v>185</v>
      </c>
      <c r="D651" s="6" t="s">
        <v>341</v>
      </c>
      <c r="E651" s="6">
        <f>IF(Table13[[#This Row],[Quartile]]="TopQuartile", 1,
 IF(Table13[[#This Row],[Quartile]]="SecondQuartile", 2,
 IF(Table13[[#This Row],[Quartile]]="ThirdQuartile", 3,
 IF(Table13[[#This Row],[Quartile]]="FourthQuartile", 4, ""))))</f>
        <v>3</v>
      </c>
      <c r="F651" s="9" t="s">
        <v>417</v>
      </c>
      <c r="G651" s="9" t="str" cm="1">
        <f t="array" ref="G651">IFERROR(
  INDEX(Table13[Quartile],
    MATCH(1,
      (Table13[[#This Row],[OrgName]]=Table13[OrgName]) *
      (Table13[[#This Row],[Month Number]]-1=Table13[Month Number]),
    0)
  ),
"")</f>
        <v>ThirdQuartile</v>
      </c>
      <c r="H651" s="9">
        <f>IF(Table13[[#This Row],[Previous Quartile]]="TopQuartile", 1,
 IF(Table13[[#This Row],[Previous Quartile]]="SecondQuartile", 2,
 IF(Table13[[#This Row],[Previous Quartile]]="ThirdQuartile", 3,
 IF(Table13[[#This Row],[Previous Quartile]]="FourthQuartile", 4, ""))))</f>
        <v>3</v>
      </c>
      <c r="I651" s="9" t="str">
        <f>IF(Table13[[#This Row],[Previous Quartile Value]]="", "",
   IF(Table13[[#This Row],[Quartile Value]] &lt; Table13[[#This Row],[Previous Quartile Value]], "Improved",
   IF(Table13[[#This Row],[Quartile Value]] &gt; Table13[[#This Row],[Previous Quartile Value]], "Dropped", "Same")))</f>
        <v>Same</v>
      </c>
      <c r="J651" s="10" t="s">
        <v>12</v>
      </c>
      <c r="K651" s="7" t="str">
        <f>VLOOKUP(J651,Introduction!$B$6:$C$14,2)</f>
        <v>London</v>
      </c>
      <c r="L651" s="11">
        <v>273</v>
      </c>
      <c r="M651" s="12" t="s">
        <v>408</v>
      </c>
    </row>
    <row r="652" spans="1:13" ht="19.95" customHeight="1" x14ac:dyDescent="0.25">
      <c r="A652" s="41">
        <v>45413</v>
      </c>
      <c r="B652" s="47">
        <f>MONTH(Table13[[#This Row],[YearMonth]])</f>
        <v>5</v>
      </c>
      <c r="C652" s="9" t="s">
        <v>191</v>
      </c>
      <c r="D652" s="6" t="s">
        <v>341</v>
      </c>
      <c r="E652" s="6">
        <f>IF(Table13[[#This Row],[Quartile]]="TopQuartile", 1,
 IF(Table13[[#This Row],[Quartile]]="SecondQuartile", 2,
 IF(Table13[[#This Row],[Quartile]]="ThirdQuartile", 3,
 IF(Table13[[#This Row],[Quartile]]="FourthQuartile", 4, ""))))</f>
        <v>3</v>
      </c>
      <c r="F652" s="9" t="s">
        <v>418</v>
      </c>
      <c r="G652" s="9" t="str" cm="1">
        <f t="array" ref="G652">IFERROR(
  INDEX(Table13[Quartile],
    MATCH(1,
      (Table13[[#This Row],[OrgName]]=Table13[OrgName]) *
      (Table13[[#This Row],[Month Number]]-1=Table13[Month Number]),
    0)
  ),
"")</f>
        <v>ThirdQuartile</v>
      </c>
      <c r="H652" s="9">
        <f>IF(Table13[[#This Row],[Previous Quartile]]="TopQuartile", 1,
 IF(Table13[[#This Row],[Previous Quartile]]="SecondQuartile", 2,
 IF(Table13[[#This Row],[Previous Quartile]]="ThirdQuartile", 3,
 IF(Table13[[#This Row],[Previous Quartile]]="FourthQuartile", 4, ""))))</f>
        <v>3</v>
      </c>
      <c r="I652" s="9" t="str">
        <f>IF(Table13[[#This Row],[Previous Quartile Value]]="", "",
   IF(Table13[[#This Row],[Quartile Value]] &lt; Table13[[#This Row],[Previous Quartile Value]], "Improved",
   IF(Table13[[#This Row],[Quartile Value]] &gt; Table13[[#This Row],[Previous Quartile Value]], "Dropped", "Same")))</f>
        <v>Same</v>
      </c>
      <c r="J652" s="10" t="s">
        <v>22</v>
      </c>
      <c r="K652" s="7" t="str">
        <f>VLOOKUP(J652,Introduction!$B$6:$C$14,2)</f>
        <v>North West</v>
      </c>
      <c r="L652" s="11">
        <v>159</v>
      </c>
      <c r="M652" s="12" t="s">
        <v>408</v>
      </c>
    </row>
    <row r="653" spans="1:13" ht="19.95" customHeight="1" x14ac:dyDescent="0.25">
      <c r="A653" s="41">
        <v>45413</v>
      </c>
      <c r="B653" s="47">
        <f>MONTH(Table13[[#This Row],[YearMonth]])</f>
        <v>5</v>
      </c>
      <c r="C653" s="9" t="s">
        <v>184</v>
      </c>
      <c r="D653" s="6" t="s">
        <v>341</v>
      </c>
      <c r="E653" s="6">
        <f>IF(Table13[[#This Row],[Quartile]]="TopQuartile", 1,
 IF(Table13[[#This Row],[Quartile]]="SecondQuartile", 2,
 IF(Table13[[#This Row],[Quartile]]="ThirdQuartile", 3,
 IF(Table13[[#This Row],[Quartile]]="FourthQuartile", 4, ""))))</f>
        <v>3</v>
      </c>
      <c r="F653" s="9" t="s">
        <v>416</v>
      </c>
      <c r="G653" s="9" t="str" cm="1">
        <f t="array" ref="G653">IFERROR(
  INDEX(Table13[Quartile],
    MATCH(1,
      (Table13[[#This Row],[OrgName]]=Table13[OrgName]) *
      (Table13[[#This Row],[Month Number]]-1=Table13[Month Number]),
    0)
  ),
"")</f>
        <v>ThirdQuartile</v>
      </c>
      <c r="H653" s="9">
        <f>IF(Table13[[#This Row],[Previous Quartile]]="TopQuartile", 1,
 IF(Table13[[#This Row],[Previous Quartile]]="SecondQuartile", 2,
 IF(Table13[[#This Row],[Previous Quartile]]="ThirdQuartile", 3,
 IF(Table13[[#This Row],[Previous Quartile]]="FourthQuartile", 4, ""))))</f>
        <v>3</v>
      </c>
      <c r="I653" s="9" t="str">
        <f>IF(Table13[[#This Row],[Previous Quartile Value]]="", "",
   IF(Table13[[#This Row],[Quartile Value]] &lt; Table13[[#This Row],[Previous Quartile Value]], "Improved",
   IF(Table13[[#This Row],[Quartile Value]] &gt; Table13[[#This Row],[Previous Quartile Value]], "Dropped", "Same")))</f>
        <v>Same</v>
      </c>
      <c r="J653" s="10" t="s">
        <v>12</v>
      </c>
      <c r="K653" s="7" t="str">
        <f>VLOOKUP(J653,Introduction!$B$6:$C$14,2)</f>
        <v>London</v>
      </c>
      <c r="L653" s="11">
        <v>282</v>
      </c>
      <c r="M653" s="12" t="s">
        <v>408</v>
      </c>
    </row>
    <row r="654" spans="1:13" ht="19.95" customHeight="1" x14ac:dyDescent="0.25">
      <c r="A654" s="41">
        <v>45413</v>
      </c>
      <c r="B654" s="47">
        <f>MONTH(Table13[[#This Row],[YearMonth]])</f>
        <v>5</v>
      </c>
      <c r="C654" s="9" t="s">
        <v>215</v>
      </c>
      <c r="D654" s="6" t="s">
        <v>341</v>
      </c>
      <c r="E654" s="6">
        <f>IF(Table13[[#This Row],[Quartile]]="TopQuartile", 1,
 IF(Table13[[#This Row],[Quartile]]="SecondQuartile", 2,
 IF(Table13[[#This Row],[Quartile]]="ThirdQuartile", 3,
 IF(Table13[[#This Row],[Quartile]]="FourthQuartile", 4, ""))))</f>
        <v>3</v>
      </c>
      <c r="F654" s="9" t="s">
        <v>419</v>
      </c>
      <c r="G654" s="9" t="str" cm="1">
        <f t="array" ref="G654">IFERROR(
  INDEX(Table13[Quartile],
    MATCH(1,
      (Table13[[#This Row],[OrgName]]=Table13[OrgName]) *
      (Table13[[#This Row],[Month Number]]-1=Table13[Month Number]),
    0)
  ),
"")</f>
        <v>SecondQuartile</v>
      </c>
      <c r="H654" s="9">
        <f>IF(Table13[[#This Row],[Previous Quartile]]="TopQuartile", 1,
 IF(Table13[[#This Row],[Previous Quartile]]="SecondQuartile", 2,
 IF(Table13[[#This Row],[Previous Quartile]]="ThirdQuartile", 3,
 IF(Table13[[#This Row],[Previous Quartile]]="FourthQuartile", 4, ""))))</f>
        <v>2</v>
      </c>
      <c r="I654" s="9" t="str">
        <f>IF(Table13[[#This Row],[Previous Quartile Value]]="", "",
   IF(Table13[[#This Row],[Quartile Value]] &lt; Table13[[#This Row],[Previous Quartile Value]], "Improved",
   IF(Table13[[#This Row],[Quartile Value]] &gt; Table13[[#This Row],[Previous Quartile Value]], "Dropped", "Same")))</f>
        <v>Dropped</v>
      </c>
      <c r="J654" s="10" t="s">
        <v>18</v>
      </c>
      <c r="K654" s="7" t="str">
        <f>VLOOKUP(J654,Introduction!$B$6:$C$14,2)</f>
        <v>Midlands</v>
      </c>
      <c r="L654" s="11">
        <v>224</v>
      </c>
      <c r="M654" s="12" t="s">
        <v>408</v>
      </c>
    </row>
    <row r="655" spans="1:13" ht="19.95" customHeight="1" x14ac:dyDescent="0.25">
      <c r="A655" s="41">
        <v>45413</v>
      </c>
      <c r="B655" s="47">
        <f>MONTH(Table13[[#This Row],[YearMonth]])</f>
        <v>5</v>
      </c>
      <c r="C655" s="9" t="s">
        <v>239</v>
      </c>
      <c r="D655" s="6" t="s">
        <v>350</v>
      </c>
      <c r="E655" s="6">
        <f>IF(Table13[[#This Row],[Quartile]]="TopQuartile", 1,
 IF(Table13[[#This Row],[Quartile]]="SecondQuartile", 2,
 IF(Table13[[#This Row],[Quartile]]="ThirdQuartile", 3,
 IF(Table13[[#This Row],[Quartile]]="FourthQuartile", 4, ""))))</f>
        <v>4</v>
      </c>
      <c r="F655" s="9" t="s">
        <v>421</v>
      </c>
      <c r="G655" s="9" t="str" cm="1">
        <f t="array" ref="G655">IFERROR(
  INDEX(Table13[Quartile],
    MATCH(1,
      (Table13[[#This Row],[OrgName]]=Table13[OrgName]) *
      (Table13[[#This Row],[Month Number]]-1=Table13[Month Number]),
    0)
  ),
"")</f>
        <v>ThirdQuartile</v>
      </c>
      <c r="H655" s="9">
        <f>IF(Table13[[#This Row],[Previous Quartile]]="TopQuartile", 1,
 IF(Table13[[#This Row],[Previous Quartile]]="SecondQuartile", 2,
 IF(Table13[[#This Row],[Previous Quartile]]="ThirdQuartile", 3,
 IF(Table13[[#This Row],[Previous Quartile]]="FourthQuartile", 4, ""))))</f>
        <v>3</v>
      </c>
      <c r="I655" s="9" t="str">
        <f>IF(Table13[[#This Row],[Previous Quartile Value]]="", "",
   IF(Table13[[#This Row],[Quartile Value]] &lt; Table13[[#This Row],[Previous Quartile Value]], "Improved",
   IF(Table13[[#This Row],[Quartile Value]] &gt; Table13[[#This Row],[Previous Quartile Value]], "Dropped", "Same")))</f>
        <v>Dropped</v>
      </c>
      <c r="J655" s="10" t="s">
        <v>24</v>
      </c>
      <c r="K655" s="7" t="str">
        <f>VLOOKUP(J655,Introduction!$B$6:$C$14,2)</f>
        <v>North East and Yorkshire</v>
      </c>
      <c r="L655" s="11">
        <v>425</v>
      </c>
      <c r="M655" s="12" t="s">
        <v>408</v>
      </c>
    </row>
    <row r="656" spans="1:13" ht="19.95" customHeight="1" x14ac:dyDescent="0.25">
      <c r="A656" s="41">
        <v>45413</v>
      </c>
      <c r="B656" s="47">
        <f>MONTH(Table13[[#This Row],[YearMonth]])</f>
        <v>5</v>
      </c>
      <c r="C656" s="9" t="s">
        <v>229</v>
      </c>
      <c r="D656" s="6" t="s">
        <v>350</v>
      </c>
      <c r="E656" s="6">
        <f>IF(Table13[[#This Row],[Quartile]]="TopQuartile", 1,
 IF(Table13[[#This Row],[Quartile]]="SecondQuartile", 2,
 IF(Table13[[#This Row],[Quartile]]="ThirdQuartile", 3,
 IF(Table13[[#This Row],[Quartile]]="FourthQuartile", 4, ""))))</f>
        <v>4</v>
      </c>
      <c r="F656" s="9" t="s">
        <v>420</v>
      </c>
      <c r="G656" s="9" t="str" cm="1">
        <f t="array" ref="G656">IFERROR(
  INDEX(Table13[Quartile],
    MATCH(1,
      (Table13[[#This Row],[OrgName]]=Table13[OrgName]) *
      (Table13[[#This Row],[Month Number]]-1=Table13[Month Number]),
    0)
  ),
"")</f>
        <v>FourthQuartile</v>
      </c>
      <c r="H656" s="9">
        <f>IF(Table13[[#This Row],[Previous Quartile]]="TopQuartile", 1,
 IF(Table13[[#This Row],[Previous Quartile]]="SecondQuartile", 2,
 IF(Table13[[#This Row],[Previous Quartile]]="ThirdQuartile", 3,
 IF(Table13[[#This Row],[Previous Quartile]]="FourthQuartile", 4, ""))))</f>
        <v>4</v>
      </c>
      <c r="I656" s="9" t="str">
        <f>IF(Table13[[#This Row],[Previous Quartile Value]]="", "",
   IF(Table13[[#This Row],[Quartile Value]] &lt; Table13[[#This Row],[Previous Quartile Value]], "Improved",
   IF(Table13[[#This Row],[Quartile Value]] &gt; Table13[[#This Row],[Previous Quartile Value]], "Dropped", "Same")))</f>
        <v>Same</v>
      </c>
      <c r="J656" s="10" t="s">
        <v>18</v>
      </c>
      <c r="K656" s="7" t="str">
        <f>VLOOKUP(J656,Introduction!$B$6:$C$14,2)</f>
        <v>Midlands</v>
      </c>
      <c r="L656" s="11">
        <v>284</v>
      </c>
      <c r="M656" s="12" t="s">
        <v>408</v>
      </c>
    </row>
    <row r="657" spans="1:13" ht="19.95" customHeight="1" x14ac:dyDescent="0.25">
      <c r="A657" s="41">
        <v>45413</v>
      </c>
      <c r="B657" s="47">
        <f>MONTH(Table13[[#This Row],[YearMonth]])</f>
        <v>5</v>
      </c>
      <c r="C657" s="9" t="s">
        <v>273</v>
      </c>
      <c r="D657" s="6" t="s">
        <v>350</v>
      </c>
      <c r="E657" s="6">
        <f>IF(Table13[[#This Row],[Quartile]]="TopQuartile", 1,
 IF(Table13[[#This Row],[Quartile]]="SecondQuartile", 2,
 IF(Table13[[#This Row],[Quartile]]="ThirdQuartile", 3,
 IF(Table13[[#This Row],[Quartile]]="FourthQuartile", 4, ""))))</f>
        <v>4</v>
      </c>
      <c r="F657" s="9" t="s">
        <v>422</v>
      </c>
      <c r="G657" s="9" t="str" cm="1">
        <f t="array" ref="G657">IFERROR(
  INDEX(Table13[Quartile],
    MATCH(1,
      (Table13[[#This Row],[OrgName]]=Table13[OrgName]) *
      (Table13[[#This Row],[Month Number]]-1=Table13[Month Number]),
    0)
  ),
"")</f>
        <v>FourthQuartile</v>
      </c>
      <c r="H657" s="9">
        <f>IF(Table13[[#This Row],[Previous Quartile]]="TopQuartile", 1,
 IF(Table13[[#This Row],[Previous Quartile]]="SecondQuartile", 2,
 IF(Table13[[#This Row],[Previous Quartile]]="ThirdQuartile", 3,
 IF(Table13[[#This Row],[Previous Quartile]]="FourthQuartile", 4, ""))))</f>
        <v>4</v>
      </c>
      <c r="I657" s="9" t="str">
        <f>IF(Table13[[#This Row],[Previous Quartile Value]]="", "",
   IF(Table13[[#This Row],[Quartile Value]] &lt; Table13[[#This Row],[Previous Quartile Value]], "Improved",
   IF(Table13[[#This Row],[Quartile Value]] &gt; Table13[[#This Row],[Previous Quartile Value]], "Dropped", "Same")))</f>
        <v>Same</v>
      </c>
      <c r="J657" s="10" t="s">
        <v>12</v>
      </c>
      <c r="K657" s="7" t="str">
        <f>VLOOKUP(J657,Introduction!$B$6:$C$14,2)</f>
        <v>London</v>
      </c>
      <c r="L657" s="11">
        <v>392</v>
      </c>
      <c r="M657" s="12" t="s">
        <v>408</v>
      </c>
    </row>
    <row r="658" spans="1:13" ht="19.95" customHeight="1" x14ac:dyDescent="0.25">
      <c r="A658" s="41">
        <v>45413</v>
      </c>
      <c r="B658" s="47">
        <f>MONTH(Table13[[#This Row],[YearMonth]])</f>
        <v>5</v>
      </c>
      <c r="C658" s="9" t="s">
        <v>296</v>
      </c>
      <c r="D658" s="6" t="s">
        <v>350</v>
      </c>
      <c r="E658" s="6">
        <f>IF(Table13[[#This Row],[Quartile]]="TopQuartile", 1,
 IF(Table13[[#This Row],[Quartile]]="SecondQuartile", 2,
 IF(Table13[[#This Row],[Quartile]]="ThirdQuartile", 3,
 IF(Table13[[#This Row],[Quartile]]="FourthQuartile", 4, ""))))</f>
        <v>4</v>
      </c>
      <c r="F658" s="9" t="s">
        <v>423</v>
      </c>
      <c r="G658" s="9" t="str" cm="1">
        <f t="array" ref="G658">IFERROR(
  INDEX(Table13[Quartile],
    MATCH(1,
      (Table13[[#This Row],[OrgName]]=Table13[OrgName]) *
      (Table13[[#This Row],[Month Number]]-1=Table13[Month Number]),
    0)
  ),
"")</f>
        <v>FourthQuartile</v>
      </c>
      <c r="H658" s="9">
        <f>IF(Table13[[#This Row],[Previous Quartile]]="TopQuartile", 1,
 IF(Table13[[#This Row],[Previous Quartile]]="SecondQuartile", 2,
 IF(Table13[[#This Row],[Previous Quartile]]="ThirdQuartile", 3,
 IF(Table13[[#This Row],[Previous Quartile]]="FourthQuartile", 4, ""))))</f>
        <v>4</v>
      </c>
      <c r="I658" s="9" t="str">
        <f>IF(Table13[[#This Row],[Previous Quartile Value]]="", "",
   IF(Table13[[#This Row],[Quartile Value]] &lt; Table13[[#This Row],[Previous Quartile Value]], "Improved",
   IF(Table13[[#This Row],[Quartile Value]] &gt; Table13[[#This Row],[Previous Quartile Value]], "Dropped", "Same")))</f>
        <v>Same</v>
      </c>
      <c r="J658" s="10" t="s">
        <v>22</v>
      </c>
      <c r="K658" s="7" t="str">
        <f>VLOOKUP(J658,Introduction!$B$6:$C$14,2)</f>
        <v>North West</v>
      </c>
      <c r="L658" s="11">
        <v>410</v>
      </c>
      <c r="M658" s="12" t="s">
        <v>408</v>
      </c>
    </row>
    <row r="659" spans="1:13" ht="19.95" customHeight="1" x14ac:dyDescent="0.25">
      <c r="A659" s="41">
        <v>45413</v>
      </c>
      <c r="B659" s="47">
        <f>MONTH(Table13[[#This Row],[YearMonth]])</f>
        <v>5</v>
      </c>
      <c r="C659" s="9" t="s">
        <v>69</v>
      </c>
      <c r="D659" s="6" t="s">
        <v>330</v>
      </c>
      <c r="E659" s="6">
        <f>IF(Table13[[#This Row],[Quartile]]="TopQuartile", 1,
 IF(Table13[[#This Row],[Quartile]]="SecondQuartile", 2,
 IF(Table13[[#This Row],[Quartile]]="ThirdQuartile", 3,
 IF(Table13[[#This Row],[Quartile]]="FourthQuartile", 4, ""))))</f>
        <v>1</v>
      </c>
      <c r="F659" s="9" t="s">
        <v>426</v>
      </c>
      <c r="G659" s="9" t="str" cm="1">
        <f t="array" ref="G659">IFERROR(
  INDEX(Table13[Quartile],
    MATCH(1,
      (Table13[[#This Row],[OrgName]]=Table13[OrgName]) *
      (Table13[[#This Row],[Month Number]]-1=Table13[Month Number]),
    0)
  ),
"")</f>
        <v>TopQuartile</v>
      </c>
      <c r="H659" s="9">
        <f>IF(Table13[[#This Row],[Previous Quartile]]="TopQuartile", 1,
 IF(Table13[[#This Row],[Previous Quartile]]="SecondQuartile", 2,
 IF(Table13[[#This Row],[Previous Quartile]]="ThirdQuartile", 3,
 IF(Table13[[#This Row],[Previous Quartile]]="FourthQuartile", 4, ""))))</f>
        <v>1</v>
      </c>
      <c r="I659" s="9" t="str">
        <f>IF(Table13[[#This Row],[Previous Quartile Value]]="", "",
   IF(Table13[[#This Row],[Quartile Value]] &lt; Table13[[#This Row],[Previous Quartile Value]], "Improved",
   IF(Table13[[#This Row],[Quartile Value]] &gt; Table13[[#This Row],[Previous Quartile Value]], "Dropped", "Same")))</f>
        <v>Same</v>
      </c>
      <c r="J659" s="10" t="s">
        <v>18</v>
      </c>
      <c r="K659" s="7" t="str">
        <f>VLOOKUP(J659,Introduction!$B$6:$C$14,2)</f>
        <v>Midlands</v>
      </c>
      <c r="L659" s="11">
        <v>320</v>
      </c>
      <c r="M659" s="12" t="s">
        <v>425</v>
      </c>
    </row>
    <row r="660" spans="1:13" ht="19.95" customHeight="1" x14ac:dyDescent="0.25">
      <c r="A660" s="41">
        <v>45413</v>
      </c>
      <c r="B660" s="47">
        <f>MONTH(Table13[[#This Row],[YearMonth]])</f>
        <v>5</v>
      </c>
      <c r="C660" s="9" t="s">
        <v>41</v>
      </c>
      <c r="D660" s="6" t="s">
        <v>330</v>
      </c>
      <c r="E660" s="6">
        <f>IF(Table13[[#This Row],[Quartile]]="TopQuartile", 1,
 IF(Table13[[#This Row],[Quartile]]="SecondQuartile", 2,
 IF(Table13[[#This Row],[Quartile]]="ThirdQuartile", 3,
 IF(Table13[[#This Row],[Quartile]]="FourthQuartile", 4, ""))))</f>
        <v>1</v>
      </c>
      <c r="F660" s="9" t="s">
        <v>424</v>
      </c>
      <c r="G660" s="9" t="str" cm="1">
        <f t="array" ref="G660">IFERROR(
  INDEX(Table13[Quartile],
    MATCH(1,
      (Table13[[#This Row],[OrgName]]=Table13[OrgName]) *
      (Table13[[#This Row],[Month Number]]-1=Table13[Month Number]),
    0)
  ),
"")</f>
        <v>TopQuartile</v>
      </c>
      <c r="H660" s="9">
        <f>IF(Table13[[#This Row],[Previous Quartile]]="TopQuartile", 1,
 IF(Table13[[#This Row],[Previous Quartile]]="SecondQuartile", 2,
 IF(Table13[[#This Row],[Previous Quartile]]="ThirdQuartile", 3,
 IF(Table13[[#This Row],[Previous Quartile]]="FourthQuartile", 4, ""))))</f>
        <v>1</v>
      </c>
      <c r="I660" s="9" t="str">
        <f>IF(Table13[[#This Row],[Previous Quartile Value]]="", "",
   IF(Table13[[#This Row],[Quartile Value]] &lt; Table13[[#This Row],[Previous Quartile Value]], "Improved",
   IF(Table13[[#This Row],[Quartile Value]] &gt; Table13[[#This Row],[Previous Quartile Value]], "Dropped", "Same")))</f>
        <v>Same</v>
      </c>
      <c r="J660" s="10" t="s">
        <v>24</v>
      </c>
      <c r="K660" s="7" t="str">
        <f>VLOOKUP(J660,Introduction!$B$6:$C$14,2)</f>
        <v>North East and Yorkshire</v>
      </c>
      <c r="L660" s="11">
        <v>389</v>
      </c>
      <c r="M660" s="12" t="s">
        <v>425</v>
      </c>
    </row>
    <row r="661" spans="1:13" ht="19.95" customHeight="1" x14ac:dyDescent="0.25">
      <c r="A661" s="41">
        <v>45413</v>
      </c>
      <c r="B661" s="47">
        <f>MONTH(Table13[[#This Row],[YearMonth]])</f>
        <v>5</v>
      </c>
      <c r="C661" s="9" t="s">
        <v>82</v>
      </c>
      <c r="D661" s="6" t="s">
        <v>330</v>
      </c>
      <c r="E661" s="6">
        <f>IF(Table13[[#This Row],[Quartile]]="TopQuartile", 1,
 IF(Table13[[#This Row],[Quartile]]="SecondQuartile", 2,
 IF(Table13[[#This Row],[Quartile]]="ThirdQuartile", 3,
 IF(Table13[[#This Row],[Quartile]]="FourthQuartile", 4, ""))))</f>
        <v>1</v>
      </c>
      <c r="F661" s="9" t="s">
        <v>427</v>
      </c>
      <c r="G661" s="9" t="str" cm="1">
        <f t="array" ref="G661">IFERROR(
  INDEX(Table13[Quartile],
    MATCH(1,
      (Table13[[#This Row],[OrgName]]=Table13[OrgName]) *
      (Table13[[#This Row],[Month Number]]-1=Table13[Month Number]),
    0)
  ),
"")</f>
        <v>TopQuartile</v>
      </c>
      <c r="H661" s="9">
        <f>IF(Table13[[#This Row],[Previous Quartile]]="TopQuartile", 1,
 IF(Table13[[#This Row],[Previous Quartile]]="SecondQuartile", 2,
 IF(Table13[[#This Row],[Previous Quartile]]="ThirdQuartile", 3,
 IF(Table13[[#This Row],[Previous Quartile]]="FourthQuartile", 4, ""))))</f>
        <v>1</v>
      </c>
      <c r="I661" s="9" t="str">
        <f>IF(Table13[[#This Row],[Previous Quartile Value]]="", "",
   IF(Table13[[#This Row],[Quartile Value]] &lt; Table13[[#This Row],[Previous Quartile Value]], "Improved",
   IF(Table13[[#This Row],[Quartile Value]] &gt; Table13[[#This Row],[Previous Quartile Value]], "Dropped", "Same")))</f>
        <v>Same</v>
      </c>
      <c r="J661" s="10" t="s">
        <v>20</v>
      </c>
      <c r="K661" s="7" t="str">
        <f>VLOOKUP(J661,Introduction!$B$6:$C$14,2)</f>
        <v>East of England</v>
      </c>
      <c r="L661" s="11">
        <v>180</v>
      </c>
      <c r="M661" s="12" t="s">
        <v>425</v>
      </c>
    </row>
    <row r="662" spans="1:13" ht="19.95" customHeight="1" x14ac:dyDescent="0.25">
      <c r="A662" s="41">
        <v>45413</v>
      </c>
      <c r="B662" s="47">
        <f>MONTH(Table13[[#This Row],[YearMonth]])</f>
        <v>5</v>
      </c>
      <c r="C662" s="9" t="s">
        <v>88</v>
      </c>
      <c r="D662" s="6" t="s">
        <v>330</v>
      </c>
      <c r="E662" s="6">
        <f>IF(Table13[[#This Row],[Quartile]]="TopQuartile", 1,
 IF(Table13[[#This Row],[Quartile]]="SecondQuartile", 2,
 IF(Table13[[#This Row],[Quartile]]="ThirdQuartile", 3,
 IF(Table13[[#This Row],[Quartile]]="FourthQuartile", 4, ""))))</f>
        <v>1</v>
      </c>
      <c r="F662" s="9" t="s">
        <v>428</v>
      </c>
      <c r="G662" s="9" t="str" cm="1">
        <f t="array" ref="G662">IFERROR(
  INDEX(Table13[Quartile],
    MATCH(1,
      (Table13[[#This Row],[OrgName]]=Table13[OrgName]) *
      (Table13[[#This Row],[Month Number]]-1=Table13[Month Number]),
    0)
  ),
"")</f>
        <v>TopQuartile</v>
      </c>
      <c r="H662" s="9">
        <f>IF(Table13[[#This Row],[Previous Quartile]]="TopQuartile", 1,
 IF(Table13[[#This Row],[Previous Quartile]]="SecondQuartile", 2,
 IF(Table13[[#This Row],[Previous Quartile]]="ThirdQuartile", 3,
 IF(Table13[[#This Row],[Previous Quartile]]="FourthQuartile", 4, ""))))</f>
        <v>1</v>
      </c>
      <c r="I662" s="9" t="str">
        <f>IF(Table13[[#This Row],[Previous Quartile Value]]="", "",
   IF(Table13[[#This Row],[Quartile Value]] &lt; Table13[[#This Row],[Previous Quartile Value]], "Improved",
   IF(Table13[[#This Row],[Quartile Value]] &gt; Table13[[#This Row],[Previous Quartile Value]], "Dropped", "Same")))</f>
        <v>Same</v>
      </c>
      <c r="J662" s="10" t="s">
        <v>22</v>
      </c>
      <c r="K662" s="7" t="str">
        <f>VLOOKUP(J662,Introduction!$B$6:$C$14,2)</f>
        <v>North West</v>
      </c>
      <c r="L662" s="11">
        <v>408</v>
      </c>
      <c r="M662" s="12" t="s">
        <v>425</v>
      </c>
    </row>
    <row r="663" spans="1:13" ht="19.95" customHeight="1" x14ac:dyDescent="0.25">
      <c r="A663" s="41">
        <v>45413</v>
      </c>
      <c r="B663" s="47">
        <f>MONTH(Table13[[#This Row],[YearMonth]])</f>
        <v>5</v>
      </c>
      <c r="C663" s="9" t="s">
        <v>103</v>
      </c>
      <c r="D663" s="6" t="s">
        <v>330</v>
      </c>
      <c r="E663" s="6">
        <f>IF(Table13[[#This Row],[Quartile]]="TopQuartile", 1,
 IF(Table13[[#This Row],[Quartile]]="SecondQuartile", 2,
 IF(Table13[[#This Row],[Quartile]]="ThirdQuartile", 3,
 IF(Table13[[#This Row],[Quartile]]="FourthQuartile", 4, ""))))</f>
        <v>1</v>
      </c>
      <c r="F663" s="9" t="s">
        <v>431</v>
      </c>
      <c r="G663" s="9" t="str" cm="1">
        <f t="array" ref="G663">IFERROR(
  INDEX(Table13[Quartile],
    MATCH(1,
      (Table13[[#This Row],[OrgName]]=Table13[OrgName]) *
      (Table13[[#This Row],[Month Number]]-1=Table13[Month Number]),
    0)
  ),
"")</f>
        <v>TopQuartile</v>
      </c>
      <c r="H663" s="9">
        <f>IF(Table13[[#This Row],[Previous Quartile]]="TopQuartile", 1,
 IF(Table13[[#This Row],[Previous Quartile]]="SecondQuartile", 2,
 IF(Table13[[#This Row],[Previous Quartile]]="ThirdQuartile", 3,
 IF(Table13[[#This Row],[Previous Quartile]]="FourthQuartile", 4, ""))))</f>
        <v>1</v>
      </c>
      <c r="I663" s="9" t="str">
        <f>IF(Table13[[#This Row],[Previous Quartile Value]]="", "",
   IF(Table13[[#This Row],[Quartile Value]] &lt; Table13[[#This Row],[Previous Quartile Value]], "Improved",
   IF(Table13[[#This Row],[Quartile Value]] &gt; Table13[[#This Row],[Previous Quartile Value]], "Dropped", "Same")))</f>
        <v>Same</v>
      </c>
      <c r="J663" s="10" t="s">
        <v>16</v>
      </c>
      <c r="K663" s="7" t="str">
        <f>VLOOKUP(J663,Introduction!$B$6:$C$14,2)</f>
        <v>South East</v>
      </c>
      <c r="L663" s="11">
        <v>188</v>
      </c>
      <c r="M663" s="12" t="s">
        <v>425</v>
      </c>
    </row>
    <row r="664" spans="1:13" ht="19.95" customHeight="1" x14ac:dyDescent="0.25">
      <c r="A664" s="41">
        <v>45413</v>
      </c>
      <c r="B664" s="47">
        <f>MONTH(Table13[[#This Row],[YearMonth]])</f>
        <v>5</v>
      </c>
      <c r="C664" s="9" t="s">
        <v>94</v>
      </c>
      <c r="D664" s="6" t="s">
        <v>330</v>
      </c>
      <c r="E664" s="6">
        <f>IF(Table13[[#This Row],[Quartile]]="TopQuartile", 1,
 IF(Table13[[#This Row],[Quartile]]="SecondQuartile", 2,
 IF(Table13[[#This Row],[Quartile]]="ThirdQuartile", 3,
 IF(Table13[[#This Row],[Quartile]]="FourthQuartile", 4, ""))))</f>
        <v>1</v>
      </c>
      <c r="F664" s="9" t="s">
        <v>429</v>
      </c>
      <c r="G664" s="9" t="str" cm="1">
        <f t="array" ref="G664">IFERROR(
  INDEX(Table13[Quartile],
    MATCH(1,
      (Table13[[#This Row],[OrgName]]=Table13[OrgName]) *
      (Table13[[#This Row],[Month Number]]-1=Table13[Month Number]),
    0)
  ),
"")</f>
        <v>TopQuartile</v>
      </c>
      <c r="H664" s="9">
        <f>IF(Table13[[#This Row],[Previous Quartile]]="TopQuartile", 1,
 IF(Table13[[#This Row],[Previous Quartile]]="SecondQuartile", 2,
 IF(Table13[[#This Row],[Previous Quartile]]="ThirdQuartile", 3,
 IF(Table13[[#This Row],[Previous Quartile]]="FourthQuartile", 4, ""))))</f>
        <v>1</v>
      </c>
      <c r="I664" s="9" t="str">
        <f>IF(Table13[[#This Row],[Previous Quartile Value]]="", "",
   IF(Table13[[#This Row],[Quartile Value]] &lt; Table13[[#This Row],[Previous Quartile Value]], "Improved",
   IF(Table13[[#This Row],[Quartile Value]] &gt; Table13[[#This Row],[Previous Quartile Value]], "Dropped", "Same")))</f>
        <v>Same</v>
      </c>
      <c r="J664" s="10" t="s">
        <v>22</v>
      </c>
      <c r="K664" s="7" t="str">
        <f>VLOOKUP(J664,Introduction!$B$6:$C$14,2)</f>
        <v>North West</v>
      </c>
      <c r="L664" s="11">
        <v>438</v>
      </c>
      <c r="M664" s="12" t="s">
        <v>425</v>
      </c>
    </row>
    <row r="665" spans="1:13" ht="19.95" customHeight="1" x14ac:dyDescent="0.25">
      <c r="A665" s="41">
        <v>45413</v>
      </c>
      <c r="B665" s="47">
        <f>MONTH(Table13[[#This Row],[YearMonth]])</f>
        <v>5</v>
      </c>
      <c r="C665" s="9" t="s">
        <v>95</v>
      </c>
      <c r="D665" s="6" t="s">
        <v>338</v>
      </c>
      <c r="E665" s="6">
        <f>IF(Table13[[#This Row],[Quartile]]="TopQuartile", 1,
 IF(Table13[[#This Row],[Quartile]]="SecondQuartile", 2,
 IF(Table13[[#This Row],[Quartile]]="ThirdQuartile", 3,
 IF(Table13[[#This Row],[Quartile]]="FourthQuartile", 4, ""))))</f>
        <v>2</v>
      </c>
      <c r="F665" s="9" t="s">
        <v>430</v>
      </c>
      <c r="G665" s="9" t="str" cm="1">
        <f t="array" ref="G665">IFERROR(
  INDEX(Table13[Quartile],
    MATCH(1,
      (Table13[[#This Row],[OrgName]]=Table13[OrgName]) *
      (Table13[[#This Row],[Month Number]]-1=Table13[Month Number]),
    0)
  ),
"")</f>
        <v>SecondQuartile</v>
      </c>
      <c r="H665" s="9">
        <f>IF(Table13[[#This Row],[Previous Quartile]]="TopQuartile", 1,
 IF(Table13[[#This Row],[Previous Quartile]]="SecondQuartile", 2,
 IF(Table13[[#This Row],[Previous Quartile]]="ThirdQuartile", 3,
 IF(Table13[[#This Row],[Previous Quartile]]="FourthQuartile", 4, ""))))</f>
        <v>2</v>
      </c>
      <c r="I665" s="9" t="str">
        <f>IF(Table13[[#This Row],[Previous Quartile Value]]="", "",
   IF(Table13[[#This Row],[Quartile Value]] &lt; Table13[[#This Row],[Previous Quartile Value]], "Improved",
   IF(Table13[[#This Row],[Quartile Value]] &gt; Table13[[#This Row],[Previous Quartile Value]], "Dropped", "Same")))</f>
        <v>Same</v>
      </c>
      <c r="J665" s="10" t="s">
        <v>24</v>
      </c>
      <c r="K665" s="7" t="str">
        <f>VLOOKUP(J665,Introduction!$B$6:$C$14,2)</f>
        <v>North East and Yorkshire</v>
      </c>
      <c r="L665" s="11">
        <v>317</v>
      </c>
      <c r="M665" s="12" t="s">
        <v>425</v>
      </c>
    </row>
    <row r="666" spans="1:13" ht="19.95" customHeight="1" x14ac:dyDescent="0.25">
      <c r="A666" s="41">
        <v>45413</v>
      </c>
      <c r="B666" s="47">
        <f>MONTH(Table13[[#This Row],[YearMonth]])</f>
        <v>5</v>
      </c>
      <c r="C666" s="9" t="s">
        <v>128</v>
      </c>
      <c r="D666" s="6" t="s">
        <v>338</v>
      </c>
      <c r="E666" s="6">
        <f>IF(Table13[[#This Row],[Quartile]]="TopQuartile", 1,
 IF(Table13[[#This Row],[Quartile]]="SecondQuartile", 2,
 IF(Table13[[#This Row],[Quartile]]="ThirdQuartile", 3,
 IF(Table13[[#This Row],[Quartile]]="FourthQuartile", 4, ""))))</f>
        <v>2</v>
      </c>
      <c r="F666" s="9" t="s">
        <v>433</v>
      </c>
      <c r="G666" s="9" t="str" cm="1">
        <f t="array" ref="G666">IFERROR(
  INDEX(Table13[Quartile],
    MATCH(1,
      (Table13[[#This Row],[OrgName]]=Table13[OrgName]) *
      (Table13[[#This Row],[Month Number]]-1=Table13[Month Number]),
    0)
  ),
"")</f>
        <v>SecondQuartile</v>
      </c>
      <c r="H666" s="9">
        <f>IF(Table13[[#This Row],[Previous Quartile]]="TopQuartile", 1,
 IF(Table13[[#This Row],[Previous Quartile]]="SecondQuartile", 2,
 IF(Table13[[#This Row],[Previous Quartile]]="ThirdQuartile", 3,
 IF(Table13[[#This Row],[Previous Quartile]]="FourthQuartile", 4, ""))))</f>
        <v>2</v>
      </c>
      <c r="I666" s="9" t="str">
        <f>IF(Table13[[#This Row],[Previous Quartile Value]]="", "",
   IF(Table13[[#This Row],[Quartile Value]] &lt; Table13[[#This Row],[Previous Quartile Value]], "Improved",
   IF(Table13[[#This Row],[Quartile Value]] &gt; Table13[[#This Row],[Previous Quartile Value]], "Dropped", "Same")))</f>
        <v>Same</v>
      </c>
      <c r="J666" s="10" t="s">
        <v>12</v>
      </c>
      <c r="K666" s="7" t="str">
        <f>VLOOKUP(J666,Introduction!$B$6:$C$14,2)</f>
        <v>London</v>
      </c>
      <c r="L666" s="11">
        <v>162</v>
      </c>
      <c r="M666" s="12" t="s">
        <v>425</v>
      </c>
    </row>
    <row r="667" spans="1:13" ht="19.95" customHeight="1" x14ac:dyDescent="0.25">
      <c r="A667" s="41">
        <v>45413</v>
      </c>
      <c r="B667" s="47">
        <f>MONTH(Table13[[#This Row],[YearMonth]])</f>
        <v>5</v>
      </c>
      <c r="C667" s="9" t="s">
        <v>140</v>
      </c>
      <c r="D667" s="6" t="s">
        <v>338</v>
      </c>
      <c r="E667" s="6">
        <f>IF(Table13[[#This Row],[Quartile]]="TopQuartile", 1,
 IF(Table13[[#This Row],[Quartile]]="SecondQuartile", 2,
 IF(Table13[[#This Row],[Quartile]]="ThirdQuartile", 3,
 IF(Table13[[#This Row],[Quartile]]="FourthQuartile", 4, ""))))</f>
        <v>2</v>
      </c>
      <c r="F667" s="9" t="s">
        <v>434</v>
      </c>
      <c r="G667" s="9" t="str" cm="1">
        <f t="array" ref="G667">IFERROR(
  INDEX(Table13[Quartile],
    MATCH(1,
      (Table13[[#This Row],[OrgName]]=Table13[OrgName]) *
      (Table13[[#This Row],[Month Number]]-1=Table13[Month Number]),
    0)
  ),
"")</f>
        <v>SecondQuartile</v>
      </c>
      <c r="H667" s="9">
        <f>IF(Table13[[#This Row],[Previous Quartile]]="TopQuartile", 1,
 IF(Table13[[#This Row],[Previous Quartile]]="SecondQuartile", 2,
 IF(Table13[[#This Row],[Previous Quartile]]="ThirdQuartile", 3,
 IF(Table13[[#This Row],[Previous Quartile]]="FourthQuartile", 4, ""))))</f>
        <v>2</v>
      </c>
      <c r="I667" s="9" t="str">
        <f>IF(Table13[[#This Row],[Previous Quartile Value]]="", "",
   IF(Table13[[#This Row],[Quartile Value]] &lt; Table13[[#This Row],[Previous Quartile Value]], "Improved",
   IF(Table13[[#This Row],[Quartile Value]] &gt; Table13[[#This Row],[Previous Quartile Value]], "Dropped", "Same")))</f>
        <v>Same</v>
      </c>
      <c r="J667" s="10" t="s">
        <v>18</v>
      </c>
      <c r="K667" s="7" t="str">
        <f>VLOOKUP(J667,Introduction!$B$6:$C$14,2)</f>
        <v>Midlands</v>
      </c>
      <c r="L667" s="11">
        <v>203</v>
      </c>
      <c r="M667" s="12" t="s">
        <v>425</v>
      </c>
    </row>
    <row r="668" spans="1:13" ht="19.95" customHeight="1" x14ac:dyDescent="0.25">
      <c r="A668" s="41">
        <v>45413</v>
      </c>
      <c r="B668" s="47">
        <f>MONTH(Table13[[#This Row],[YearMonth]])</f>
        <v>5</v>
      </c>
      <c r="C668" s="9" t="s">
        <v>144</v>
      </c>
      <c r="D668" s="6" t="s">
        <v>338</v>
      </c>
      <c r="E668" s="6">
        <f>IF(Table13[[#This Row],[Quartile]]="TopQuartile", 1,
 IF(Table13[[#This Row],[Quartile]]="SecondQuartile", 2,
 IF(Table13[[#This Row],[Quartile]]="ThirdQuartile", 3,
 IF(Table13[[#This Row],[Quartile]]="FourthQuartile", 4, ""))))</f>
        <v>2</v>
      </c>
      <c r="F668" s="9" t="s">
        <v>436</v>
      </c>
      <c r="G668" s="9" t="str" cm="1">
        <f t="array" ref="G668">IFERROR(
  INDEX(Table13[Quartile],
    MATCH(1,
      (Table13[[#This Row],[OrgName]]=Table13[OrgName]) *
      (Table13[[#This Row],[Month Number]]-1=Table13[Month Number]),
    0)
  ),
"")</f>
        <v>SecondQuartile</v>
      </c>
      <c r="H668" s="9">
        <f>IF(Table13[[#This Row],[Previous Quartile]]="TopQuartile", 1,
 IF(Table13[[#This Row],[Previous Quartile]]="SecondQuartile", 2,
 IF(Table13[[#This Row],[Previous Quartile]]="ThirdQuartile", 3,
 IF(Table13[[#This Row],[Previous Quartile]]="FourthQuartile", 4, ""))))</f>
        <v>2</v>
      </c>
      <c r="I668" s="9" t="str">
        <f>IF(Table13[[#This Row],[Previous Quartile Value]]="", "",
   IF(Table13[[#This Row],[Quartile Value]] &lt; Table13[[#This Row],[Previous Quartile Value]], "Improved",
   IF(Table13[[#This Row],[Quartile Value]] &gt; Table13[[#This Row],[Previous Quartile Value]], "Dropped", "Same")))</f>
        <v>Same</v>
      </c>
      <c r="J668" s="10" t="s">
        <v>24</v>
      </c>
      <c r="K668" s="7" t="str">
        <f>VLOOKUP(J668,Introduction!$B$6:$C$14,2)</f>
        <v>North East and Yorkshire</v>
      </c>
      <c r="L668" s="11">
        <v>190</v>
      </c>
      <c r="M668" s="12" t="s">
        <v>425</v>
      </c>
    </row>
    <row r="669" spans="1:13" ht="19.95" customHeight="1" x14ac:dyDescent="0.25">
      <c r="A669" s="41">
        <v>45413</v>
      </c>
      <c r="B669" s="47">
        <f>MONTH(Table13[[#This Row],[YearMonth]])</f>
        <v>5</v>
      </c>
      <c r="C669" s="9" t="s">
        <v>119</v>
      </c>
      <c r="D669" s="6" t="s">
        <v>338</v>
      </c>
      <c r="E669" s="6">
        <f>IF(Table13[[#This Row],[Quartile]]="TopQuartile", 1,
 IF(Table13[[#This Row],[Quartile]]="SecondQuartile", 2,
 IF(Table13[[#This Row],[Quartile]]="ThirdQuartile", 3,
 IF(Table13[[#This Row],[Quartile]]="FourthQuartile", 4, ""))))</f>
        <v>2</v>
      </c>
      <c r="F669" s="9" t="s">
        <v>432</v>
      </c>
      <c r="G669" s="9" t="str" cm="1">
        <f t="array" ref="G669">IFERROR(
  INDEX(Table13[Quartile],
    MATCH(1,
      (Table13[[#This Row],[OrgName]]=Table13[OrgName]) *
      (Table13[[#This Row],[Month Number]]-1=Table13[Month Number]),
    0)
  ),
"")</f>
        <v>SecondQuartile</v>
      </c>
      <c r="H669" s="9">
        <f>IF(Table13[[#This Row],[Previous Quartile]]="TopQuartile", 1,
 IF(Table13[[#This Row],[Previous Quartile]]="SecondQuartile", 2,
 IF(Table13[[#This Row],[Previous Quartile]]="ThirdQuartile", 3,
 IF(Table13[[#This Row],[Previous Quartile]]="FourthQuartile", 4, ""))))</f>
        <v>2</v>
      </c>
      <c r="I669" s="9" t="str">
        <f>IF(Table13[[#This Row],[Previous Quartile Value]]="", "",
   IF(Table13[[#This Row],[Quartile Value]] &lt; Table13[[#This Row],[Previous Quartile Value]], "Improved",
   IF(Table13[[#This Row],[Quartile Value]] &gt; Table13[[#This Row],[Previous Quartile Value]], "Dropped", "Same")))</f>
        <v>Same</v>
      </c>
      <c r="J669" s="10" t="s">
        <v>22</v>
      </c>
      <c r="K669" s="7" t="str">
        <f>VLOOKUP(J669,Introduction!$B$6:$C$14,2)</f>
        <v>North West</v>
      </c>
      <c r="L669" s="11">
        <v>236</v>
      </c>
      <c r="M669" s="12" t="s">
        <v>425</v>
      </c>
    </row>
    <row r="670" spans="1:13" ht="19.95" customHeight="1" x14ac:dyDescent="0.25">
      <c r="A670" s="41">
        <v>45413</v>
      </c>
      <c r="B670" s="47">
        <f>MONTH(Table13[[#This Row],[YearMonth]])</f>
        <v>5</v>
      </c>
      <c r="C670" s="9" t="s">
        <v>147</v>
      </c>
      <c r="D670" s="6" t="s">
        <v>338</v>
      </c>
      <c r="E670" s="6">
        <f>IF(Table13[[#This Row],[Quartile]]="TopQuartile", 1,
 IF(Table13[[#This Row],[Quartile]]="SecondQuartile", 2,
 IF(Table13[[#This Row],[Quartile]]="ThirdQuartile", 3,
 IF(Table13[[#This Row],[Quartile]]="FourthQuartile", 4, ""))))</f>
        <v>2</v>
      </c>
      <c r="F670" s="9" t="s">
        <v>437</v>
      </c>
      <c r="G670" s="9" t="str" cm="1">
        <f t="array" ref="G670">IFERROR(
  INDEX(Table13[Quartile],
    MATCH(1,
      (Table13[[#This Row],[OrgName]]=Table13[OrgName]) *
      (Table13[[#This Row],[Month Number]]-1=Table13[Month Number]),
    0)
  ),
"")</f>
        <v>SecondQuartile</v>
      </c>
      <c r="H670" s="9">
        <f>IF(Table13[[#This Row],[Previous Quartile]]="TopQuartile", 1,
 IF(Table13[[#This Row],[Previous Quartile]]="SecondQuartile", 2,
 IF(Table13[[#This Row],[Previous Quartile]]="ThirdQuartile", 3,
 IF(Table13[[#This Row],[Previous Quartile]]="FourthQuartile", 4, ""))))</f>
        <v>2</v>
      </c>
      <c r="I670" s="9" t="str">
        <f>IF(Table13[[#This Row],[Previous Quartile Value]]="", "",
   IF(Table13[[#This Row],[Quartile Value]] &lt; Table13[[#This Row],[Previous Quartile Value]], "Improved",
   IF(Table13[[#This Row],[Quartile Value]] &gt; Table13[[#This Row],[Previous Quartile Value]], "Dropped", "Same")))</f>
        <v>Same</v>
      </c>
      <c r="J670" s="10" t="s">
        <v>22</v>
      </c>
      <c r="K670" s="7" t="str">
        <f>VLOOKUP(J670,Introduction!$B$6:$C$14,2)</f>
        <v>North West</v>
      </c>
      <c r="L670" s="11">
        <v>331</v>
      </c>
      <c r="M670" s="12" t="s">
        <v>425</v>
      </c>
    </row>
    <row r="671" spans="1:13" ht="19.95" customHeight="1" x14ac:dyDescent="0.25">
      <c r="A671" s="41">
        <v>45413</v>
      </c>
      <c r="B671" s="47">
        <f>MONTH(Table13[[#This Row],[YearMonth]])</f>
        <v>5</v>
      </c>
      <c r="C671" s="9" t="s">
        <v>157</v>
      </c>
      <c r="D671" s="6" t="s">
        <v>338</v>
      </c>
      <c r="E671" s="6">
        <f>IF(Table13[[#This Row],[Quartile]]="TopQuartile", 1,
 IF(Table13[[#This Row],[Quartile]]="SecondQuartile", 2,
 IF(Table13[[#This Row],[Quartile]]="ThirdQuartile", 3,
 IF(Table13[[#This Row],[Quartile]]="FourthQuartile", 4, ""))))</f>
        <v>2</v>
      </c>
      <c r="F671" s="9" t="s">
        <v>440</v>
      </c>
      <c r="G671" s="9" t="str" cm="1">
        <f t="array" ref="G671">IFERROR(
  INDEX(Table13[Quartile],
    MATCH(1,
      (Table13[[#This Row],[OrgName]]=Table13[OrgName]) *
      (Table13[[#This Row],[Month Number]]-1=Table13[Month Number]),
    0)
  ),
"")</f>
        <v>SecondQuartile</v>
      </c>
      <c r="H671" s="9">
        <f>IF(Table13[[#This Row],[Previous Quartile]]="TopQuartile", 1,
 IF(Table13[[#This Row],[Previous Quartile]]="SecondQuartile", 2,
 IF(Table13[[#This Row],[Previous Quartile]]="ThirdQuartile", 3,
 IF(Table13[[#This Row],[Previous Quartile]]="FourthQuartile", 4, ""))))</f>
        <v>2</v>
      </c>
      <c r="I671" s="9" t="str">
        <f>IF(Table13[[#This Row],[Previous Quartile Value]]="", "",
   IF(Table13[[#This Row],[Quartile Value]] &lt; Table13[[#This Row],[Previous Quartile Value]], "Improved",
   IF(Table13[[#This Row],[Quartile Value]] &gt; Table13[[#This Row],[Previous Quartile Value]], "Dropped", "Same")))</f>
        <v>Same</v>
      </c>
      <c r="J671" s="10" t="s">
        <v>12</v>
      </c>
      <c r="K671" s="7" t="str">
        <f>VLOOKUP(J671,Introduction!$B$6:$C$14,2)</f>
        <v>London</v>
      </c>
      <c r="L671" s="11">
        <v>391</v>
      </c>
      <c r="M671" s="12" t="s">
        <v>425</v>
      </c>
    </row>
    <row r="672" spans="1:13" ht="19.95" customHeight="1" x14ac:dyDescent="0.25">
      <c r="A672" s="41">
        <v>45413</v>
      </c>
      <c r="B672" s="47">
        <f>MONTH(Table13[[#This Row],[YearMonth]])</f>
        <v>5</v>
      </c>
      <c r="C672" s="9" t="s">
        <v>142</v>
      </c>
      <c r="D672" s="6" t="s">
        <v>338</v>
      </c>
      <c r="E672" s="6">
        <f>IF(Table13[[#This Row],[Quartile]]="TopQuartile", 1,
 IF(Table13[[#This Row],[Quartile]]="SecondQuartile", 2,
 IF(Table13[[#This Row],[Quartile]]="ThirdQuartile", 3,
 IF(Table13[[#This Row],[Quartile]]="FourthQuartile", 4, ""))))</f>
        <v>2</v>
      </c>
      <c r="F672" s="9" t="s">
        <v>435</v>
      </c>
      <c r="G672" s="9" t="str" cm="1">
        <f t="array" ref="G672">IFERROR(
  INDEX(Table13[Quartile],
    MATCH(1,
      (Table13[[#This Row],[OrgName]]=Table13[OrgName]) *
      (Table13[[#This Row],[Month Number]]-1=Table13[Month Number]),
    0)
  ),
"")</f>
        <v>SecondQuartile</v>
      </c>
      <c r="H672" s="9">
        <f>IF(Table13[[#This Row],[Previous Quartile]]="TopQuartile", 1,
 IF(Table13[[#This Row],[Previous Quartile]]="SecondQuartile", 2,
 IF(Table13[[#This Row],[Previous Quartile]]="ThirdQuartile", 3,
 IF(Table13[[#This Row],[Previous Quartile]]="FourthQuartile", 4, ""))))</f>
        <v>2</v>
      </c>
      <c r="I672" s="9" t="str">
        <f>IF(Table13[[#This Row],[Previous Quartile Value]]="", "",
   IF(Table13[[#This Row],[Quartile Value]] &lt; Table13[[#This Row],[Previous Quartile Value]], "Improved",
   IF(Table13[[#This Row],[Quartile Value]] &gt; Table13[[#This Row],[Previous Quartile Value]], "Dropped", "Same")))</f>
        <v>Same</v>
      </c>
      <c r="J672" s="10" t="s">
        <v>22</v>
      </c>
      <c r="K672" s="7" t="str">
        <f>VLOOKUP(J672,Introduction!$B$6:$C$14,2)</f>
        <v>North West</v>
      </c>
      <c r="L672" s="9">
        <v>409</v>
      </c>
      <c r="M672" s="12" t="s">
        <v>425</v>
      </c>
    </row>
    <row r="673" spans="1:13" ht="19.95" customHeight="1" x14ac:dyDescent="0.25">
      <c r="A673" s="41">
        <v>45413</v>
      </c>
      <c r="B673" s="47">
        <f>MONTH(Table13[[#This Row],[YearMonth]])</f>
        <v>5</v>
      </c>
      <c r="C673" s="9" t="s">
        <v>142</v>
      </c>
      <c r="D673" s="6" t="s">
        <v>338</v>
      </c>
      <c r="E673" s="6">
        <f>IF(Table13[[#This Row],[Quartile]]="TopQuartile", 1,
 IF(Table13[[#This Row],[Quartile]]="SecondQuartile", 2,
 IF(Table13[[#This Row],[Quartile]]="ThirdQuartile", 3,
 IF(Table13[[#This Row],[Quartile]]="FourthQuartile", 4, ""))))</f>
        <v>2</v>
      </c>
      <c r="F673" s="9" t="s">
        <v>435</v>
      </c>
      <c r="G673" s="9" t="str" cm="1">
        <f t="array" ref="G673">IFERROR(
  INDEX(Table13[Quartile],
    MATCH(1,
      (Table13[[#This Row],[OrgName]]=Table13[OrgName]) *
      (Table13[[#This Row],[Month Number]]-1=Table13[Month Number]),
    0)
  ),
"")</f>
        <v>SecondQuartile</v>
      </c>
      <c r="H673" s="9">
        <f>IF(Table13[[#This Row],[Previous Quartile]]="TopQuartile", 1,
 IF(Table13[[#This Row],[Previous Quartile]]="SecondQuartile", 2,
 IF(Table13[[#This Row],[Previous Quartile]]="ThirdQuartile", 3,
 IF(Table13[[#This Row],[Previous Quartile]]="FourthQuartile", 4, ""))))</f>
        <v>2</v>
      </c>
      <c r="I673" s="9" t="str">
        <f>IF(Table13[[#This Row],[Previous Quartile Value]]="", "",
   IF(Table13[[#This Row],[Quartile Value]] &lt; Table13[[#This Row],[Previous Quartile Value]], "Improved",
   IF(Table13[[#This Row],[Quartile Value]] &gt; Table13[[#This Row],[Previous Quartile Value]], "Dropped", "Same")))</f>
        <v>Same</v>
      </c>
      <c r="J673" s="10" t="s">
        <v>22</v>
      </c>
      <c r="K673" s="7" t="str">
        <f>VLOOKUP(J673,Introduction!$B$6:$C$14,2)</f>
        <v>North West</v>
      </c>
      <c r="L673" s="9">
        <v>96</v>
      </c>
      <c r="M673" s="12" t="s">
        <v>425</v>
      </c>
    </row>
    <row r="674" spans="1:13" ht="19.95" customHeight="1" x14ac:dyDescent="0.25">
      <c r="A674" s="41">
        <v>45413</v>
      </c>
      <c r="B674" s="47">
        <f>MONTH(Table13[[#This Row],[YearMonth]])</f>
        <v>5</v>
      </c>
      <c r="C674" s="9" t="s">
        <v>149</v>
      </c>
      <c r="D674" s="6" t="s">
        <v>338</v>
      </c>
      <c r="E674" s="6">
        <f>IF(Table13[[#This Row],[Quartile]]="TopQuartile", 1,
 IF(Table13[[#This Row],[Quartile]]="SecondQuartile", 2,
 IF(Table13[[#This Row],[Quartile]]="ThirdQuartile", 3,
 IF(Table13[[#This Row],[Quartile]]="FourthQuartile", 4, ""))))</f>
        <v>2</v>
      </c>
      <c r="F674" s="9" t="s">
        <v>438</v>
      </c>
      <c r="G674" s="9" t="str" cm="1">
        <f t="array" ref="G674">IFERROR(
  INDEX(Table13[Quartile],
    MATCH(1,
      (Table13[[#This Row],[OrgName]]=Table13[OrgName]) *
      (Table13[[#This Row],[Month Number]]-1=Table13[Month Number]),
    0)
  ),
"")</f>
        <v>SecondQuartile</v>
      </c>
      <c r="H674" s="9">
        <f>IF(Table13[[#This Row],[Previous Quartile]]="TopQuartile", 1,
 IF(Table13[[#This Row],[Previous Quartile]]="SecondQuartile", 2,
 IF(Table13[[#This Row],[Previous Quartile]]="ThirdQuartile", 3,
 IF(Table13[[#This Row],[Previous Quartile]]="FourthQuartile", 4, ""))))</f>
        <v>2</v>
      </c>
      <c r="I674" s="9" t="str">
        <f>IF(Table13[[#This Row],[Previous Quartile Value]]="", "",
   IF(Table13[[#This Row],[Quartile Value]] &lt; Table13[[#This Row],[Previous Quartile Value]], "Improved",
   IF(Table13[[#This Row],[Quartile Value]] &gt; Table13[[#This Row],[Previous Quartile Value]], "Dropped", "Same")))</f>
        <v>Same</v>
      </c>
      <c r="J674" s="10" t="s">
        <v>16</v>
      </c>
      <c r="K674" s="7" t="str">
        <f>VLOOKUP(J674,Introduction!$B$6:$C$14,2)</f>
        <v>South East</v>
      </c>
      <c r="L674" s="11">
        <v>279</v>
      </c>
      <c r="M674" s="12" t="s">
        <v>425</v>
      </c>
    </row>
    <row r="675" spans="1:13" ht="19.95" customHeight="1" x14ac:dyDescent="0.25">
      <c r="A675" s="41">
        <v>45413</v>
      </c>
      <c r="B675" s="47">
        <f>MONTH(Table13[[#This Row],[YearMonth]])</f>
        <v>5</v>
      </c>
      <c r="C675" s="9" t="s">
        <v>165</v>
      </c>
      <c r="D675" s="6" t="s">
        <v>338</v>
      </c>
      <c r="E675" s="6">
        <f>IF(Table13[[#This Row],[Quartile]]="TopQuartile", 1,
 IF(Table13[[#This Row],[Quartile]]="SecondQuartile", 2,
 IF(Table13[[#This Row],[Quartile]]="ThirdQuartile", 3,
 IF(Table13[[#This Row],[Quartile]]="FourthQuartile", 4, ""))))</f>
        <v>2</v>
      </c>
      <c r="F675" s="9" t="s">
        <v>443</v>
      </c>
      <c r="G675" s="9" t="str" cm="1">
        <f t="array" ref="G675">IFERROR(
  INDEX(Table13[Quartile],
    MATCH(1,
      (Table13[[#This Row],[OrgName]]=Table13[OrgName]) *
      (Table13[[#This Row],[Month Number]]-1=Table13[Month Number]),
    0)
  ),
"")</f>
        <v>SecondQuartile</v>
      </c>
      <c r="H675" s="9">
        <f>IF(Table13[[#This Row],[Previous Quartile]]="TopQuartile", 1,
 IF(Table13[[#This Row],[Previous Quartile]]="SecondQuartile", 2,
 IF(Table13[[#This Row],[Previous Quartile]]="ThirdQuartile", 3,
 IF(Table13[[#This Row],[Previous Quartile]]="FourthQuartile", 4, ""))))</f>
        <v>2</v>
      </c>
      <c r="I675" s="9" t="str">
        <f>IF(Table13[[#This Row],[Previous Quartile Value]]="", "",
   IF(Table13[[#This Row],[Quartile Value]] &lt; Table13[[#This Row],[Previous Quartile Value]], "Improved",
   IF(Table13[[#This Row],[Quartile Value]] &gt; Table13[[#This Row],[Previous Quartile Value]], "Dropped", "Same")))</f>
        <v>Same</v>
      </c>
      <c r="J675" s="10" t="s">
        <v>24</v>
      </c>
      <c r="K675" s="7" t="str">
        <f>VLOOKUP(J675,Introduction!$B$6:$C$14,2)</f>
        <v>North East and Yorkshire</v>
      </c>
      <c r="L675" s="11">
        <v>356</v>
      </c>
      <c r="M675" s="12" t="s">
        <v>425</v>
      </c>
    </row>
    <row r="676" spans="1:13" ht="19.95" customHeight="1" x14ac:dyDescent="0.25">
      <c r="A676" s="41">
        <v>45413</v>
      </c>
      <c r="B676" s="47">
        <f>MONTH(Table13[[#This Row],[YearMonth]])</f>
        <v>5</v>
      </c>
      <c r="C676" s="9" t="s">
        <v>161</v>
      </c>
      <c r="D676" s="6" t="s">
        <v>338</v>
      </c>
      <c r="E676" s="6">
        <f>IF(Table13[[#This Row],[Quartile]]="TopQuartile", 1,
 IF(Table13[[#This Row],[Quartile]]="SecondQuartile", 2,
 IF(Table13[[#This Row],[Quartile]]="ThirdQuartile", 3,
 IF(Table13[[#This Row],[Quartile]]="FourthQuartile", 4, ""))))</f>
        <v>2</v>
      </c>
      <c r="F676" s="9" t="s">
        <v>442</v>
      </c>
      <c r="G676" s="9" t="str" cm="1">
        <f t="array" ref="G676">IFERROR(
  INDEX(Table13[Quartile],
    MATCH(1,
      (Table13[[#This Row],[OrgName]]=Table13[OrgName]) *
      (Table13[[#This Row],[Month Number]]-1=Table13[Month Number]),
    0)
  ),
"")</f>
        <v>SecondQuartile</v>
      </c>
      <c r="H676" s="9">
        <f>IF(Table13[[#This Row],[Previous Quartile]]="TopQuartile", 1,
 IF(Table13[[#This Row],[Previous Quartile]]="SecondQuartile", 2,
 IF(Table13[[#This Row],[Previous Quartile]]="ThirdQuartile", 3,
 IF(Table13[[#This Row],[Previous Quartile]]="FourthQuartile", 4, ""))))</f>
        <v>2</v>
      </c>
      <c r="I676" s="9" t="str">
        <f>IF(Table13[[#This Row],[Previous Quartile Value]]="", "",
   IF(Table13[[#This Row],[Quartile Value]] &lt; Table13[[#This Row],[Previous Quartile Value]], "Improved",
   IF(Table13[[#This Row],[Quartile Value]] &gt; Table13[[#This Row],[Previous Quartile Value]], "Dropped", "Same")))</f>
        <v>Same</v>
      </c>
      <c r="J676" s="10" t="s">
        <v>16</v>
      </c>
      <c r="K676" s="7" t="str">
        <f>VLOOKUP(J676,Introduction!$B$6:$C$14,2)</f>
        <v>South East</v>
      </c>
      <c r="L676" s="11">
        <v>344</v>
      </c>
      <c r="M676" s="12" t="s">
        <v>425</v>
      </c>
    </row>
    <row r="677" spans="1:13" ht="19.95" customHeight="1" x14ac:dyDescent="0.25">
      <c r="A677" s="41">
        <v>45413</v>
      </c>
      <c r="B677" s="47">
        <f>MONTH(Table13[[#This Row],[YearMonth]])</f>
        <v>5</v>
      </c>
      <c r="C677" s="9" t="s">
        <v>153</v>
      </c>
      <c r="D677" s="6" t="s">
        <v>338</v>
      </c>
      <c r="E677" s="6">
        <f>IF(Table13[[#This Row],[Quartile]]="TopQuartile", 1,
 IF(Table13[[#This Row],[Quartile]]="SecondQuartile", 2,
 IF(Table13[[#This Row],[Quartile]]="ThirdQuartile", 3,
 IF(Table13[[#This Row],[Quartile]]="FourthQuartile", 4, ""))))</f>
        <v>2</v>
      </c>
      <c r="F677" s="9" t="s">
        <v>439</v>
      </c>
      <c r="G677" s="9" t="str" cm="1">
        <f t="array" ref="G677">IFERROR(
  INDEX(Table13[Quartile],
    MATCH(1,
      (Table13[[#This Row],[OrgName]]=Table13[OrgName]) *
      (Table13[[#This Row],[Month Number]]-1=Table13[Month Number]),
    0)
  ),
"")</f>
        <v>SecondQuartile</v>
      </c>
      <c r="H677" s="9">
        <f>IF(Table13[[#This Row],[Previous Quartile]]="TopQuartile", 1,
 IF(Table13[[#This Row],[Previous Quartile]]="SecondQuartile", 2,
 IF(Table13[[#This Row],[Previous Quartile]]="ThirdQuartile", 3,
 IF(Table13[[#This Row],[Previous Quartile]]="FourthQuartile", 4, ""))))</f>
        <v>2</v>
      </c>
      <c r="I677" s="9" t="str">
        <f>IF(Table13[[#This Row],[Previous Quartile Value]]="", "",
   IF(Table13[[#This Row],[Quartile Value]] &lt; Table13[[#This Row],[Previous Quartile Value]], "Improved",
   IF(Table13[[#This Row],[Quartile Value]] &gt; Table13[[#This Row],[Previous Quartile Value]], "Dropped", "Same")))</f>
        <v>Same</v>
      </c>
      <c r="J677" s="10" t="s">
        <v>12</v>
      </c>
      <c r="K677" s="7" t="str">
        <f>VLOOKUP(J677,Introduction!$B$6:$C$14,2)</f>
        <v>London</v>
      </c>
      <c r="L677" s="11">
        <v>293</v>
      </c>
      <c r="M677" s="12" t="s">
        <v>425</v>
      </c>
    </row>
    <row r="678" spans="1:13" ht="19.95" customHeight="1" x14ac:dyDescent="0.25">
      <c r="A678" s="41">
        <v>45413</v>
      </c>
      <c r="B678" s="47">
        <f>MONTH(Table13[[#This Row],[YearMonth]])</f>
        <v>5</v>
      </c>
      <c r="C678" s="9" t="s">
        <v>177</v>
      </c>
      <c r="D678" s="6" t="s">
        <v>341</v>
      </c>
      <c r="E678" s="6">
        <f>IF(Table13[[#This Row],[Quartile]]="TopQuartile", 1,
 IF(Table13[[#This Row],[Quartile]]="SecondQuartile", 2,
 IF(Table13[[#This Row],[Quartile]]="ThirdQuartile", 3,
 IF(Table13[[#This Row],[Quartile]]="FourthQuartile", 4, ""))))</f>
        <v>3</v>
      </c>
      <c r="F678" s="9" t="s">
        <v>446</v>
      </c>
      <c r="G678" s="9" t="str" cm="1">
        <f t="array" ref="G678">IFERROR(
  INDEX(Table13[Quartile],
    MATCH(1,
      (Table13[[#This Row],[OrgName]]=Table13[OrgName]) *
      (Table13[[#This Row],[Month Number]]-1=Table13[Month Number]),
    0)
  ),
"")</f>
        <v>SecondQuartile</v>
      </c>
      <c r="H678" s="9">
        <f>IF(Table13[[#This Row],[Previous Quartile]]="TopQuartile", 1,
 IF(Table13[[#This Row],[Previous Quartile]]="SecondQuartile", 2,
 IF(Table13[[#This Row],[Previous Quartile]]="ThirdQuartile", 3,
 IF(Table13[[#This Row],[Previous Quartile]]="FourthQuartile", 4, ""))))</f>
        <v>2</v>
      </c>
      <c r="I678" s="9" t="str">
        <f>IF(Table13[[#This Row],[Previous Quartile Value]]="", "",
   IF(Table13[[#This Row],[Quartile Value]] &lt; Table13[[#This Row],[Previous Quartile Value]], "Improved",
   IF(Table13[[#This Row],[Quartile Value]] &gt; Table13[[#This Row],[Previous Quartile Value]], "Dropped", "Same")))</f>
        <v>Dropped</v>
      </c>
      <c r="J678" s="10" t="s">
        <v>18</v>
      </c>
      <c r="K678" s="7" t="str">
        <f>VLOOKUP(J678,Introduction!$B$6:$C$14,2)</f>
        <v>Midlands</v>
      </c>
      <c r="L678" s="11">
        <v>358</v>
      </c>
      <c r="M678" s="12" t="s">
        <v>425</v>
      </c>
    </row>
    <row r="679" spans="1:13" ht="19.95" customHeight="1" x14ac:dyDescent="0.25">
      <c r="A679" s="41">
        <v>45413</v>
      </c>
      <c r="B679" s="47">
        <f>MONTH(Table13[[#This Row],[YearMonth]])</f>
        <v>5</v>
      </c>
      <c r="C679" s="9" t="s">
        <v>170</v>
      </c>
      <c r="D679" s="6" t="s">
        <v>341</v>
      </c>
      <c r="E679" s="6">
        <f>IF(Table13[[#This Row],[Quartile]]="TopQuartile", 1,
 IF(Table13[[#This Row],[Quartile]]="SecondQuartile", 2,
 IF(Table13[[#This Row],[Quartile]]="ThirdQuartile", 3,
 IF(Table13[[#This Row],[Quartile]]="FourthQuartile", 4, ""))))</f>
        <v>3</v>
      </c>
      <c r="F679" s="9" t="s">
        <v>445</v>
      </c>
      <c r="G679" s="9" t="str" cm="1">
        <f t="array" ref="G679">IFERROR(
  INDEX(Table13[Quartile],
    MATCH(1,
      (Table13[[#This Row],[OrgName]]=Table13[OrgName]) *
      (Table13[[#This Row],[Month Number]]-1=Table13[Month Number]),
    0)
  ),
"")</f>
        <v>ThirdQuartile</v>
      </c>
      <c r="H679" s="9">
        <f>IF(Table13[[#This Row],[Previous Quartile]]="TopQuartile", 1,
 IF(Table13[[#This Row],[Previous Quartile]]="SecondQuartile", 2,
 IF(Table13[[#This Row],[Previous Quartile]]="ThirdQuartile", 3,
 IF(Table13[[#This Row],[Previous Quartile]]="FourthQuartile", 4, ""))))</f>
        <v>3</v>
      </c>
      <c r="I679" s="9" t="str">
        <f>IF(Table13[[#This Row],[Previous Quartile Value]]="", "",
   IF(Table13[[#This Row],[Quartile Value]] &lt; Table13[[#This Row],[Previous Quartile Value]], "Improved",
   IF(Table13[[#This Row],[Quartile Value]] &gt; Table13[[#This Row],[Previous Quartile Value]], "Dropped", "Same")))</f>
        <v>Same</v>
      </c>
      <c r="J679" s="10" t="s">
        <v>18</v>
      </c>
      <c r="K679" s="7" t="str">
        <f>VLOOKUP(J679,Introduction!$B$6:$C$14,2)</f>
        <v>Midlands</v>
      </c>
      <c r="L679" s="11">
        <v>218</v>
      </c>
      <c r="M679" s="12" t="s">
        <v>425</v>
      </c>
    </row>
    <row r="680" spans="1:13" ht="19.95" customHeight="1" x14ac:dyDescent="0.25">
      <c r="A680" s="41">
        <v>45413</v>
      </c>
      <c r="B680" s="47">
        <f>MONTH(Table13[[#This Row],[YearMonth]])</f>
        <v>5</v>
      </c>
      <c r="C680" s="9" t="s">
        <v>210</v>
      </c>
      <c r="D680" s="6" t="s">
        <v>341</v>
      </c>
      <c r="E680" s="6">
        <f>IF(Table13[[#This Row],[Quartile]]="TopQuartile", 1,
 IF(Table13[[#This Row],[Quartile]]="SecondQuartile", 2,
 IF(Table13[[#This Row],[Quartile]]="ThirdQuartile", 3,
 IF(Table13[[#This Row],[Quartile]]="FourthQuartile", 4, ""))))</f>
        <v>3</v>
      </c>
      <c r="F680" s="9" t="s">
        <v>456</v>
      </c>
      <c r="G680" s="9" t="str" cm="1">
        <f t="array" ref="G680">IFERROR(
  INDEX(Table13[Quartile],
    MATCH(1,
      (Table13[[#This Row],[OrgName]]=Table13[OrgName]) *
      (Table13[[#This Row],[Month Number]]-1=Table13[Month Number]),
    0)
  ),
"")</f>
        <v>ThirdQuartile</v>
      </c>
      <c r="H680" s="9">
        <f>IF(Table13[[#This Row],[Previous Quartile]]="TopQuartile", 1,
 IF(Table13[[#This Row],[Previous Quartile]]="SecondQuartile", 2,
 IF(Table13[[#This Row],[Previous Quartile]]="ThirdQuartile", 3,
 IF(Table13[[#This Row],[Previous Quartile]]="FourthQuartile", 4, ""))))</f>
        <v>3</v>
      </c>
      <c r="I680" s="9" t="str">
        <f>IF(Table13[[#This Row],[Previous Quartile Value]]="", "",
   IF(Table13[[#This Row],[Quartile Value]] &lt; Table13[[#This Row],[Previous Quartile Value]], "Improved",
   IF(Table13[[#This Row],[Quartile Value]] &gt; Table13[[#This Row],[Previous Quartile Value]], "Dropped", "Same")))</f>
        <v>Same</v>
      </c>
      <c r="J680" s="10" t="s">
        <v>20</v>
      </c>
      <c r="K680" s="7" t="str">
        <f>VLOOKUP(J680,Introduction!$B$6:$C$14,2)</f>
        <v>East of England</v>
      </c>
      <c r="L680" s="11">
        <v>360</v>
      </c>
      <c r="M680" s="12" t="s">
        <v>425</v>
      </c>
    </row>
    <row r="681" spans="1:13" ht="19.95" customHeight="1" x14ac:dyDescent="0.25">
      <c r="A681" s="41">
        <v>45413</v>
      </c>
      <c r="B681" s="47">
        <f>MONTH(Table13[[#This Row],[YearMonth]])</f>
        <v>5</v>
      </c>
      <c r="C681" s="9" t="s">
        <v>189</v>
      </c>
      <c r="D681" s="6" t="s">
        <v>341</v>
      </c>
      <c r="E681" s="6">
        <f>IF(Table13[[#This Row],[Quartile]]="TopQuartile", 1,
 IF(Table13[[#This Row],[Quartile]]="SecondQuartile", 2,
 IF(Table13[[#This Row],[Quartile]]="ThirdQuartile", 3,
 IF(Table13[[#This Row],[Quartile]]="FourthQuartile", 4, ""))))</f>
        <v>3</v>
      </c>
      <c r="F681" s="9" t="s">
        <v>448</v>
      </c>
      <c r="G681" s="9" t="str" cm="1">
        <f t="array" ref="G681">IFERROR(
  INDEX(Table13[Quartile],
    MATCH(1,
      (Table13[[#This Row],[OrgName]]=Table13[OrgName]) *
      (Table13[[#This Row],[Month Number]]-1=Table13[Month Number]),
    0)
  ),
"")</f>
        <v>ThirdQuartile</v>
      </c>
      <c r="H681" s="9">
        <f>IF(Table13[[#This Row],[Previous Quartile]]="TopQuartile", 1,
 IF(Table13[[#This Row],[Previous Quartile]]="SecondQuartile", 2,
 IF(Table13[[#This Row],[Previous Quartile]]="ThirdQuartile", 3,
 IF(Table13[[#This Row],[Previous Quartile]]="FourthQuartile", 4, ""))))</f>
        <v>3</v>
      </c>
      <c r="I681" s="9" t="str">
        <f>IF(Table13[[#This Row],[Previous Quartile Value]]="", "",
   IF(Table13[[#This Row],[Quartile Value]] &lt; Table13[[#This Row],[Previous Quartile Value]], "Improved",
   IF(Table13[[#This Row],[Quartile Value]] &gt; Table13[[#This Row],[Previous Quartile Value]], "Dropped", "Same")))</f>
        <v>Same</v>
      </c>
      <c r="J681" s="10" t="s">
        <v>12</v>
      </c>
      <c r="K681" s="7" t="str">
        <f>VLOOKUP(J681,Introduction!$B$6:$C$14,2)</f>
        <v>London</v>
      </c>
      <c r="L681" s="11">
        <v>343</v>
      </c>
      <c r="M681" s="12" t="s">
        <v>425</v>
      </c>
    </row>
    <row r="682" spans="1:13" ht="19.95" customHeight="1" x14ac:dyDescent="0.25">
      <c r="A682" s="41">
        <v>45413</v>
      </c>
      <c r="B682" s="47">
        <f>MONTH(Table13[[#This Row],[YearMonth]])</f>
        <v>5</v>
      </c>
      <c r="C682" s="9" t="s">
        <v>192</v>
      </c>
      <c r="D682" s="6" t="s">
        <v>341</v>
      </c>
      <c r="E682" s="6">
        <f>IF(Table13[[#This Row],[Quartile]]="TopQuartile", 1,
 IF(Table13[[#This Row],[Quartile]]="SecondQuartile", 2,
 IF(Table13[[#This Row],[Quartile]]="ThirdQuartile", 3,
 IF(Table13[[#This Row],[Quartile]]="FourthQuartile", 4, ""))))</f>
        <v>3</v>
      </c>
      <c r="F682" s="9" t="s">
        <v>450</v>
      </c>
      <c r="G682" s="9" t="str" cm="1">
        <f t="array" ref="G682">IFERROR(
  INDEX(Table13[Quartile],
    MATCH(1,
      (Table13[[#This Row],[OrgName]]=Table13[OrgName]) *
      (Table13[[#This Row],[Month Number]]-1=Table13[Month Number]),
    0)
  ),
"")</f>
        <v>ThirdQuartile</v>
      </c>
      <c r="H682" s="9">
        <f>IF(Table13[[#This Row],[Previous Quartile]]="TopQuartile", 1,
 IF(Table13[[#This Row],[Previous Quartile]]="SecondQuartile", 2,
 IF(Table13[[#This Row],[Previous Quartile]]="ThirdQuartile", 3,
 IF(Table13[[#This Row],[Previous Quartile]]="FourthQuartile", 4, ""))))</f>
        <v>3</v>
      </c>
      <c r="I682" s="9" t="str">
        <f>IF(Table13[[#This Row],[Previous Quartile Value]]="", "",
   IF(Table13[[#This Row],[Quartile Value]] &lt; Table13[[#This Row],[Previous Quartile Value]], "Improved",
   IF(Table13[[#This Row],[Quartile Value]] &gt; Table13[[#This Row],[Previous Quartile Value]], "Dropped", "Same")))</f>
        <v>Same</v>
      </c>
      <c r="J682" s="10" t="s">
        <v>12</v>
      </c>
      <c r="K682" s="7" t="str">
        <f>VLOOKUP(J682,Introduction!$B$6:$C$14,2)</f>
        <v>London</v>
      </c>
      <c r="L682" s="11">
        <v>259</v>
      </c>
      <c r="M682" s="12" t="s">
        <v>425</v>
      </c>
    </row>
    <row r="683" spans="1:13" ht="19.95" customHeight="1" x14ac:dyDescent="0.25">
      <c r="A683" s="41">
        <v>45413</v>
      </c>
      <c r="B683" s="47">
        <f>MONTH(Table13[[#This Row],[YearMonth]])</f>
        <v>5</v>
      </c>
      <c r="C683" s="9" t="s">
        <v>190</v>
      </c>
      <c r="D683" s="6" t="s">
        <v>341</v>
      </c>
      <c r="E683" s="6">
        <f>IF(Table13[[#This Row],[Quartile]]="TopQuartile", 1,
 IF(Table13[[#This Row],[Quartile]]="SecondQuartile", 2,
 IF(Table13[[#This Row],[Quartile]]="ThirdQuartile", 3,
 IF(Table13[[#This Row],[Quartile]]="FourthQuartile", 4, ""))))</f>
        <v>3</v>
      </c>
      <c r="F683" s="9" t="s">
        <v>449</v>
      </c>
      <c r="G683" s="9" t="str" cm="1">
        <f t="array" ref="G683">IFERROR(
  INDEX(Table13[Quartile],
    MATCH(1,
      (Table13[[#This Row],[OrgName]]=Table13[OrgName]) *
      (Table13[[#This Row],[Month Number]]-1=Table13[Month Number]),
    0)
  ),
"")</f>
        <v>ThirdQuartile</v>
      </c>
      <c r="H683" s="9">
        <f>IF(Table13[[#This Row],[Previous Quartile]]="TopQuartile", 1,
 IF(Table13[[#This Row],[Previous Quartile]]="SecondQuartile", 2,
 IF(Table13[[#This Row],[Previous Quartile]]="ThirdQuartile", 3,
 IF(Table13[[#This Row],[Previous Quartile]]="FourthQuartile", 4, ""))))</f>
        <v>3</v>
      </c>
      <c r="I683" s="9" t="str">
        <f>IF(Table13[[#This Row],[Previous Quartile Value]]="", "",
   IF(Table13[[#This Row],[Quartile Value]] &lt; Table13[[#This Row],[Previous Quartile Value]], "Improved",
   IF(Table13[[#This Row],[Quartile Value]] &gt; Table13[[#This Row],[Previous Quartile Value]], "Dropped", "Same")))</f>
        <v>Same</v>
      </c>
      <c r="J683" s="10" t="s">
        <v>12</v>
      </c>
      <c r="K683" s="7" t="str">
        <f>VLOOKUP(J683,Introduction!$B$6:$C$14,2)</f>
        <v>London</v>
      </c>
      <c r="L683" s="11">
        <v>200</v>
      </c>
      <c r="M683" s="12" t="s">
        <v>425</v>
      </c>
    </row>
    <row r="684" spans="1:13" ht="19.95" customHeight="1" x14ac:dyDescent="0.25">
      <c r="A684" s="41">
        <v>45413</v>
      </c>
      <c r="B684" s="47">
        <f>MONTH(Table13[[#This Row],[YearMonth]])</f>
        <v>5</v>
      </c>
      <c r="C684" s="9" t="s">
        <v>194</v>
      </c>
      <c r="D684" s="6" t="s">
        <v>341</v>
      </c>
      <c r="E684" s="6">
        <f>IF(Table13[[#This Row],[Quartile]]="TopQuartile", 1,
 IF(Table13[[#This Row],[Quartile]]="SecondQuartile", 2,
 IF(Table13[[#This Row],[Quartile]]="ThirdQuartile", 3,
 IF(Table13[[#This Row],[Quartile]]="FourthQuartile", 4, ""))))</f>
        <v>3</v>
      </c>
      <c r="F684" s="9" t="s">
        <v>451</v>
      </c>
      <c r="G684" s="9" t="str" cm="1">
        <f t="array" ref="G684">IFERROR(
  INDEX(Table13[Quartile],
    MATCH(1,
      (Table13[[#This Row],[OrgName]]=Table13[OrgName]) *
      (Table13[[#This Row],[Month Number]]-1=Table13[Month Number]),
    0)
  ),
"")</f>
        <v>ThirdQuartile</v>
      </c>
      <c r="H684" s="9">
        <f>IF(Table13[[#This Row],[Previous Quartile]]="TopQuartile", 1,
 IF(Table13[[#This Row],[Previous Quartile]]="SecondQuartile", 2,
 IF(Table13[[#This Row],[Previous Quartile]]="ThirdQuartile", 3,
 IF(Table13[[#This Row],[Previous Quartile]]="FourthQuartile", 4, ""))))</f>
        <v>3</v>
      </c>
      <c r="I684" s="9" t="str">
        <f>IF(Table13[[#This Row],[Previous Quartile Value]]="", "",
   IF(Table13[[#This Row],[Quartile Value]] &lt; Table13[[#This Row],[Previous Quartile Value]], "Improved",
   IF(Table13[[#This Row],[Quartile Value]] &gt; Table13[[#This Row],[Previous Quartile Value]], "Dropped", "Same")))</f>
        <v>Same</v>
      </c>
      <c r="J684" s="10" t="s">
        <v>12</v>
      </c>
      <c r="K684" s="7" t="str">
        <f>VLOOKUP(J684,Introduction!$B$6:$C$14,2)</f>
        <v>London</v>
      </c>
      <c r="L684" s="11">
        <v>393</v>
      </c>
      <c r="M684" s="12" t="s">
        <v>425</v>
      </c>
    </row>
    <row r="685" spans="1:13" ht="19.95" customHeight="1" x14ac:dyDescent="0.25">
      <c r="A685" s="41">
        <v>45413</v>
      </c>
      <c r="B685" s="47">
        <f>MONTH(Table13[[#This Row],[YearMonth]])</f>
        <v>5</v>
      </c>
      <c r="C685" s="9" t="s">
        <v>198</v>
      </c>
      <c r="D685" s="6" t="s">
        <v>341</v>
      </c>
      <c r="E685" s="6">
        <f>IF(Table13[[#This Row],[Quartile]]="TopQuartile", 1,
 IF(Table13[[#This Row],[Quartile]]="SecondQuartile", 2,
 IF(Table13[[#This Row],[Quartile]]="ThirdQuartile", 3,
 IF(Table13[[#This Row],[Quartile]]="FourthQuartile", 4, ""))))</f>
        <v>3</v>
      </c>
      <c r="F685" s="9" t="s">
        <v>454</v>
      </c>
      <c r="G685" s="9" t="str" cm="1">
        <f t="array" ref="G685">IFERROR(
  INDEX(Table13[Quartile],
    MATCH(1,
      (Table13[[#This Row],[OrgName]]=Table13[OrgName]) *
      (Table13[[#This Row],[Month Number]]-1=Table13[Month Number]),
    0)
  ),
"")</f>
        <v>ThirdQuartile</v>
      </c>
      <c r="H685" s="9">
        <f>IF(Table13[[#This Row],[Previous Quartile]]="TopQuartile", 1,
 IF(Table13[[#This Row],[Previous Quartile]]="SecondQuartile", 2,
 IF(Table13[[#This Row],[Previous Quartile]]="ThirdQuartile", 3,
 IF(Table13[[#This Row],[Previous Quartile]]="FourthQuartile", 4, ""))))</f>
        <v>3</v>
      </c>
      <c r="I685" s="9" t="str">
        <f>IF(Table13[[#This Row],[Previous Quartile Value]]="", "",
   IF(Table13[[#This Row],[Quartile Value]] &lt; Table13[[#This Row],[Previous Quartile Value]], "Improved",
   IF(Table13[[#This Row],[Quartile Value]] &gt; Table13[[#This Row],[Previous Quartile Value]], "Dropped", "Same")))</f>
        <v>Same</v>
      </c>
      <c r="J685" s="10" t="s">
        <v>22</v>
      </c>
      <c r="K685" s="7" t="str">
        <f>VLOOKUP(J685,Introduction!$B$6:$C$14,2)</f>
        <v>North West</v>
      </c>
      <c r="L685" s="11">
        <v>370</v>
      </c>
      <c r="M685" s="12" t="s">
        <v>425</v>
      </c>
    </row>
    <row r="686" spans="1:13" ht="19.95" customHeight="1" x14ac:dyDescent="0.25">
      <c r="A686" s="41">
        <v>45413</v>
      </c>
      <c r="B686" s="47">
        <f>MONTH(Table13[[#This Row],[YearMonth]])</f>
        <v>5</v>
      </c>
      <c r="C686" s="9" t="s">
        <v>195</v>
      </c>
      <c r="D686" s="6" t="s">
        <v>341</v>
      </c>
      <c r="E686" s="6">
        <f>IF(Table13[[#This Row],[Quartile]]="TopQuartile", 1,
 IF(Table13[[#This Row],[Quartile]]="SecondQuartile", 2,
 IF(Table13[[#This Row],[Quartile]]="ThirdQuartile", 3,
 IF(Table13[[#This Row],[Quartile]]="FourthQuartile", 4, ""))))</f>
        <v>3</v>
      </c>
      <c r="F686" s="9" t="s">
        <v>452</v>
      </c>
      <c r="G686" s="9" t="str" cm="1">
        <f t="array" ref="G686">IFERROR(
  INDEX(Table13[Quartile],
    MATCH(1,
      (Table13[[#This Row],[OrgName]]=Table13[OrgName]) *
      (Table13[[#This Row],[Month Number]]-1=Table13[Month Number]),
    0)
  ),
"")</f>
        <v>ThirdQuartile</v>
      </c>
      <c r="H686" s="9">
        <f>IF(Table13[[#This Row],[Previous Quartile]]="TopQuartile", 1,
 IF(Table13[[#This Row],[Previous Quartile]]="SecondQuartile", 2,
 IF(Table13[[#This Row],[Previous Quartile]]="ThirdQuartile", 3,
 IF(Table13[[#This Row],[Previous Quartile]]="FourthQuartile", 4, ""))))</f>
        <v>3</v>
      </c>
      <c r="I686" s="9" t="str">
        <f>IF(Table13[[#This Row],[Previous Quartile Value]]="", "",
   IF(Table13[[#This Row],[Quartile Value]] &lt; Table13[[#This Row],[Previous Quartile Value]], "Improved",
   IF(Table13[[#This Row],[Quartile Value]] &gt; Table13[[#This Row],[Previous Quartile Value]], "Dropped", "Same")))</f>
        <v>Same</v>
      </c>
      <c r="J686" s="10" t="s">
        <v>24</v>
      </c>
      <c r="K686" s="7" t="str">
        <f>VLOOKUP(J686,Introduction!$B$6:$C$14,2)</f>
        <v>North East and Yorkshire</v>
      </c>
      <c r="L686" s="11">
        <v>377</v>
      </c>
      <c r="M686" s="12" t="s">
        <v>425</v>
      </c>
    </row>
    <row r="687" spans="1:13" ht="19.95" customHeight="1" x14ac:dyDescent="0.25">
      <c r="A687" s="41">
        <v>45413</v>
      </c>
      <c r="B687" s="47">
        <f>MONTH(Table13[[#This Row],[YearMonth]])</f>
        <v>5</v>
      </c>
      <c r="C687" s="9" t="s">
        <v>197</v>
      </c>
      <c r="D687" s="6" t="s">
        <v>341</v>
      </c>
      <c r="E687" s="6">
        <f>IF(Table13[[#This Row],[Quartile]]="TopQuartile", 1,
 IF(Table13[[#This Row],[Quartile]]="SecondQuartile", 2,
 IF(Table13[[#This Row],[Quartile]]="ThirdQuartile", 3,
 IF(Table13[[#This Row],[Quartile]]="FourthQuartile", 4, ""))))</f>
        <v>3</v>
      </c>
      <c r="F687" s="9" t="s">
        <v>453</v>
      </c>
      <c r="G687" s="9" t="str" cm="1">
        <f t="array" ref="G687">IFERROR(
  INDEX(Table13[Quartile],
    MATCH(1,
      (Table13[[#This Row],[OrgName]]=Table13[OrgName]) *
      (Table13[[#This Row],[Month Number]]-1=Table13[Month Number]),
    0)
  ),
"")</f>
        <v>ThirdQuartile</v>
      </c>
      <c r="H687" s="9">
        <f>IF(Table13[[#This Row],[Previous Quartile]]="TopQuartile", 1,
 IF(Table13[[#This Row],[Previous Quartile]]="SecondQuartile", 2,
 IF(Table13[[#This Row],[Previous Quartile]]="ThirdQuartile", 3,
 IF(Table13[[#This Row],[Previous Quartile]]="FourthQuartile", 4, ""))))</f>
        <v>3</v>
      </c>
      <c r="I687" s="9" t="str">
        <f>IF(Table13[[#This Row],[Previous Quartile Value]]="", "",
   IF(Table13[[#This Row],[Quartile Value]] &lt; Table13[[#This Row],[Previous Quartile Value]], "Improved",
   IF(Table13[[#This Row],[Quartile Value]] &gt; Table13[[#This Row],[Previous Quartile Value]], "Dropped", "Same")))</f>
        <v>Same</v>
      </c>
      <c r="J687" s="10" t="s">
        <v>24</v>
      </c>
      <c r="K687" s="7" t="str">
        <f>VLOOKUP(J687,Introduction!$B$6:$C$14,2)</f>
        <v>North East and Yorkshire</v>
      </c>
      <c r="L687" s="11">
        <v>328</v>
      </c>
      <c r="M687" s="12" t="s">
        <v>425</v>
      </c>
    </row>
    <row r="688" spans="1:13" ht="19.95" customHeight="1" x14ac:dyDescent="0.25">
      <c r="A688" s="41">
        <v>45413</v>
      </c>
      <c r="B688" s="47">
        <f>MONTH(Table13[[#This Row],[YearMonth]])</f>
        <v>5</v>
      </c>
      <c r="C688" s="9" t="s">
        <v>179</v>
      </c>
      <c r="D688" s="6" t="s">
        <v>341</v>
      </c>
      <c r="E688" s="6">
        <f>IF(Table13[[#This Row],[Quartile]]="TopQuartile", 1,
 IF(Table13[[#This Row],[Quartile]]="SecondQuartile", 2,
 IF(Table13[[#This Row],[Quartile]]="ThirdQuartile", 3,
 IF(Table13[[#This Row],[Quartile]]="FourthQuartile", 4, ""))))</f>
        <v>3</v>
      </c>
      <c r="F688" s="9" t="s">
        <v>447</v>
      </c>
      <c r="G688" s="9" t="str" cm="1">
        <f t="array" ref="G688">IFERROR(
  INDEX(Table13[Quartile],
    MATCH(1,
      (Table13[[#This Row],[OrgName]]=Table13[OrgName]) *
      (Table13[[#This Row],[Month Number]]-1=Table13[Month Number]),
    0)
  ),
"")</f>
        <v>ThirdQuartile</v>
      </c>
      <c r="H688" s="9">
        <f>IF(Table13[[#This Row],[Previous Quartile]]="TopQuartile", 1,
 IF(Table13[[#This Row],[Previous Quartile]]="SecondQuartile", 2,
 IF(Table13[[#This Row],[Previous Quartile]]="ThirdQuartile", 3,
 IF(Table13[[#This Row],[Previous Quartile]]="FourthQuartile", 4, ""))))</f>
        <v>3</v>
      </c>
      <c r="I688" s="9" t="str">
        <f>IF(Table13[[#This Row],[Previous Quartile Value]]="", "",
   IF(Table13[[#This Row],[Quartile Value]] &lt; Table13[[#This Row],[Previous Quartile Value]], "Improved",
   IF(Table13[[#This Row],[Quartile Value]] &gt; Table13[[#This Row],[Previous Quartile Value]], "Dropped", "Same")))</f>
        <v>Same</v>
      </c>
      <c r="J688" s="10" t="s">
        <v>20</v>
      </c>
      <c r="K688" s="7" t="str">
        <f>VLOOKUP(J688,Introduction!$B$6:$C$14,2)</f>
        <v>East of England</v>
      </c>
      <c r="L688" s="11">
        <v>430</v>
      </c>
      <c r="M688" s="12" t="s">
        <v>425</v>
      </c>
    </row>
    <row r="689" spans="1:13" ht="19.95" customHeight="1" x14ac:dyDescent="0.25">
      <c r="A689" s="41">
        <v>45413</v>
      </c>
      <c r="B689" s="47">
        <f>MONTH(Table13[[#This Row],[YearMonth]])</f>
        <v>5</v>
      </c>
      <c r="C689" s="9" t="s">
        <v>207</v>
      </c>
      <c r="D689" s="6" t="s">
        <v>341</v>
      </c>
      <c r="E689" s="6">
        <f>IF(Table13[[#This Row],[Quartile]]="TopQuartile", 1,
 IF(Table13[[#This Row],[Quartile]]="SecondQuartile", 2,
 IF(Table13[[#This Row],[Quartile]]="ThirdQuartile", 3,
 IF(Table13[[#This Row],[Quartile]]="FourthQuartile", 4, ""))))</f>
        <v>3</v>
      </c>
      <c r="F689" s="9" t="s">
        <v>455</v>
      </c>
      <c r="G689" s="9" t="str" cm="1">
        <f t="array" ref="G689">IFERROR(
  INDEX(Table13[Quartile],
    MATCH(1,
      (Table13[[#This Row],[OrgName]]=Table13[OrgName]) *
      (Table13[[#This Row],[Month Number]]-1=Table13[Month Number]),
    0)
  ),
"")</f>
        <v>ThirdQuartile</v>
      </c>
      <c r="H689" s="9">
        <f>IF(Table13[[#This Row],[Previous Quartile]]="TopQuartile", 1,
 IF(Table13[[#This Row],[Previous Quartile]]="SecondQuartile", 2,
 IF(Table13[[#This Row],[Previous Quartile]]="ThirdQuartile", 3,
 IF(Table13[[#This Row],[Previous Quartile]]="FourthQuartile", 4, ""))))</f>
        <v>3</v>
      </c>
      <c r="I689" s="9" t="str">
        <f>IF(Table13[[#This Row],[Previous Quartile Value]]="", "",
   IF(Table13[[#This Row],[Quartile Value]] &lt; Table13[[#This Row],[Previous Quartile Value]], "Improved",
   IF(Table13[[#This Row],[Quartile Value]] &gt; Table13[[#This Row],[Previous Quartile Value]], "Dropped", "Same")))</f>
        <v>Same</v>
      </c>
      <c r="J689" s="10" t="s">
        <v>20</v>
      </c>
      <c r="K689" s="7" t="str">
        <f>VLOOKUP(J689,Introduction!$B$6:$C$14,2)</f>
        <v>East of England</v>
      </c>
      <c r="L689" s="11">
        <v>177</v>
      </c>
      <c r="M689" s="12" t="s">
        <v>425</v>
      </c>
    </row>
    <row r="690" spans="1:13" ht="19.95" customHeight="1" x14ac:dyDescent="0.25">
      <c r="A690" s="41">
        <v>45413</v>
      </c>
      <c r="B690" s="47">
        <f>MONTH(Table13[[#This Row],[YearMonth]])</f>
        <v>5</v>
      </c>
      <c r="C690" s="9" t="s">
        <v>211</v>
      </c>
      <c r="D690" s="6" t="s">
        <v>350</v>
      </c>
      <c r="E690" s="6">
        <f>IF(Table13[[#This Row],[Quartile]]="TopQuartile", 1,
 IF(Table13[[#This Row],[Quartile]]="SecondQuartile", 2,
 IF(Table13[[#This Row],[Quartile]]="ThirdQuartile", 3,
 IF(Table13[[#This Row],[Quartile]]="FourthQuartile", 4, ""))))</f>
        <v>4</v>
      </c>
      <c r="F690" s="9" t="s">
        <v>457</v>
      </c>
      <c r="G690" s="9" t="str" cm="1">
        <f t="array" ref="G690">IFERROR(
  INDEX(Table13[Quartile],
    MATCH(1,
      (Table13[[#This Row],[OrgName]]=Table13[OrgName]) *
      (Table13[[#This Row],[Month Number]]-1=Table13[Month Number]),
    0)
  ),
"")</f>
        <v>ThirdQuartile</v>
      </c>
      <c r="H690" s="9">
        <f>IF(Table13[[#This Row],[Previous Quartile]]="TopQuartile", 1,
 IF(Table13[[#This Row],[Previous Quartile]]="SecondQuartile", 2,
 IF(Table13[[#This Row],[Previous Quartile]]="ThirdQuartile", 3,
 IF(Table13[[#This Row],[Previous Quartile]]="FourthQuartile", 4, ""))))</f>
        <v>3</v>
      </c>
      <c r="I690" s="9" t="str">
        <f>IF(Table13[[#This Row],[Previous Quartile Value]]="", "",
   IF(Table13[[#This Row],[Quartile Value]] &lt; Table13[[#This Row],[Previous Quartile Value]], "Improved",
   IF(Table13[[#This Row],[Quartile Value]] &gt; Table13[[#This Row],[Previous Quartile Value]], "Dropped", "Same")))</f>
        <v>Dropped</v>
      </c>
      <c r="J690" s="10" t="s">
        <v>12</v>
      </c>
      <c r="K690" s="7" t="str">
        <f>VLOOKUP(J690,Introduction!$B$6:$C$14,2)</f>
        <v>London</v>
      </c>
      <c r="L690" s="11">
        <v>213</v>
      </c>
      <c r="M690" s="12" t="s">
        <v>425</v>
      </c>
    </row>
    <row r="691" spans="1:13" ht="19.95" customHeight="1" x14ac:dyDescent="0.25">
      <c r="A691" s="41">
        <v>45413</v>
      </c>
      <c r="B691" s="47">
        <f>MONTH(Table13[[#This Row],[YearMonth]])</f>
        <v>5</v>
      </c>
      <c r="C691" s="9" t="s">
        <v>168</v>
      </c>
      <c r="D691" s="6" t="s">
        <v>350</v>
      </c>
      <c r="E691" s="6">
        <f>IF(Table13[[#This Row],[Quartile]]="TopQuartile", 1,
 IF(Table13[[#This Row],[Quartile]]="SecondQuartile", 2,
 IF(Table13[[#This Row],[Quartile]]="ThirdQuartile", 3,
 IF(Table13[[#This Row],[Quartile]]="FourthQuartile", 4, ""))))</f>
        <v>4</v>
      </c>
      <c r="F691" s="9" t="s">
        <v>444</v>
      </c>
      <c r="G691" s="9" t="str" cm="1">
        <f t="array" ref="G691">IFERROR(
  INDEX(Table13[Quartile],
    MATCH(1,
      (Table13[[#This Row],[OrgName]]=Table13[OrgName]) *
      (Table13[[#This Row],[Month Number]]-1=Table13[Month Number]),
    0)
  ),
"")</f>
        <v>ThirdQuartile</v>
      </c>
      <c r="H691" s="9">
        <f>IF(Table13[[#This Row],[Previous Quartile]]="TopQuartile", 1,
 IF(Table13[[#This Row],[Previous Quartile]]="SecondQuartile", 2,
 IF(Table13[[#This Row],[Previous Quartile]]="ThirdQuartile", 3,
 IF(Table13[[#This Row],[Previous Quartile]]="FourthQuartile", 4, ""))))</f>
        <v>3</v>
      </c>
      <c r="I691" s="9" t="str">
        <f>IF(Table13[[#This Row],[Previous Quartile Value]]="", "",
   IF(Table13[[#This Row],[Quartile Value]] &lt; Table13[[#This Row],[Previous Quartile Value]], "Improved",
   IF(Table13[[#This Row],[Quartile Value]] &gt; Table13[[#This Row],[Previous Quartile Value]], "Dropped", "Same")))</f>
        <v>Dropped</v>
      </c>
      <c r="J691" s="10" t="s">
        <v>12</v>
      </c>
      <c r="K691" s="7" t="str">
        <f>VLOOKUP(J691,Introduction!$B$6:$C$14,2)</f>
        <v>London</v>
      </c>
      <c r="L691" s="11">
        <v>309</v>
      </c>
      <c r="M691" s="12" t="s">
        <v>425</v>
      </c>
    </row>
    <row r="692" spans="1:13" ht="19.95" customHeight="1" x14ac:dyDescent="0.25">
      <c r="A692" s="41">
        <v>45413</v>
      </c>
      <c r="B692" s="47">
        <f>MONTH(Table13[[#This Row],[YearMonth]])</f>
        <v>5</v>
      </c>
      <c r="C692" s="9" t="s">
        <v>225</v>
      </c>
      <c r="D692" s="6" t="s">
        <v>350</v>
      </c>
      <c r="E692" s="6">
        <f>IF(Table13[[#This Row],[Quartile]]="TopQuartile", 1,
 IF(Table13[[#This Row],[Quartile]]="SecondQuartile", 2,
 IF(Table13[[#This Row],[Quartile]]="ThirdQuartile", 3,
 IF(Table13[[#This Row],[Quartile]]="FourthQuartile", 4, ""))))</f>
        <v>4</v>
      </c>
      <c r="F692" s="9" t="s">
        <v>460</v>
      </c>
      <c r="G692" s="9" t="str" cm="1">
        <f t="array" ref="G692">IFERROR(
  INDEX(Table13[Quartile],
    MATCH(1,
      (Table13[[#This Row],[OrgName]]=Table13[OrgName]) *
      (Table13[[#This Row],[Month Number]]-1=Table13[Month Number]),
    0)
  ),
"")</f>
        <v>ThirdQuartile</v>
      </c>
      <c r="H692" s="9">
        <f>IF(Table13[[#This Row],[Previous Quartile]]="TopQuartile", 1,
 IF(Table13[[#This Row],[Previous Quartile]]="SecondQuartile", 2,
 IF(Table13[[#This Row],[Previous Quartile]]="ThirdQuartile", 3,
 IF(Table13[[#This Row],[Previous Quartile]]="FourthQuartile", 4, ""))))</f>
        <v>3</v>
      </c>
      <c r="I692" s="9" t="str">
        <f>IF(Table13[[#This Row],[Previous Quartile Value]]="", "",
   IF(Table13[[#This Row],[Quartile Value]] &lt; Table13[[#This Row],[Previous Quartile Value]], "Improved",
   IF(Table13[[#This Row],[Quartile Value]] &gt; Table13[[#This Row],[Previous Quartile Value]], "Dropped", "Same")))</f>
        <v>Dropped</v>
      </c>
      <c r="J692" s="10" t="s">
        <v>14</v>
      </c>
      <c r="K692" s="7" t="str">
        <f>VLOOKUP(J692,Introduction!$B$6:$C$14,2)</f>
        <v>South West</v>
      </c>
      <c r="L692" s="11">
        <v>216</v>
      </c>
      <c r="M692" s="12" t="s">
        <v>425</v>
      </c>
    </row>
    <row r="693" spans="1:13" ht="19.95" customHeight="1" x14ac:dyDescent="0.25">
      <c r="A693" s="41">
        <v>45413</v>
      </c>
      <c r="B693" s="47">
        <f>MONTH(Table13[[#This Row],[YearMonth]])</f>
        <v>5</v>
      </c>
      <c r="C693" s="9" t="s">
        <v>222</v>
      </c>
      <c r="D693" s="6" t="s">
        <v>350</v>
      </c>
      <c r="E693" s="6">
        <f>IF(Table13[[#This Row],[Quartile]]="TopQuartile", 1,
 IF(Table13[[#This Row],[Quartile]]="SecondQuartile", 2,
 IF(Table13[[#This Row],[Quartile]]="ThirdQuartile", 3,
 IF(Table13[[#This Row],[Quartile]]="FourthQuartile", 4, ""))))</f>
        <v>4</v>
      </c>
      <c r="F693" s="9" t="s">
        <v>458</v>
      </c>
      <c r="G693" s="9" t="str" cm="1">
        <f t="array" ref="G693">IFERROR(
  INDEX(Table13[Quartile],
    MATCH(1,
      (Table13[[#This Row],[OrgName]]=Table13[OrgName]) *
      (Table13[[#This Row],[Month Number]]-1=Table13[Month Number]),
    0)
  ),
"")</f>
        <v>ThirdQuartile</v>
      </c>
      <c r="H693" s="9">
        <f>IF(Table13[[#This Row],[Previous Quartile]]="TopQuartile", 1,
 IF(Table13[[#This Row],[Previous Quartile]]="SecondQuartile", 2,
 IF(Table13[[#This Row],[Previous Quartile]]="ThirdQuartile", 3,
 IF(Table13[[#This Row],[Previous Quartile]]="FourthQuartile", 4, ""))))</f>
        <v>3</v>
      </c>
      <c r="I693" s="9" t="str">
        <f>IF(Table13[[#This Row],[Previous Quartile Value]]="", "",
   IF(Table13[[#This Row],[Quartile Value]] &lt; Table13[[#This Row],[Previous Quartile Value]], "Improved",
   IF(Table13[[#This Row],[Quartile Value]] &gt; Table13[[#This Row],[Previous Quartile Value]], "Dropped", "Same")))</f>
        <v>Dropped</v>
      </c>
      <c r="J693" s="10" t="s">
        <v>24</v>
      </c>
      <c r="K693" s="7" t="str">
        <f>VLOOKUP(J693,Introduction!$B$6:$C$14,2)</f>
        <v>North East and Yorkshire</v>
      </c>
      <c r="L693" s="11">
        <v>298</v>
      </c>
      <c r="M693" s="12" t="s">
        <v>425</v>
      </c>
    </row>
    <row r="694" spans="1:13" ht="19.95" customHeight="1" x14ac:dyDescent="0.25">
      <c r="A694" s="41">
        <v>45413</v>
      </c>
      <c r="B694" s="47">
        <f>MONTH(Table13[[#This Row],[YearMonth]])</f>
        <v>5</v>
      </c>
      <c r="C694" s="9" t="s">
        <v>223</v>
      </c>
      <c r="D694" s="6" t="s">
        <v>350</v>
      </c>
      <c r="E694" s="6">
        <f>IF(Table13[[#This Row],[Quartile]]="TopQuartile", 1,
 IF(Table13[[#This Row],[Quartile]]="SecondQuartile", 2,
 IF(Table13[[#This Row],[Quartile]]="ThirdQuartile", 3,
 IF(Table13[[#This Row],[Quartile]]="FourthQuartile", 4, ""))))</f>
        <v>4</v>
      </c>
      <c r="F694" s="9" t="s">
        <v>459</v>
      </c>
      <c r="G694" s="9" t="str" cm="1">
        <f t="array" ref="G694">IFERROR(
  INDEX(Table13[Quartile],
    MATCH(1,
      (Table13[[#This Row],[OrgName]]=Table13[OrgName]) *
      (Table13[[#This Row],[Month Number]]-1=Table13[Month Number]),
    0)
  ),
"")</f>
        <v>ThirdQuartile</v>
      </c>
      <c r="H694" s="9">
        <f>IF(Table13[[#This Row],[Previous Quartile]]="TopQuartile", 1,
 IF(Table13[[#This Row],[Previous Quartile]]="SecondQuartile", 2,
 IF(Table13[[#This Row],[Previous Quartile]]="ThirdQuartile", 3,
 IF(Table13[[#This Row],[Previous Quartile]]="FourthQuartile", 4, ""))))</f>
        <v>3</v>
      </c>
      <c r="I694" s="9" t="str">
        <f>IF(Table13[[#This Row],[Previous Quartile Value]]="", "",
   IF(Table13[[#This Row],[Quartile Value]] &lt; Table13[[#This Row],[Previous Quartile Value]], "Improved",
   IF(Table13[[#This Row],[Quartile Value]] &gt; Table13[[#This Row],[Previous Quartile Value]], "Dropped", "Same")))</f>
        <v>Dropped</v>
      </c>
      <c r="J694" s="10" t="s">
        <v>22</v>
      </c>
      <c r="K694" s="7" t="str">
        <f>VLOOKUP(J694,Introduction!$B$6:$C$14,2)</f>
        <v>North West</v>
      </c>
      <c r="L694" s="11">
        <v>382</v>
      </c>
      <c r="M694" s="12" t="s">
        <v>425</v>
      </c>
    </row>
    <row r="695" spans="1:13" ht="19.95" customHeight="1" x14ac:dyDescent="0.25">
      <c r="A695" s="41">
        <v>45413</v>
      </c>
      <c r="B695" s="47">
        <f>MONTH(Table13[[#This Row],[YearMonth]])</f>
        <v>5</v>
      </c>
      <c r="C695" s="9" t="s">
        <v>235</v>
      </c>
      <c r="D695" s="6" t="s">
        <v>350</v>
      </c>
      <c r="E695" s="6">
        <f>IF(Table13[[#This Row],[Quartile]]="TopQuartile", 1,
 IF(Table13[[#This Row],[Quartile]]="SecondQuartile", 2,
 IF(Table13[[#This Row],[Quartile]]="ThirdQuartile", 3,
 IF(Table13[[#This Row],[Quartile]]="FourthQuartile", 4, ""))))</f>
        <v>4</v>
      </c>
      <c r="F695" s="9" t="s">
        <v>461</v>
      </c>
      <c r="G695" s="9" t="str" cm="1">
        <f t="array" ref="G695">IFERROR(
  INDEX(Table13[Quartile],
    MATCH(1,
      (Table13[[#This Row],[OrgName]]=Table13[OrgName]) *
      (Table13[[#This Row],[Month Number]]-1=Table13[Month Number]),
    0)
  ),
"")</f>
        <v>ThirdQuartile</v>
      </c>
      <c r="H695" s="9">
        <f>IF(Table13[[#This Row],[Previous Quartile]]="TopQuartile", 1,
 IF(Table13[[#This Row],[Previous Quartile]]="SecondQuartile", 2,
 IF(Table13[[#This Row],[Previous Quartile]]="ThirdQuartile", 3,
 IF(Table13[[#This Row],[Previous Quartile]]="FourthQuartile", 4, ""))))</f>
        <v>3</v>
      </c>
      <c r="I695" s="9" t="str">
        <f>IF(Table13[[#This Row],[Previous Quartile Value]]="", "",
   IF(Table13[[#This Row],[Quartile Value]] &lt; Table13[[#This Row],[Previous Quartile Value]], "Improved",
   IF(Table13[[#This Row],[Quartile Value]] &gt; Table13[[#This Row],[Previous Quartile Value]], "Dropped", "Same")))</f>
        <v>Dropped</v>
      </c>
      <c r="J695" s="10" t="s">
        <v>12</v>
      </c>
      <c r="K695" s="7" t="str">
        <f>VLOOKUP(J695,Introduction!$B$6:$C$14,2)</f>
        <v>London</v>
      </c>
      <c r="L695" s="11">
        <v>337</v>
      </c>
      <c r="M695" s="12" t="s">
        <v>425</v>
      </c>
    </row>
    <row r="696" spans="1:13" ht="19.95" customHeight="1" x14ac:dyDescent="0.25">
      <c r="A696" s="41">
        <v>45413</v>
      </c>
      <c r="B696" s="47">
        <f>MONTH(Table13[[#This Row],[YearMonth]])</f>
        <v>5</v>
      </c>
      <c r="C696" s="9" t="s">
        <v>160</v>
      </c>
      <c r="D696" s="6" t="s">
        <v>350</v>
      </c>
      <c r="E696" s="6">
        <f>IF(Table13[[#This Row],[Quartile]]="TopQuartile", 1,
 IF(Table13[[#This Row],[Quartile]]="SecondQuartile", 2,
 IF(Table13[[#This Row],[Quartile]]="ThirdQuartile", 3,
 IF(Table13[[#This Row],[Quartile]]="FourthQuartile", 4, ""))))</f>
        <v>4</v>
      </c>
      <c r="F696" s="9" t="s">
        <v>441</v>
      </c>
      <c r="G696" s="9" t="str" cm="1">
        <f t="array" ref="G696">IFERROR(
  INDEX(Table13[Quartile],
    MATCH(1,
      (Table13[[#This Row],[OrgName]]=Table13[OrgName]) *
      (Table13[[#This Row],[Month Number]]-1=Table13[Month Number]),
    0)
  ),
"")</f>
        <v>FourthQuartile</v>
      </c>
      <c r="H696" s="9">
        <f>IF(Table13[[#This Row],[Previous Quartile]]="TopQuartile", 1,
 IF(Table13[[#This Row],[Previous Quartile]]="SecondQuartile", 2,
 IF(Table13[[#This Row],[Previous Quartile]]="ThirdQuartile", 3,
 IF(Table13[[#This Row],[Previous Quartile]]="FourthQuartile", 4, ""))))</f>
        <v>4</v>
      </c>
      <c r="I696" s="9" t="str">
        <f>IF(Table13[[#This Row],[Previous Quartile Value]]="", "",
   IF(Table13[[#This Row],[Quartile Value]] &lt; Table13[[#This Row],[Previous Quartile Value]], "Improved",
   IF(Table13[[#This Row],[Quartile Value]] &gt; Table13[[#This Row],[Previous Quartile Value]], "Dropped", "Same")))</f>
        <v>Same</v>
      </c>
      <c r="J696" s="10" t="s">
        <v>24</v>
      </c>
      <c r="K696" s="7" t="str">
        <f>VLOOKUP(J696,Introduction!$B$6:$C$14,2)</f>
        <v>North East and Yorkshire</v>
      </c>
      <c r="L696" s="11">
        <v>272</v>
      </c>
      <c r="M696" s="12" t="s">
        <v>425</v>
      </c>
    </row>
    <row r="697" spans="1:13" ht="19.95" customHeight="1" x14ac:dyDescent="0.25">
      <c r="A697" s="41">
        <v>45413</v>
      </c>
      <c r="B697" s="47">
        <f>MONTH(Table13[[#This Row],[YearMonth]])</f>
        <v>5</v>
      </c>
      <c r="C697" s="9" t="s">
        <v>241</v>
      </c>
      <c r="D697" s="6" t="s">
        <v>350</v>
      </c>
      <c r="E697" s="6">
        <f>IF(Table13[[#This Row],[Quartile]]="TopQuartile", 1,
 IF(Table13[[#This Row],[Quartile]]="SecondQuartile", 2,
 IF(Table13[[#This Row],[Quartile]]="ThirdQuartile", 3,
 IF(Table13[[#This Row],[Quartile]]="FourthQuartile", 4, ""))))</f>
        <v>4</v>
      </c>
      <c r="F697" s="9" t="s">
        <v>462</v>
      </c>
      <c r="G697" s="9" t="str" cm="1">
        <f t="array" ref="G697">IFERROR(
  INDEX(Table13[Quartile],
    MATCH(1,
      (Table13[[#This Row],[OrgName]]=Table13[OrgName]) *
      (Table13[[#This Row],[Month Number]]-1=Table13[Month Number]),
    0)
  ),
"")</f>
        <v>ThirdQuartile</v>
      </c>
      <c r="H697" s="9">
        <f>IF(Table13[[#This Row],[Previous Quartile]]="TopQuartile", 1,
 IF(Table13[[#This Row],[Previous Quartile]]="SecondQuartile", 2,
 IF(Table13[[#This Row],[Previous Quartile]]="ThirdQuartile", 3,
 IF(Table13[[#This Row],[Previous Quartile]]="FourthQuartile", 4, ""))))</f>
        <v>3</v>
      </c>
      <c r="I697" s="9" t="str">
        <f>IF(Table13[[#This Row],[Previous Quartile Value]]="", "",
   IF(Table13[[#This Row],[Quartile Value]] &lt; Table13[[#This Row],[Previous Quartile Value]], "Improved",
   IF(Table13[[#This Row],[Quartile Value]] &gt; Table13[[#This Row],[Previous Quartile Value]], "Dropped", "Same")))</f>
        <v>Dropped</v>
      </c>
      <c r="J697" s="10" t="s">
        <v>22</v>
      </c>
      <c r="K697" s="7" t="str">
        <f>VLOOKUP(J697,Introduction!$B$6:$C$14,2)</f>
        <v>North West</v>
      </c>
      <c r="L697" s="11">
        <v>287</v>
      </c>
      <c r="M697" s="12" t="s">
        <v>425</v>
      </c>
    </row>
    <row r="698" spans="1:13" ht="19.95" customHeight="1" x14ac:dyDescent="0.25">
      <c r="A698" s="41">
        <v>45413</v>
      </c>
      <c r="B698" s="47">
        <f>MONTH(Table13[[#This Row],[YearMonth]])</f>
        <v>5</v>
      </c>
      <c r="C698" s="9" t="s">
        <v>251</v>
      </c>
      <c r="D698" s="6" t="s">
        <v>350</v>
      </c>
      <c r="E698" s="6">
        <f>IF(Table13[[#This Row],[Quartile]]="TopQuartile", 1,
 IF(Table13[[#This Row],[Quartile]]="SecondQuartile", 2,
 IF(Table13[[#This Row],[Quartile]]="ThirdQuartile", 3,
 IF(Table13[[#This Row],[Quartile]]="FourthQuartile", 4, ""))))</f>
        <v>4</v>
      </c>
      <c r="F698" s="9" t="s">
        <v>463</v>
      </c>
      <c r="G698" s="9" t="str" cm="1">
        <f t="array" ref="G698">IFERROR(
  INDEX(Table13[Quartile],
    MATCH(1,
      (Table13[[#This Row],[OrgName]]=Table13[OrgName]) *
      (Table13[[#This Row],[Month Number]]-1=Table13[Month Number]),
    0)
  ),
"")</f>
        <v>ThirdQuartile</v>
      </c>
      <c r="H698" s="9">
        <f>IF(Table13[[#This Row],[Previous Quartile]]="TopQuartile", 1,
 IF(Table13[[#This Row],[Previous Quartile]]="SecondQuartile", 2,
 IF(Table13[[#This Row],[Previous Quartile]]="ThirdQuartile", 3,
 IF(Table13[[#This Row],[Previous Quartile]]="FourthQuartile", 4, ""))))</f>
        <v>3</v>
      </c>
      <c r="I698" s="9" t="str">
        <f>IF(Table13[[#This Row],[Previous Quartile Value]]="", "",
   IF(Table13[[#This Row],[Quartile Value]] &lt; Table13[[#This Row],[Previous Quartile Value]], "Improved",
   IF(Table13[[#This Row],[Quartile Value]] &gt; Table13[[#This Row],[Previous Quartile Value]], "Dropped", "Same")))</f>
        <v>Dropped</v>
      </c>
      <c r="J698" s="10" t="s">
        <v>22</v>
      </c>
      <c r="K698" s="7" t="str">
        <f>VLOOKUP(J698,Introduction!$B$6:$C$14,2)</f>
        <v>North West</v>
      </c>
      <c r="L698" s="11">
        <v>349</v>
      </c>
      <c r="M698" s="12" t="s">
        <v>425</v>
      </c>
    </row>
    <row r="699" spans="1:13" ht="19.95" customHeight="1" x14ac:dyDescent="0.25">
      <c r="A699" s="41">
        <v>45413</v>
      </c>
      <c r="B699" s="47">
        <f>MONTH(Table13[[#This Row],[YearMonth]])</f>
        <v>5</v>
      </c>
      <c r="C699" s="9" t="s">
        <v>269</v>
      </c>
      <c r="D699" s="6" t="s">
        <v>350</v>
      </c>
      <c r="E699" s="6">
        <f>IF(Table13[[#This Row],[Quartile]]="TopQuartile", 1,
 IF(Table13[[#This Row],[Quartile]]="SecondQuartile", 2,
 IF(Table13[[#This Row],[Quartile]]="ThirdQuartile", 3,
 IF(Table13[[#This Row],[Quartile]]="FourthQuartile", 4, ""))))</f>
        <v>4</v>
      </c>
      <c r="F699" s="9" t="s">
        <v>467</v>
      </c>
      <c r="G699" s="9" t="str" cm="1">
        <f t="array" ref="G699">IFERROR(
  INDEX(Table13[Quartile],
    MATCH(1,
      (Table13[[#This Row],[OrgName]]=Table13[OrgName]) *
      (Table13[[#This Row],[Month Number]]-1=Table13[Month Number]),
    0)
  ),
"")</f>
        <v>FourthQuartile</v>
      </c>
      <c r="H699" s="9">
        <f>IF(Table13[[#This Row],[Previous Quartile]]="TopQuartile", 1,
 IF(Table13[[#This Row],[Previous Quartile]]="SecondQuartile", 2,
 IF(Table13[[#This Row],[Previous Quartile]]="ThirdQuartile", 3,
 IF(Table13[[#This Row],[Previous Quartile]]="FourthQuartile", 4, ""))))</f>
        <v>4</v>
      </c>
      <c r="I699" s="9" t="str">
        <f>IF(Table13[[#This Row],[Previous Quartile Value]]="", "",
   IF(Table13[[#This Row],[Quartile Value]] &lt; Table13[[#This Row],[Previous Quartile Value]], "Improved",
   IF(Table13[[#This Row],[Quartile Value]] &gt; Table13[[#This Row],[Previous Quartile Value]], "Dropped", "Same")))</f>
        <v>Same</v>
      </c>
      <c r="J699" s="10" t="s">
        <v>14</v>
      </c>
      <c r="K699" s="7" t="str">
        <f>VLOOKUP(J699,Introduction!$B$6:$C$14,2)</f>
        <v>South West</v>
      </c>
      <c r="L699" s="11">
        <v>387</v>
      </c>
      <c r="M699" s="12" t="s">
        <v>425</v>
      </c>
    </row>
    <row r="700" spans="1:13" ht="19.95" customHeight="1" x14ac:dyDescent="0.25">
      <c r="A700" s="41">
        <v>45413</v>
      </c>
      <c r="B700" s="47">
        <f>MONTH(Table13[[#This Row],[YearMonth]])</f>
        <v>5</v>
      </c>
      <c r="C700" s="9" t="s">
        <v>253</v>
      </c>
      <c r="D700" s="6" t="s">
        <v>350</v>
      </c>
      <c r="E700" s="6">
        <f>IF(Table13[[#This Row],[Quartile]]="TopQuartile", 1,
 IF(Table13[[#This Row],[Quartile]]="SecondQuartile", 2,
 IF(Table13[[#This Row],[Quartile]]="ThirdQuartile", 3,
 IF(Table13[[#This Row],[Quartile]]="FourthQuartile", 4, ""))))</f>
        <v>4</v>
      </c>
      <c r="F700" s="9" t="s">
        <v>464</v>
      </c>
      <c r="G700" s="9" t="str" cm="1">
        <f t="array" ref="G700">IFERROR(
  INDEX(Table13[Quartile],
    MATCH(1,
      (Table13[[#This Row],[OrgName]]=Table13[OrgName]) *
      (Table13[[#This Row],[Month Number]]-1=Table13[Month Number]),
    0)
  ),
"")</f>
        <v>ThirdQuartile</v>
      </c>
      <c r="H700" s="9">
        <f>IF(Table13[[#This Row],[Previous Quartile]]="TopQuartile", 1,
 IF(Table13[[#This Row],[Previous Quartile]]="SecondQuartile", 2,
 IF(Table13[[#This Row],[Previous Quartile]]="ThirdQuartile", 3,
 IF(Table13[[#This Row],[Previous Quartile]]="FourthQuartile", 4, ""))))</f>
        <v>3</v>
      </c>
      <c r="I700" s="9" t="str">
        <f>IF(Table13[[#This Row],[Previous Quartile Value]]="", "",
   IF(Table13[[#This Row],[Quartile Value]] &lt; Table13[[#This Row],[Previous Quartile Value]], "Improved",
   IF(Table13[[#This Row],[Quartile Value]] &gt; Table13[[#This Row],[Previous Quartile Value]], "Dropped", "Same")))</f>
        <v>Dropped</v>
      </c>
      <c r="J700" s="10" t="s">
        <v>12</v>
      </c>
      <c r="K700" s="7" t="str">
        <f>VLOOKUP(J700,Introduction!$B$6:$C$14,2)</f>
        <v>London</v>
      </c>
      <c r="L700" s="11">
        <v>196</v>
      </c>
      <c r="M700" s="12" t="s">
        <v>425</v>
      </c>
    </row>
    <row r="701" spans="1:13" ht="19.95" customHeight="1" x14ac:dyDescent="0.25">
      <c r="A701" s="41">
        <v>45413</v>
      </c>
      <c r="B701" s="47">
        <f>MONTH(Table13[[#This Row],[YearMonth]])</f>
        <v>5</v>
      </c>
      <c r="C701" s="9" t="s">
        <v>267</v>
      </c>
      <c r="D701" s="6" t="s">
        <v>350</v>
      </c>
      <c r="E701" s="6">
        <f>IF(Table13[[#This Row],[Quartile]]="TopQuartile", 1,
 IF(Table13[[#This Row],[Quartile]]="SecondQuartile", 2,
 IF(Table13[[#This Row],[Quartile]]="ThirdQuartile", 3,
 IF(Table13[[#This Row],[Quartile]]="FourthQuartile", 4, ""))))</f>
        <v>4</v>
      </c>
      <c r="F701" s="9" t="s">
        <v>466</v>
      </c>
      <c r="G701" s="9" t="str" cm="1">
        <f t="array" ref="G701">IFERROR(
  INDEX(Table13[Quartile],
    MATCH(1,
      (Table13[[#This Row],[OrgName]]=Table13[OrgName]) *
      (Table13[[#This Row],[Month Number]]-1=Table13[Month Number]),
    0)
  ),
"")</f>
        <v>FourthQuartile</v>
      </c>
      <c r="H701" s="9">
        <f>IF(Table13[[#This Row],[Previous Quartile]]="TopQuartile", 1,
 IF(Table13[[#This Row],[Previous Quartile]]="SecondQuartile", 2,
 IF(Table13[[#This Row],[Previous Quartile]]="ThirdQuartile", 3,
 IF(Table13[[#This Row],[Previous Quartile]]="FourthQuartile", 4, ""))))</f>
        <v>4</v>
      </c>
      <c r="I701" s="9" t="str">
        <f>IF(Table13[[#This Row],[Previous Quartile Value]]="", "",
   IF(Table13[[#This Row],[Quartile Value]] &lt; Table13[[#This Row],[Previous Quartile Value]], "Improved",
   IF(Table13[[#This Row],[Quartile Value]] &gt; Table13[[#This Row],[Previous Quartile Value]], "Dropped", "Same")))</f>
        <v>Same</v>
      </c>
      <c r="J701" s="10" t="s">
        <v>18</v>
      </c>
      <c r="K701" s="7" t="str">
        <f>VLOOKUP(J701,Introduction!$B$6:$C$14,2)</f>
        <v>Midlands</v>
      </c>
      <c r="L701" s="11">
        <v>304</v>
      </c>
      <c r="M701" s="12" t="s">
        <v>425</v>
      </c>
    </row>
    <row r="702" spans="1:13" ht="19.95" customHeight="1" x14ac:dyDescent="0.25">
      <c r="A702" s="41">
        <v>45413</v>
      </c>
      <c r="B702" s="47">
        <f>MONTH(Table13[[#This Row],[YearMonth]])</f>
        <v>5</v>
      </c>
      <c r="C702" s="9" t="s">
        <v>258</v>
      </c>
      <c r="D702" s="6" t="s">
        <v>350</v>
      </c>
      <c r="E702" s="6">
        <f>IF(Table13[[#This Row],[Quartile]]="TopQuartile", 1,
 IF(Table13[[#This Row],[Quartile]]="SecondQuartile", 2,
 IF(Table13[[#This Row],[Quartile]]="ThirdQuartile", 3,
 IF(Table13[[#This Row],[Quartile]]="FourthQuartile", 4, ""))))</f>
        <v>4</v>
      </c>
      <c r="F702" s="9" t="s">
        <v>465</v>
      </c>
      <c r="G702" s="9" t="str" cm="1">
        <f t="array" ref="G702">IFERROR(
  INDEX(Table13[Quartile],
    MATCH(1,
      (Table13[[#This Row],[OrgName]]=Table13[OrgName]) *
      (Table13[[#This Row],[Month Number]]-1=Table13[Month Number]),
    0)
  ),
"")</f>
        <v>FourthQuartile</v>
      </c>
      <c r="H702" s="9">
        <f>IF(Table13[[#This Row],[Previous Quartile]]="TopQuartile", 1,
 IF(Table13[[#This Row],[Previous Quartile]]="SecondQuartile", 2,
 IF(Table13[[#This Row],[Previous Quartile]]="ThirdQuartile", 3,
 IF(Table13[[#This Row],[Previous Quartile]]="FourthQuartile", 4, ""))))</f>
        <v>4</v>
      </c>
      <c r="I702" s="9" t="str">
        <f>IF(Table13[[#This Row],[Previous Quartile Value]]="", "",
   IF(Table13[[#This Row],[Quartile Value]] &lt; Table13[[#This Row],[Previous Quartile Value]], "Improved",
   IF(Table13[[#This Row],[Quartile Value]] &gt; Table13[[#This Row],[Previous Quartile Value]], "Dropped", "Same")))</f>
        <v>Same</v>
      </c>
      <c r="J702" s="10" t="s">
        <v>16</v>
      </c>
      <c r="K702" s="7" t="str">
        <f>VLOOKUP(J702,Introduction!$B$6:$C$14,2)</f>
        <v>South East</v>
      </c>
      <c r="L702" s="11">
        <v>321</v>
      </c>
      <c r="M702" s="12" t="s">
        <v>425</v>
      </c>
    </row>
    <row r="703" spans="1:13" ht="19.95" customHeight="1" x14ac:dyDescent="0.25">
      <c r="A703" s="41">
        <v>45413</v>
      </c>
      <c r="B703" s="47">
        <f>MONTH(Table13[[#This Row],[YearMonth]])</f>
        <v>5</v>
      </c>
      <c r="C703" s="9" t="s">
        <v>277</v>
      </c>
      <c r="D703" s="6" t="s">
        <v>350</v>
      </c>
      <c r="E703" s="6">
        <f>IF(Table13[[#This Row],[Quartile]]="TopQuartile", 1,
 IF(Table13[[#This Row],[Quartile]]="SecondQuartile", 2,
 IF(Table13[[#This Row],[Quartile]]="ThirdQuartile", 3,
 IF(Table13[[#This Row],[Quartile]]="FourthQuartile", 4, ""))))</f>
        <v>4</v>
      </c>
      <c r="F703" s="9" t="s">
        <v>468</v>
      </c>
      <c r="G703" s="9" t="str" cm="1">
        <f t="array" ref="G703">IFERROR(
  INDEX(Table13[Quartile],
    MATCH(1,
      (Table13[[#This Row],[OrgName]]=Table13[OrgName]) *
      (Table13[[#This Row],[Month Number]]-1=Table13[Month Number]),
    0)
  ),
"")</f>
        <v>FourthQuartile</v>
      </c>
      <c r="H703" s="9">
        <f>IF(Table13[[#This Row],[Previous Quartile]]="TopQuartile", 1,
 IF(Table13[[#This Row],[Previous Quartile]]="SecondQuartile", 2,
 IF(Table13[[#This Row],[Previous Quartile]]="ThirdQuartile", 3,
 IF(Table13[[#This Row],[Previous Quartile]]="FourthQuartile", 4, ""))))</f>
        <v>4</v>
      </c>
      <c r="I703" s="9" t="str">
        <f>IF(Table13[[#This Row],[Previous Quartile Value]]="", "",
   IF(Table13[[#This Row],[Quartile Value]] &lt; Table13[[#This Row],[Previous Quartile Value]], "Improved",
   IF(Table13[[#This Row],[Quartile Value]] &gt; Table13[[#This Row],[Previous Quartile Value]], "Dropped", "Same")))</f>
        <v>Same</v>
      </c>
      <c r="J703" s="10" t="s">
        <v>24</v>
      </c>
      <c r="K703" s="7" t="str">
        <f>VLOOKUP(J703,Introduction!$B$6:$C$14,2)</f>
        <v>North East and Yorkshire</v>
      </c>
      <c r="L703" s="11">
        <v>419</v>
      </c>
      <c r="M703" s="12" t="s">
        <v>425</v>
      </c>
    </row>
    <row r="704" spans="1:13" ht="19.95" customHeight="1" x14ac:dyDescent="0.25">
      <c r="A704" s="41">
        <v>45413</v>
      </c>
      <c r="B704" s="47">
        <f>MONTH(Table13[[#This Row],[YearMonth]])</f>
        <v>5</v>
      </c>
      <c r="C704" s="9" t="s">
        <v>281</v>
      </c>
      <c r="D704" s="6" t="s">
        <v>350</v>
      </c>
      <c r="E704" s="6">
        <f>IF(Table13[[#This Row],[Quartile]]="TopQuartile", 1,
 IF(Table13[[#This Row],[Quartile]]="SecondQuartile", 2,
 IF(Table13[[#This Row],[Quartile]]="ThirdQuartile", 3,
 IF(Table13[[#This Row],[Quartile]]="FourthQuartile", 4, ""))))</f>
        <v>4</v>
      </c>
      <c r="F704" s="9" t="s">
        <v>469</v>
      </c>
      <c r="G704" s="9" t="str" cm="1">
        <f t="array" ref="G704">IFERROR(
  INDEX(Table13[Quartile],
    MATCH(1,
      (Table13[[#This Row],[OrgName]]=Table13[OrgName]) *
      (Table13[[#This Row],[Month Number]]-1=Table13[Month Number]),
    0)
  ),
"")</f>
        <v>FourthQuartile</v>
      </c>
      <c r="H704" s="9">
        <f>IF(Table13[[#This Row],[Previous Quartile]]="TopQuartile", 1,
 IF(Table13[[#This Row],[Previous Quartile]]="SecondQuartile", 2,
 IF(Table13[[#This Row],[Previous Quartile]]="ThirdQuartile", 3,
 IF(Table13[[#This Row],[Previous Quartile]]="FourthQuartile", 4, ""))))</f>
        <v>4</v>
      </c>
      <c r="I704" s="9" t="str">
        <f>IF(Table13[[#This Row],[Previous Quartile Value]]="", "",
   IF(Table13[[#This Row],[Quartile Value]] &lt; Table13[[#This Row],[Previous Quartile Value]], "Improved",
   IF(Table13[[#This Row],[Quartile Value]] &gt; Table13[[#This Row],[Previous Quartile Value]], "Dropped", "Same")))</f>
        <v>Same</v>
      </c>
      <c r="J704" s="10" t="s">
        <v>18</v>
      </c>
      <c r="K704" s="7" t="str">
        <f>VLOOKUP(J704,Introduction!$B$6:$C$14,2)</f>
        <v>Midlands</v>
      </c>
      <c r="L704" s="11">
        <v>205</v>
      </c>
      <c r="M704" s="12" t="s">
        <v>425</v>
      </c>
    </row>
    <row r="705" spans="1:13" ht="19.95" customHeight="1" x14ac:dyDescent="0.25">
      <c r="A705" s="41">
        <v>45413</v>
      </c>
      <c r="B705" s="47">
        <f>MONTH(Table13[[#This Row],[YearMonth]])</f>
        <v>5</v>
      </c>
      <c r="C705" s="9" t="s">
        <v>282</v>
      </c>
      <c r="D705" s="6" t="s">
        <v>350</v>
      </c>
      <c r="E705" s="6">
        <f>IF(Table13[[#This Row],[Quartile]]="TopQuartile", 1,
 IF(Table13[[#This Row],[Quartile]]="SecondQuartile", 2,
 IF(Table13[[#This Row],[Quartile]]="ThirdQuartile", 3,
 IF(Table13[[#This Row],[Quartile]]="FourthQuartile", 4, ""))))</f>
        <v>4</v>
      </c>
      <c r="F705" s="9" t="s">
        <v>470</v>
      </c>
      <c r="G705" s="9" t="str" cm="1">
        <f t="array" ref="G705">IFERROR(
  INDEX(Table13[Quartile],
    MATCH(1,
      (Table13[[#This Row],[OrgName]]=Table13[OrgName]) *
      (Table13[[#This Row],[Month Number]]-1=Table13[Month Number]),
    0)
  ),
"")</f>
        <v>FourthQuartile</v>
      </c>
      <c r="H705" s="9">
        <f>IF(Table13[[#This Row],[Previous Quartile]]="TopQuartile", 1,
 IF(Table13[[#This Row],[Previous Quartile]]="SecondQuartile", 2,
 IF(Table13[[#This Row],[Previous Quartile]]="ThirdQuartile", 3,
 IF(Table13[[#This Row],[Previous Quartile]]="FourthQuartile", 4, ""))))</f>
        <v>4</v>
      </c>
      <c r="I705" s="9" t="str">
        <f>IF(Table13[[#This Row],[Previous Quartile Value]]="", "",
   IF(Table13[[#This Row],[Quartile Value]] &lt; Table13[[#This Row],[Previous Quartile Value]], "Improved",
   IF(Table13[[#This Row],[Quartile Value]] &gt; Table13[[#This Row],[Previous Quartile Value]], "Dropped", "Same")))</f>
        <v>Same</v>
      </c>
      <c r="J705" s="10" t="s">
        <v>12</v>
      </c>
      <c r="K705" s="7" t="str">
        <f>VLOOKUP(J705,Introduction!$B$6:$C$14,2)</f>
        <v>London</v>
      </c>
      <c r="L705" s="11">
        <v>290</v>
      </c>
      <c r="M705" s="12" t="s">
        <v>425</v>
      </c>
    </row>
    <row r="706" spans="1:13" ht="19.95" customHeight="1" x14ac:dyDescent="0.25">
      <c r="A706" s="41">
        <v>45413</v>
      </c>
      <c r="B706" s="47">
        <f>MONTH(Table13[[#This Row],[YearMonth]])</f>
        <v>5</v>
      </c>
      <c r="C706" s="9" t="s">
        <v>287</v>
      </c>
      <c r="D706" s="6" t="s">
        <v>350</v>
      </c>
      <c r="E706" s="6">
        <f>IF(Table13[[#This Row],[Quartile]]="TopQuartile", 1,
 IF(Table13[[#This Row],[Quartile]]="SecondQuartile", 2,
 IF(Table13[[#This Row],[Quartile]]="ThirdQuartile", 3,
 IF(Table13[[#This Row],[Quartile]]="FourthQuartile", 4, ""))))</f>
        <v>4</v>
      </c>
      <c r="F706" s="9" t="s">
        <v>471</v>
      </c>
      <c r="G706" s="9" t="str" cm="1">
        <f t="array" ref="G706">IFERROR(
  INDEX(Table13[Quartile],
    MATCH(1,
      (Table13[[#This Row],[OrgName]]=Table13[OrgName]) *
      (Table13[[#This Row],[Month Number]]-1=Table13[Month Number]),
    0)
  ),
"")</f>
        <v>FourthQuartile</v>
      </c>
      <c r="H706" s="9">
        <f>IF(Table13[[#This Row],[Previous Quartile]]="TopQuartile", 1,
 IF(Table13[[#This Row],[Previous Quartile]]="SecondQuartile", 2,
 IF(Table13[[#This Row],[Previous Quartile]]="ThirdQuartile", 3,
 IF(Table13[[#This Row],[Previous Quartile]]="FourthQuartile", 4, ""))))</f>
        <v>4</v>
      </c>
      <c r="I706" s="9" t="str">
        <f>IF(Table13[[#This Row],[Previous Quartile Value]]="", "",
   IF(Table13[[#This Row],[Quartile Value]] &lt; Table13[[#This Row],[Previous Quartile Value]], "Improved",
   IF(Table13[[#This Row],[Quartile Value]] &gt; Table13[[#This Row],[Previous Quartile Value]], "Dropped", "Same")))</f>
        <v>Same</v>
      </c>
      <c r="J706" s="10" t="s">
        <v>12</v>
      </c>
      <c r="K706" s="7" t="str">
        <f>VLOOKUP(J706,Introduction!$B$6:$C$14,2)</f>
        <v>London</v>
      </c>
      <c r="L706" s="11">
        <v>289</v>
      </c>
      <c r="M706" s="12" t="s">
        <v>425</v>
      </c>
    </row>
    <row r="707" spans="1:13" ht="19.95" customHeight="1" x14ac:dyDescent="0.25">
      <c r="A707" s="41">
        <v>45413</v>
      </c>
      <c r="B707" s="47">
        <f>MONTH(Table13[[#This Row],[YearMonth]])</f>
        <v>5</v>
      </c>
      <c r="C707" s="9" t="s">
        <v>301</v>
      </c>
      <c r="D707" s="6" t="s">
        <v>350</v>
      </c>
      <c r="E707" s="6">
        <f>IF(Table13[[#This Row],[Quartile]]="TopQuartile", 1,
 IF(Table13[[#This Row],[Quartile]]="SecondQuartile", 2,
 IF(Table13[[#This Row],[Quartile]]="ThirdQuartile", 3,
 IF(Table13[[#This Row],[Quartile]]="FourthQuartile", 4, ""))))</f>
        <v>4</v>
      </c>
      <c r="F707" s="9" t="s">
        <v>472</v>
      </c>
      <c r="G707" s="9" t="str" cm="1">
        <f t="array" ref="G707">IFERROR(
  INDEX(Table13[Quartile],
    MATCH(1,
      (Table13[[#This Row],[OrgName]]=Table13[OrgName]) *
      (Table13[[#This Row],[Month Number]]-1=Table13[Month Number]),
    0)
  ),
"")</f>
        <v>FourthQuartile</v>
      </c>
      <c r="H707" s="9">
        <f>IF(Table13[[#This Row],[Previous Quartile]]="TopQuartile", 1,
 IF(Table13[[#This Row],[Previous Quartile]]="SecondQuartile", 2,
 IF(Table13[[#This Row],[Previous Quartile]]="ThirdQuartile", 3,
 IF(Table13[[#This Row],[Previous Quartile]]="FourthQuartile", 4, ""))))</f>
        <v>4</v>
      </c>
      <c r="I707" s="9" t="str">
        <f>IF(Table13[[#This Row],[Previous Quartile Value]]="", "",
   IF(Table13[[#This Row],[Quartile Value]] &lt; Table13[[#This Row],[Previous Quartile Value]], "Improved",
   IF(Table13[[#This Row],[Quartile Value]] &gt; Table13[[#This Row],[Previous Quartile Value]], "Dropped", "Same")))</f>
        <v>Same</v>
      </c>
      <c r="J707" s="10" t="s">
        <v>14</v>
      </c>
      <c r="K707" s="7" t="str">
        <f>VLOOKUP(J707,Introduction!$B$6:$C$14,2)</f>
        <v>South West</v>
      </c>
      <c r="L707" s="11">
        <v>153</v>
      </c>
      <c r="M707" s="12" t="s">
        <v>425</v>
      </c>
    </row>
    <row r="708" spans="1:13" ht="19.95" customHeight="1" x14ac:dyDescent="0.25">
      <c r="A708" s="41">
        <v>45413</v>
      </c>
      <c r="B708" s="47">
        <f>MONTH(Table13[[#This Row],[YearMonth]])</f>
        <v>5</v>
      </c>
      <c r="C708" s="9" t="s">
        <v>309</v>
      </c>
      <c r="D708" s="6" t="s">
        <v>350</v>
      </c>
      <c r="E708" s="6">
        <f>IF(Table13[[#This Row],[Quartile]]="TopQuartile", 1,
 IF(Table13[[#This Row],[Quartile]]="SecondQuartile", 2,
 IF(Table13[[#This Row],[Quartile]]="ThirdQuartile", 3,
 IF(Table13[[#This Row],[Quartile]]="FourthQuartile", 4, ""))))</f>
        <v>4</v>
      </c>
      <c r="F708" s="9" t="s">
        <v>474</v>
      </c>
      <c r="G708" s="9" t="str" cm="1">
        <f t="array" ref="G708">IFERROR(
  INDEX(Table13[Quartile],
    MATCH(1,
      (Table13[[#This Row],[OrgName]]=Table13[OrgName]) *
      (Table13[[#This Row],[Month Number]]-1=Table13[Month Number]),
    0)
  ),
"")</f>
        <v>FourthQuartile</v>
      </c>
      <c r="H708" s="9">
        <f>IF(Table13[[#This Row],[Previous Quartile]]="TopQuartile", 1,
 IF(Table13[[#This Row],[Previous Quartile]]="SecondQuartile", 2,
 IF(Table13[[#This Row],[Previous Quartile]]="ThirdQuartile", 3,
 IF(Table13[[#This Row],[Previous Quartile]]="FourthQuartile", 4, ""))))</f>
        <v>4</v>
      </c>
      <c r="I708" s="9" t="str">
        <f>IF(Table13[[#This Row],[Previous Quartile Value]]="", "",
   IF(Table13[[#This Row],[Quartile Value]] &lt; Table13[[#This Row],[Previous Quartile Value]], "Improved",
   IF(Table13[[#This Row],[Quartile Value]] &gt; Table13[[#This Row],[Previous Quartile Value]], "Dropped", "Same")))</f>
        <v>Same</v>
      </c>
      <c r="J708" s="10" t="s">
        <v>20</v>
      </c>
      <c r="K708" s="7" t="str">
        <f>VLOOKUP(J708,Introduction!$B$6:$C$14,2)</f>
        <v>East of England</v>
      </c>
      <c r="L708" s="11">
        <v>234</v>
      </c>
      <c r="M708" s="12" t="s">
        <v>425</v>
      </c>
    </row>
    <row r="709" spans="1:13" ht="19.95" customHeight="1" x14ac:dyDescent="0.25">
      <c r="A709" s="41">
        <v>45413</v>
      </c>
      <c r="B709" s="47">
        <f>MONTH(Table13[[#This Row],[YearMonth]])</f>
        <v>5</v>
      </c>
      <c r="C709" s="9" t="s">
        <v>307</v>
      </c>
      <c r="D709" s="6" t="s">
        <v>350</v>
      </c>
      <c r="E709" s="6">
        <f>IF(Table13[[#This Row],[Quartile]]="TopQuartile", 1,
 IF(Table13[[#This Row],[Quartile]]="SecondQuartile", 2,
 IF(Table13[[#This Row],[Quartile]]="ThirdQuartile", 3,
 IF(Table13[[#This Row],[Quartile]]="FourthQuartile", 4, ""))))</f>
        <v>4</v>
      </c>
      <c r="F709" s="9" t="s">
        <v>473</v>
      </c>
      <c r="G709" s="9" t="str" cm="1">
        <f t="array" ref="G709">IFERROR(
  INDEX(Table13[Quartile],
    MATCH(1,
      (Table13[[#This Row],[OrgName]]=Table13[OrgName]) *
      (Table13[[#This Row],[Month Number]]-1=Table13[Month Number]),
    0)
  ),
"")</f>
        <v>FourthQuartile</v>
      </c>
      <c r="H709" s="9">
        <f>IF(Table13[[#This Row],[Previous Quartile]]="TopQuartile", 1,
 IF(Table13[[#This Row],[Previous Quartile]]="SecondQuartile", 2,
 IF(Table13[[#This Row],[Previous Quartile]]="ThirdQuartile", 3,
 IF(Table13[[#This Row],[Previous Quartile]]="FourthQuartile", 4, ""))))</f>
        <v>4</v>
      </c>
      <c r="I709" s="9" t="str">
        <f>IF(Table13[[#This Row],[Previous Quartile Value]]="", "",
   IF(Table13[[#This Row],[Quartile Value]] &lt; Table13[[#This Row],[Previous Quartile Value]], "Improved",
   IF(Table13[[#This Row],[Quartile Value]] &gt; Table13[[#This Row],[Previous Quartile Value]], "Dropped", "Same")))</f>
        <v>Same</v>
      </c>
      <c r="J709" s="10" t="s">
        <v>18</v>
      </c>
      <c r="K709" s="7" t="str">
        <f>VLOOKUP(J709,Introduction!$B$6:$C$14,2)</f>
        <v>Midlands</v>
      </c>
      <c r="L709" s="11">
        <v>164</v>
      </c>
      <c r="M709" s="12" t="s">
        <v>425</v>
      </c>
    </row>
    <row r="710" spans="1:13" ht="19.95" customHeight="1" x14ac:dyDescent="0.25">
      <c r="A710" s="41">
        <v>45413</v>
      </c>
      <c r="B710" s="47">
        <f>MONTH(Table13[[#This Row],[YearMonth]])</f>
        <v>5</v>
      </c>
      <c r="C710" s="9" t="s">
        <v>180</v>
      </c>
      <c r="D710" s="6" t="s">
        <v>338</v>
      </c>
      <c r="E710" s="6">
        <f>IF(Table13[[#This Row],[Quartile]]="TopQuartile", 1,
 IF(Table13[[#This Row],[Quartile]]="SecondQuartile", 2,
 IF(Table13[[#This Row],[Quartile]]="ThirdQuartile", 3,
 IF(Table13[[#This Row],[Quartile]]="FourthQuartile", 4, ""))))</f>
        <v>2</v>
      </c>
      <c r="F710" s="9" t="s">
        <v>475</v>
      </c>
      <c r="G710" s="9" t="str" cm="1">
        <f t="array" ref="G710">IFERROR(
  INDEX(Table13[Quartile],
    MATCH(1,
      (Table13[[#This Row],[OrgName]]=Table13[OrgName]) *
      (Table13[[#This Row],[Month Number]]-1=Table13[Month Number]),
    0)
  ),
"")</f>
        <v>ThirdQuartile</v>
      </c>
      <c r="H710" s="9">
        <f>IF(Table13[[#This Row],[Previous Quartile]]="TopQuartile", 1,
 IF(Table13[[#This Row],[Previous Quartile]]="SecondQuartile", 2,
 IF(Table13[[#This Row],[Previous Quartile]]="ThirdQuartile", 3,
 IF(Table13[[#This Row],[Previous Quartile]]="FourthQuartile", 4, ""))))</f>
        <v>3</v>
      </c>
      <c r="I710" s="9" t="str">
        <f>IF(Table13[[#This Row],[Previous Quartile Value]]="", "",
   IF(Table13[[#This Row],[Quartile Value]] &lt; Table13[[#This Row],[Previous Quartile Value]], "Improved",
   IF(Table13[[#This Row],[Quartile Value]] &gt; Table13[[#This Row],[Previous Quartile Value]], "Dropped", "Same")))</f>
        <v>Improved</v>
      </c>
      <c r="J710" s="10" t="s">
        <v>16</v>
      </c>
      <c r="K710" s="7" t="str">
        <f>VLOOKUP(J710,Introduction!$B$6:$C$14,2)</f>
        <v>South East</v>
      </c>
      <c r="L710" s="11">
        <v>278</v>
      </c>
      <c r="M710" s="12" t="s">
        <v>476</v>
      </c>
    </row>
    <row r="711" spans="1:13" ht="19.95" customHeight="1" x14ac:dyDescent="0.25">
      <c r="A711" s="41">
        <v>45413</v>
      </c>
      <c r="B711" s="47">
        <f>MONTH(Table13[[#This Row],[YearMonth]])</f>
        <v>5</v>
      </c>
      <c r="C711" s="9" t="s">
        <v>183</v>
      </c>
      <c r="D711" s="6" t="s">
        <v>338</v>
      </c>
      <c r="E711" s="6">
        <f>IF(Table13[[#This Row],[Quartile]]="TopQuartile", 1,
 IF(Table13[[#This Row],[Quartile]]="SecondQuartile", 2,
 IF(Table13[[#This Row],[Quartile]]="ThirdQuartile", 3,
 IF(Table13[[#This Row],[Quartile]]="FourthQuartile", 4, ""))))</f>
        <v>2</v>
      </c>
      <c r="F711" s="9" t="s">
        <v>477</v>
      </c>
      <c r="G711" s="9" t="str" cm="1">
        <f t="array" ref="G711">IFERROR(
  INDEX(Table13[Quartile],
    MATCH(1,
      (Table13[[#This Row],[OrgName]]=Table13[OrgName]) *
      (Table13[[#This Row],[Month Number]]-1=Table13[Month Number]),
    0)
  ),
"")</f>
        <v>SecondQuartile</v>
      </c>
      <c r="H711" s="9">
        <f>IF(Table13[[#This Row],[Previous Quartile]]="TopQuartile", 1,
 IF(Table13[[#This Row],[Previous Quartile]]="SecondQuartile", 2,
 IF(Table13[[#This Row],[Previous Quartile]]="ThirdQuartile", 3,
 IF(Table13[[#This Row],[Previous Quartile]]="FourthQuartile", 4, ""))))</f>
        <v>2</v>
      </c>
      <c r="I711" s="9" t="str">
        <f>IF(Table13[[#This Row],[Previous Quartile Value]]="", "",
   IF(Table13[[#This Row],[Quartile Value]] &lt; Table13[[#This Row],[Previous Quartile Value]], "Improved",
   IF(Table13[[#This Row],[Quartile Value]] &gt; Table13[[#This Row],[Previous Quartile Value]], "Dropped", "Same")))</f>
        <v>Same</v>
      </c>
      <c r="J711" s="10" t="s">
        <v>18</v>
      </c>
      <c r="K711" s="7" t="str">
        <f>VLOOKUP(J711,Introduction!$B$6:$C$14,2)</f>
        <v>Midlands</v>
      </c>
      <c r="L711" s="11">
        <v>217</v>
      </c>
      <c r="M711" s="12" t="s">
        <v>476</v>
      </c>
    </row>
    <row r="712" spans="1:13" ht="19.95" customHeight="1" x14ac:dyDescent="0.25">
      <c r="A712" s="41">
        <v>45413</v>
      </c>
      <c r="B712" s="47">
        <f>MONTH(Table13[[#This Row],[YearMonth]])</f>
        <v>5</v>
      </c>
      <c r="C712" s="9" t="s">
        <v>201</v>
      </c>
      <c r="D712" s="6" t="s">
        <v>350</v>
      </c>
      <c r="E712" s="6">
        <f>IF(Table13[[#This Row],[Quartile]]="TopQuartile", 1,
 IF(Table13[[#This Row],[Quartile]]="SecondQuartile", 2,
 IF(Table13[[#This Row],[Quartile]]="ThirdQuartile", 3,
 IF(Table13[[#This Row],[Quartile]]="FourthQuartile", 4, ""))))</f>
        <v>4</v>
      </c>
      <c r="F712" s="9" t="s">
        <v>478</v>
      </c>
      <c r="G712" s="9" t="str" cm="1">
        <f t="array" ref="G712">IFERROR(
  INDEX(Table13[Quartile],
    MATCH(1,
      (Table13[[#This Row],[OrgName]]=Table13[OrgName]) *
      (Table13[[#This Row],[Month Number]]-1=Table13[Month Number]),
    0)
  ),
"")</f>
        <v>ThirdQuartile</v>
      </c>
      <c r="H712" s="9">
        <f>IF(Table13[[#This Row],[Previous Quartile]]="TopQuartile", 1,
 IF(Table13[[#This Row],[Previous Quartile]]="SecondQuartile", 2,
 IF(Table13[[#This Row],[Previous Quartile]]="ThirdQuartile", 3,
 IF(Table13[[#This Row],[Previous Quartile]]="FourthQuartile", 4, ""))))</f>
        <v>3</v>
      </c>
      <c r="I712" s="9" t="str">
        <f>IF(Table13[[#This Row],[Previous Quartile Value]]="", "",
   IF(Table13[[#This Row],[Quartile Value]] &lt; Table13[[#This Row],[Previous Quartile Value]], "Improved",
   IF(Table13[[#This Row],[Quartile Value]] &gt; Table13[[#This Row],[Previous Quartile Value]], "Dropped", "Same")))</f>
        <v>Dropped</v>
      </c>
      <c r="J712" s="10" t="s">
        <v>16</v>
      </c>
      <c r="K712" s="7" t="str">
        <f>VLOOKUP(J712,Introduction!$B$6:$C$14,2)</f>
        <v>South East</v>
      </c>
      <c r="L712" s="11">
        <v>195</v>
      </c>
      <c r="M712" s="12" t="s">
        <v>476</v>
      </c>
    </row>
    <row r="713" spans="1:13" ht="19.95" customHeight="1" x14ac:dyDescent="0.25">
      <c r="A713" s="41">
        <v>45413</v>
      </c>
      <c r="B713" s="47">
        <f>MONTH(Table13[[#This Row],[YearMonth]])</f>
        <v>5</v>
      </c>
      <c r="C713" s="9" t="s">
        <v>285</v>
      </c>
      <c r="D713" s="6" t="s">
        <v>350</v>
      </c>
      <c r="E713" s="6">
        <f>IF(Table13[[#This Row],[Quartile]]="TopQuartile", 1,
 IF(Table13[[#This Row],[Quartile]]="SecondQuartile", 2,
 IF(Table13[[#This Row],[Quartile]]="ThirdQuartile", 3,
 IF(Table13[[#This Row],[Quartile]]="FourthQuartile", 4, ""))))</f>
        <v>4</v>
      </c>
      <c r="F713" s="9" t="s">
        <v>483</v>
      </c>
      <c r="G713" s="9" t="str" cm="1">
        <f t="array" ref="G713">IFERROR(
  INDEX(Table13[Quartile],
    MATCH(1,
      (Table13[[#This Row],[OrgName]]=Table13[OrgName]) *
      (Table13[[#This Row],[Month Number]]-1=Table13[Month Number]),
    0)
  ),
"")</f>
        <v>FourthQuartile</v>
      </c>
      <c r="H713" s="9">
        <f>IF(Table13[[#This Row],[Previous Quartile]]="TopQuartile", 1,
 IF(Table13[[#This Row],[Previous Quartile]]="SecondQuartile", 2,
 IF(Table13[[#This Row],[Previous Quartile]]="ThirdQuartile", 3,
 IF(Table13[[#This Row],[Previous Quartile]]="FourthQuartile", 4, ""))))</f>
        <v>4</v>
      </c>
      <c r="I713" s="9" t="str">
        <f>IF(Table13[[#This Row],[Previous Quartile Value]]="", "",
   IF(Table13[[#This Row],[Quartile Value]] &lt; Table13[[#This Row],[Previous Quartile Value]], "Improved",
   IF(Table13[[#This Row],[Quartile Value]] &gt; Table13[[#This Row],[Previous Quartile Value]], "Dropped", "Same")))</f>
        <v>Same</v>
      </c>
      <c r="J713" s="10" t="s">
        <v>22</v>
      </c>
      <c r="K713" s="7" t="str">
        <f>VLOOKUP(J713,Introduction!$B$6:$C$14,2)</f>
        <v>North West</v>
      </c>
      <c r="L713" s="11">
        <v>242</v>
      </c>
      <c r="M713" s="12" t="s">
        <v>476</v>
      </c>
    </row>
    <row r="714" spans="1:13" ht="19.95" customHeight="1" x14ac:dyDescent="0.25">
      <c r="A714" s="41">
        <v>45413</v>
      </c>
      <c r="B714" s="47">
        <f>MONTH(Table13[[#This Row],[YearMonth]])</f>
        <v>5</v>
      </c>
      <c r="C714" s="9" t="s">
        <v>263</v>
      </c>
      <c r="D714" s="6" t="s">
        <v>350</v>
      </c>
      <c r="E714" s="6">
        <f>IF(Table13[[#This Row],[Quartile]]="TopQuartile", 1,
 IF(Table13[[#This Row],[Quartile]]="SecondQuartile", 2,
 IF(Table13[[#This Row],[Quartile]]="ThirdQuartile", 3,
 IF(Table13[[#This Row],[Quartile]]="FourthQuartile", 4, ""))))</f>
        <v>4</v>
      </c>
      <c r="F714" s="9" t="s">
        <v>479</v>
      </c>
      <c r="G714" s="9" t="str" cm="1">
        <f t="array" ref="G714">IFERROR(
  INDEX(Table13[Quartile],
    MATCH(1,
      (Table13[[#This Row],[OrgName]]=Table13[OrgName]) *
      (Table13[[#This Row],[Month Number]]-1=Table13[Month Number]),
    0)
  ),
"")</f>
        <v>FourthQuartile</v>
      </c>
      <c r="H714" s="9">
        <f>IF(Table13[[#This Row],[Previous Quartile]]="TopQuartile", 1,
 IF(Table13[[#This Row],[Previous Quartile]]="SecondQuartile", 2,
 IF(Table13[[#This Row],[Previous Quartile]]="ThirdQuartile", 3,
 IF(Table13[[#This Row],[Previous Quartile]]="FourthQuartile", 4, ""))))</f>
        <v>4</v>
      </c>
      <c r="I714" s="9" t="str">
        <f>IF(Table13[[#This Row],[Previous Quartile Value]]="", "",
   IF(Table13[[#This Row],[Quartile Value]] &lt; Table13[[#This Row],[Previous Quartile Value]], "Improved",
   IF(Table13[[#This Row],[Quartile Value]] &gt; Table13[[#This Row],[Previous Quartile Value]], "Dropped", "Same")))</f>
        <v>Same</v>
      </c>
      <c r="J714" s="10" t="s">
        <v>24</v>
      </c>
      <c r="K714" s="7" t="str">
        <f>VLOOKUP(J714,Introduction!$B$6:$C$14,2)</f>
        <v>North East and Yorkshire</v>
      </c>
      <c r="L714" s="11">
        <v>340</v>
      </c>
      <c r="M714" s="12" t="s">
        <v>476</v>
      </c>
    </row>
    <row r="715" spans="1:13" ht="19.95" customHeight="1" x14ac:dyDescent="0.25">
      <c r="A715" s="41">
        <v>45413</v>
      </c>
      <c r="B715" s="47">
        <f>MONTH(Table13[[#This Row],[YearMonth]])</f>
        <v>5</v>
      </c>
      <c r="C715" s="9" t="s">
        <v>298</v>
      </c>
      <c r="D715" s="6" t="s">
        <v>350</v>
      </c>
      <c r="E715" s="6">
        <f>IF(Table13[[#This Row],[Quartile]]="TopQuartile", 1,
 IF(Table13[[#This Row],[Quartile]]="SecondQuartile", 2,
 IF(Table13[[#This Row],[Quartile]]="ThirdQuartile", 3,
 IF(Table13[[#This Row],[Quartile]]="FourthQuartile", 4, ""))))</f>
        <v>4</v>
      </c>
      <c r="F715" s="9" t="s">
        <v>484</v>
      </c>
      <c r="G715" s="9" t="str" cm="1">
        <f t="array" ref="G715">IFERROR(
  INDEX(Table13[Quartile],
    MATCH(1,
      (Table13[[#This Row],[OrgName]]=Table13[OrgName]) *
      (Table13[[#This Row],[Month Number]]-1=Table13[Month Number]),
    0)
  ),
"")</f>
        <v>FourthQuartile</v>
      </c>
      <c r="H715" s="9">
        <f>IF(Table13[[#This Row],[Previous Quartile]]="TopQuartile", 1,
 IF(Table13[[#This Row],[Previous Quartile]]="SecondQuartile", 2,
 IF(Table13[[#This Row],[Previous Quartile]]="ThirdQuartile", 3,
 IF(Table13[[#This Row],[Previous Quartile]]="FourthQuartile", 4, ""))))</f>
        <v>4</v>
      </c>
      <c r="I715" s="9" t="str">
        <f>IF(Table13[[#This Row],[Previous Quartile Value]]="", "",
   IF(Table13[[#This Row],[Quartile Value]] &lt; Table13[[#This Row],[Previous Quartile Value]], "Improved",
   IF(Table13[[#This Row],[Quartile Value]] &gt; Table13[[#This Row],[Previous Quartile Value]], "Dropped", "Same")))</f>
        <v>Same</v>
      </c>
      <c r="J715" s="10" t="s">
        <v>14</v>
      </c>
      <c r="K715" s="7" t="str">
        <f>VLOOKUP(J715,Introduction!$B$6:$C$14,2)</f>
        <v>South West</v>
      </c>
      <c r="L715" s="11">
        <v>202</v>
      </c>
      <c r="M715" s="12" t="s">
        <v>476</v>
      </c>
    </row>
    <row r="716" spans="1:13" ht="19.95" customHeight="1" x14ac:dyDescent="0.25">
      <c r="A716" s="41">
        <v>45413</v>
      </c>
      <c r="B716" s="47">
        <f>MONTH(Table13[[#This Row],[YearMonth]])</f>
        <v>5</v>
      </c>
      <c r="C716" s="9" t="s">
        <v>274</v>
      </c>
      <c r="D716" s="6" t="s">
        <v>350</v>
      </c>
      <c r="E716" s="6">
        <f>IF(Table13[[#This Row],[Quartile]]="TopQuartile", 1,
 IF(Table13[[#This Row],[Quartile]]="SecondQuartile", 2,
 IF(Table13[[#This Row],[Quartile]]="ThirdQuartile", 3,
 IF(Table13[[#This Row],[Quartile]]="FourthQuartile", 4, ""))))</f>
        <v>4</v>
      </c>
      <c r="F716" s="9" t="s">
        <v>480</v>
      </c>
      <c r="G716" s="9" t="str" cm="1">
        <f t="array" ref="G716">IFERROR(
  INDEX(Table13[Quartile],
    MATCH(1,
      (Table13[[#This Row],[OrgName]]=Table13[OrgName]) *
      (Table13[[#This Row],[Month Number]]-1=Table13[Month Number]),
    0)
  ),
"")</f>
        <v>FourthQuartile</v>
      </c>
      <c r="H716" s="9">
        <f>IF(Table13[[#This Row],[Previous Quartile]]="TopQuartile", 1,
 IF(Table13[[#This Row],[Previous Quartile]]="SecondQuartile", 2,
 IF(Table13[[#This Row],[Previous Quartile]]="ThirdQuartile", 3,
 IF(Table13[[#This Row],[Previous Quartile]]="FourthQuartile", 4, ""))))</f>
        <v>4</v>
      </c>
      <c r="I716" s="9" t="str">
        <f>IF(Table13[[#This Row],[Previous Quartile Value]]="", "",
   IF(Table13[[#This Row],[Quartile Value]] &lt; Table13[[#This Row],[Previous Quartile Value]], "Improved",
   IF(Table13[[#This Row],[Quartile Value]] &gt; Table13[[#This Row],[Previous Quartile Value]], "Dropped", "Same")))</f>
        <v>Same</v>
      </c>
      <c r="J716" s="10" t="s">
        <v>24</v>
      </c>
      <c r="K716" s="7" t="str">
        <f>VLOOKUP(J716,Introduction!$B$6:$C$14,2)</f>
        <v>North East and Yorkshire</v>
      </c>
      <c r="L716" s="11">
        <v>174</v>
      </c>
      <c r="M716" s="12" t="s">
        <v>476</v>
      </c>
    </row>
    <row r="717" spans="1:13" ht="19.95" customHeight="1" x14ac:dyDescent="0.25">
      <c r="A717" s="41">
        <v>45413</v>
      </c>
      <c r="B717" s="47">
        <f>MONTH(Table13[[#This Row],[YearMonth]])</f>
        <v>5</v>
      </c>
      <c r="C717" s="9" t="s">
        <v>278</v>
      </c>
      <c r="D717" s="6" t="s">
        <v>350</v>
      </c>
      <c r="E717" s="6">
        <f>IF(Table13[[#This Row],[Quartile]]="TopQuartile", 1,
 IF(Table13[[#This Row],[Quartile]]="SecondQuartile", 2,
 IF(Table13[[#This Row],[Quartile]]="ThirdQuartile", 3,
 IF(Table13[[#This Row],[Quartile]]="FourthQuartile", 4, ""))))</f>
        <v>4</v>
      </c>
      <c r="F717" s="9" t="s">
        <v>481</v>
      </c>
      <c r="G717" s="9" t="str" cm="1">
        <f t="array" ref="G717">IFERROR(
  INDEX(Table13[Quartile],
    MATCH(1,
      (Table13[[#This Row],[OrgName]]=Table13[OrgName]) *
      (Table13[[#This Row],[Month Number]]-1=Table13[Month Number]),
    0)
  ),
"")</f>
        <v>FourthQuartile</v>
      </c>
      <c r="H717" s="9">
        <f>IF(Table13[[#This Row],[Previous Quartile]]="TopQuartile", 1,
 IF(Table13[[#This Row],[Previous Quartile]]="SecondQuartile", 2,
 IF(Table13[[#This Row],[Previous Quartile]]="ThirdQuartile", 3,
 IF(Table13[[#This Row],[Previous Quartile]]="FourthQuartile", 4, ""))))</f>
        <v>4</v>
      </c>
      <c r="I717" s="9" t="str">
        <f>IF(Table13[[#This Row],[Previous Quartile Value]]="", "",
   IF(Table13[[#This Row],[Quartile Value]] &lt; Table13[[#This Row],[Previous Quartile Value]], "Improved",
   IF(Table13[[#This Row],[Quartile Value]] &gt; Table13[[#This Row],[Previous Quartile Value]], "Dropped", "Same")))</f>
        <v>Same</v>
      </c>
      <c r="J717" s="10" t="s">
        <v>20</v>
      </c>
      <c r="K717" s="7" t="str">
        <f>VLOOKUP(J717,Introduction!$B$6:$C$14,2)</f>
        <v>East of England</v>
      </c>
      <c r="L717" s="11">
        <v>247</v>
      </c>
      <c r="M717" s="12" t="s">
        <v>476</v>
      </c>
    </row>
    <row r="718" spans="1:13" ht="19.95" customHeight="1" x14ac:dyDescent="0.25">
      <c r="A718" s="41">
        <v>45413</v>
      </c>
      <c r="B718" s="47">
        <f>MONTH(Table13[[#This Row],[YearMonth]])</f>
        <v>5</v>
      </c>
      <c r="C718" s="9" t="s">
        <v>279</v>
      </c>
      <c r="D718" s="6" t="s">
        <v>350</v>
      </c>
      <c r="E718" s="6">
        <f>IF(Table13[[#This Row],[Quartile]]="TopQuartile", 1,
 IF(Table13[[#This Row],[Quartile]]="SecondQuartile", 2,
 IF(Table13[[#This Row],[Quartile]]="ThirdQuartile", 3,
 IF(Table13[[#This Row],[Quartile]]="FourthQuartile", 4, ""))))</f>
        <v>4</v>
      </c>
      <c r="F718" s="9" t="s">
        <v>482</v>
      </c>
      <c r="G718" s="9" t="str" cm="1">
        <f t="array" ref="G718">IFERROR(
  INDEX(Table13[Quartile],
    MATCH(1,
      (Table13[[#This Row],[OrgName]]=Table13[OrgName]) *
      (Table13[[#This Row],[Month Number]]-1=Table13[Month Number]),
    0)
  ),
"")</f>
        <v>FourthQuartile</v>
      </c>
      <c r="H718" s="9">
        <f>IF(Table13[[#This Row],[Previous Quartile]]="TopQuartile", 1,
 IF(Table13[[#This Row],[Previous Quartile]]="SecondQuartile", 2,
 IF(Table13[[#This Row],[Previous Quartile]]="ThirdQuartile", 3,
 IF(Table13[[#This Row],[Previous Quartile]]="FourthQuartile", 4, ""))))</f>
        <v>4</v>
      </c>
      <c r="I718" s="9" t="str">
        <f>IF(Table13[[#This Row],[Previous Quartile Value]]="", "",
   IF(Table13[[#This Row],[Quartile Value]] &lt; Table13[[#This Row],[Previous Quartile Value]], "Improved",
   IF(Table13[[#This Row],[Quartile Value]] &gt; Table13[[#This Row],[Previous Quartile Value]], "Dropped", "Same")))</f>
        <v>Same</v>
      </c>
      <c r="J718" s="10" t="s">
        <v>12</v>
      </c>
      <c r="K718" s="7" t="str">
        <f>VLOOKUP(J718,Introduction!$B$6:$C$14,2)</f>
        <v>London</v>
      </c>
      <c r="L718" s="11">
        <v>308</v>
      </c>
      <c r="M718" s="12" t="s">
        <v>476</v>
      </c>
    </row>
    <row r="719" spans="1:13" ht="19.95" customHeight="1" x14ac:dyDescent="0.25">
      <c r="A719" s="41">
        <v>45413</v>
      </c>
      <c r="B719" s="47">
        <f>MONTH(Table13[[#This Row],[YearMonth]])</f>
        <v>5</v>
      </c>
      <c r="C719" s="9" t="s">
        <v>308</v>
      </c>
      <c r="D719" s="6" t="s">
        <v>350</v>
      </c>
      <c r="E719" s="6">
        <f>IF(Table13[[#This Row],[Quartile]]="TopQuartile", 1,
 IF(Table13[[#This Row],[Quartile]]="SecondQuartile", 2,
 IF(Table13[[#This Row],[Quartile]]="ThirdQuartile", 3,
 IF(Table13[[#This Row],[Quartile]]="FourthQuartile", 4, ""))))</f>
        <v>4</v>
      </c>
      <c r="F719" s="9" t="s">
        <v>485</v>
      </c>
      <c r="G719" s="9" t="str" cm="1">
        <f t="array" ref="G719">IFERROR(
  INDEX(Table13[Quartile],
    MATCH(1,
      (Table13[[#This Row],[OrgName]]=Table13[OrgName]) *
      (Table13[[#This Row],[Month Number]]-1=Table13[Month Number]),
    0)
  ),
"")</f>
        <v>FourthQuartile</v>
      </c>
      <c r="H719" s="9">
        <f>IF(Table13[[#This Row],[Previous Quartile]]="TopQuartile", 1,
 IF(Table13[[#This Row],[Previous Quartile]]="SecondQuartile", 2,
 IF(Table13[[#This Row],[Previous Quartile]]="ThirdQuartile", 3,
 IF(Table13[[#This Row],[Previous Quartile]]="FourthQuartile", 4, ""))))</f>
        <v>4</v>
      </c>
      <c r="I719" s="9" t="str">
        <f>IF(Table13[[#This Row],[Previous Quartile Value]]="", "",
   IF(Table13[[#This Row],[Quartile Value]] &lt; Table13[[#This Row],[Previous Quartile Value]], "Improved",
   IF(Table13[[#This Row],[Quartile Value]] &gt; Table13[[#This Row],[Previous Quartile Value]], "Dropped", "Same")))</f>
        <v>Same</v>
      </c>
      <c r="J719" s="10" t="s">
        <v>18</v>
      </c>
      <c r="K719" s="7" t="str">
        <f>VLOOKUP(J719,Introduction!$B$6:$C$14,2)</f>
        <v>Midlands</v>
      </c>
      <c r="L719" s="11">
        <v>335</v>
      </c>
      <c r="M719" s="12" t="s">
        <v>476</v>
      </c>
    </row>
    <row r="720" spans="1:13" ht="19.95" customHeight="1" x14ac:dyDescent="0.25">
      <c r="A720" s="41">
        <v>45413</v>
      </c>
      <c r="B720" s="47">
        <f>MONTH(Table13[[#This Row],[YearMonth]])</f>
        <v>5</v>
      </c>
      <c r="C720" s="9" t="s">
        <v>90</v>
      </c>
      <c r="D720" s="6" t="s">
        <v>330</v>
      </c>
      <c r="E720" s="6">
        <f>IF(Table13[[#This Row],[Quartile]]="TopQuartile", 1,
 IF(Table13[[#This Row],[Quartile]]="SecondQuartile", 2,
 IF(Table13[[#This Row],[Quartile]]="ThirdQuartile", 3,
 IF(Table13[[#This Row],[Quartile]]="FourthQuartile", 4, ""))))</f>
        <v>1</v>
      </c>
      <c r="F720" s="9" t="s">
        <v>486</v>
      </c>
      <c r="G720" s="9" t="str" cm="1">
        <f t="array" ref="G720">IFERROR(
  INDEX(Table13[Quartile],
    MATCH(1,
      (Table13[[#This Row],[OrgName]]=Table13[OrgName]) *
      (Table13[[#This Row],[Month Number]]-1=Table13[Month Number]),
    0)
  ),
"")</f>
        <v>SecondQuartile</v>
      </c>
      <c r="H720" s="9">
        <f>IF(Table13[[#This Row],[Previous Quartile]]="TopQuartile", 1,
 IF(Table13[[#This Row],[Previous Quartile]]="SecondQuartile", 2,
 IF(Table13[[#This Row],[Previous Quartile]]="ThirdQuartile", 3,
 IF(Table13[[#This Row],[Previous Quartile]]="FourthQuartile", 4, ""))))</f>
        <v>2</v>
      </c>
      <c r="I720" s="9" t="str">
        <f>IF(Table13[[#This Row],[Previous Quartile Value]]="", "",
   IF(Table13[[#This Row],[Quartile Value]] &lt; Table13[[#This Row],[Previous Quartile Value]], "Improved",
   IF(Table13[[#This Row],[Quartile Value]] &gt; Table13[[#This Row],[Previous Quartile Value]], "Dropped", "Same")))</f>
        <v>Improved</v>
      </c>
      <c r="J720" s="10" t="s">
        <v>24</v>
      </c>
      <c r="K720" s="7" t="str">
        <f>VLOOKUP(J720,Introduction!$B$6:$C$14,2)</f>
        <v>North East and Yorkshire</v>
      </c>
      <c r="L720" s="11">
        <v>453</v>
      </c>
      <c r="M720" s="12" t="s">
        <v>487</v>
      </c>
    </row>
    <row r="721" spans="1:13" ht="19.95" customHeight="1" x14ac:dyDescent="0.25">
      <c r="A721" s="41">
        <v>45413</v>
      </c>
      <c r="B721" s="47">
        <f>MONTH(Table13[[#This Row],[YearMonth]])</f>
        <v>5</v>
      </c>
      <c r="C721" s="9" t="s">
        <v>132</v>
      </c>
      <c r="D721" s="6" t="s">
        <v>338</v>
      </c>
      <c r="E721" s="6">
        <f>IF(Table13[[#This Row],[Quartile]]="TopQuartile", 1,
 IF(Table13[[#This Row],[Quartile]]="SecondQuartile", 2,
 IF(Table13[[#This Row],[Quartile]]="ThirdQuartile", 3,
 IF(Table13[[#This Row],[Quartile]]="FourthQuartile", 4, ""))))</f>
        <v>2</v>
      </c>
      <c r="F721" s="9" t="s">
        <v>488</v>
      </c>
      <c r="G721" s="9" t="str" cm="1">
        <f t="array" ref="G721">IFERROR(
  INDEX(Table13[Quartile],
    MATCH(1,
      (Table13[[#This Row],[OrgName]]=Table13[OrgName]) *
      (Table13[[#This Row],[Month Number]]-1=Table13[Month Number]),
    0)
  ),
"")</f>
        <v>SecondQuartile</v>
      </c>
      <c r="H721" s="9">
        <f>IF(Table13[[#This Row],[Previous Quartile]]="TopQuartile", 1,
 IF(Table13[[#This Row],[Previous Quartile]]="SecondQuartile", 2,
 IF(Table13[[#This Row],[Previous Quartile]]="ThirdQuartile", 3,
 IF(Table13[[#This Row],[Previous Quartile]]="FourthQuartile", 4, ""))))</f>
        <v>2</v>
      </c>
      <c r="I721" s="9" t="str">
        <f>IF(Table13[[#This Row],[Previous Quartile Value]]="", "",
   IF(Table13[[#This Row],[Quartile Value]] &lt; Table13[[#This Row],[Previous Quartile Value]], "Improved",
   IF(Table13[[#This Row],[Quartile Value]] &gt; Table13[[#This Row],[Previous Quartile Value]], "Dropped", "Same")))</f>
        <v>Same</v>
      </c>
      <c r="J721" s="10" t="s">
        <v>24</v>
      </c>
      <c r="K721" s="7" t="str">
        <f>VLOOKUP(J721,Introduction!$B$6:$C$14,2)</f>
        <v>North East and Yorkshire</v>
      </c>
      <c r="L721" s="11">
        <v>457</v>
      </c>
      <c r="M721" s="12" t="s">
        <v>487</v>
      </c>
    </row>
    <row r="722" spans="1:13" ht="19.95" customHeight="1" x14ac:dyDescent="0.25">
      <c r="A722" s="41">
        <v>45413</v>
      </c>
      <c r="B722" s="47">
        <f>MONTH(Table13[[#This Row],[YearMonth]])</f>
        <v>5</v>
      </c>
      <c r="C722" s="9" t="s">
        <v>181</v>
      </c>
      <c r="D722" s="6" t="s">
        <v>350</v>
      </c>
      <c r="E722" s="6">
        <f>IF(Table13[[#This Row],[Quartile]]="TopQuartile", 1,
 IF(Table13[[#This Row],[Quartile]]="SecondQuartile", 2,
 IF(Table13[[#This Row],[Quartile]]="ThirdQuartile", 3,
 IF(Table13[[#This Row],[Quartile]]="FourthQuartile", 4, ""))))</f>
        <v>4</v>
      </c>
      <c r="F722" s="9" t="s">
        <v>489</v>
      </c>
      <c r="G722" s="9" t="str" cm="1">
        <f t="array" ref="G722">IFERROR(
  INDEX(Table13[Quartile],
    MATCH(1,
      (Table13[[#This Row],[OrgName]]=Table13[OrgName]) *
      (Table13[[#This Row],[Month Number]]-1=Table13[Month Number]),
    0)
  ),
"")</f>
        <v>FourthQuartile</v>
      </c>
      <c r="H722" s="9">
        <f>IF(Table13[[#This Row],[Previous Quartile]]="TopQuartile", 1,
 IF(Table13[[#This Row],[Previous Quartile]]="SecondQuartile", 2,
 IF(Table13[[#This Row],[Previous Quartile]]="ThirdQuartile", 3,
 IF(Table13[[#This Row],[Previous Quartile]]="FourthQuartile", 4, ""))))</f>
        <v>4</v>
      </c>
      <c r="I722" s="9" t="str">
        <f>IF(Table13[[#This Row],[Previous Quartile Value]]="", "",
   IF(Table13[[#This Row],[Quartile Value]] &lt; Table13[[#This Row],[Previous Quartile Value]], "Improved",
   IF(Table13[[#This Row],[Quartile Value]] &gt; Table13[[#This Row],[Previous Quartile Value]], "Dropped", "Same")))</f>
        <v>Same</v>
      </c>
      <c r="J722" s="10" t="s">
        <v>12</v>
      </c>
      <c r="K722" s="7" t="str">
        <f>VLOOKUP(J722,Introduction!$B$6:$C$14,2)</f>
        <v>London</v>
      </c>
      <c r="L722" s="11">
        <v>455</v>
      </c>
      <c r="M722" s="12" t="s">
        <v>487</v>
      </c>
    </row>
    <row r="723" spans="1:13" ht="19.95" customHeight="1" x14ac:dyDescent="0.25">
      <c r="A723" s="41">
        <v>45413</v>
      </c>
      <c r="B723" s="47">
        <f>MONTH(Table13[[#This Row],[YearMonth]])</f>
        <v>5</v>
      </c>
      <c r="C723" s="9" t="s">
        <v>45</v>
      </c>
      <c r="D723" s="6" t="s">
        <v>330</v>
      </c>
      <c r="E723" s="6">
        <f>IF(Table13[[#This Row],[Quartile]]="TopQuartile", 1,
 IF(Table13[[#This Row],[Quartile]]="SecondQuartile", 2,
 IF(Table13[[#This Row],[Quartile]]="ThirdQuartile", 3,
 IF(Table13[[#This Row],[Quartile]]="FourthQuartile", 4, ""))))</f>
        <v>1</v>
      </c>
      <c r="F723" s="9" t="s">
        <v>493</v>
      </c>
      <c r="G723" s="9" t="str" cm="1">
        <f t="array" ref="G723">IFERROR(
  INDEX(Table13[Quartile],
    MATCH(1,
      (Table13[[#This Row],[OrgName]]=Table13[OrgName]) *
      (Table13[[#This Row],[Month Number]]-1=Table13[Month Number]),
    0)
  ),
"")</f>
        <v>TopQuartile</v>
      </c>
      <c r="H723" s="9">
        <f>IF(Table13[[#This Row],[Previous Quartile]]="TopQuartile", 1,
 IF(Table13[[#This Row],[Previous Quartile]]="SecondQuartile", 2,
 IF(Table13[[#This Row],[Previous Quartile]]="ThirdQuartile", 3,
 IF(Table13[[#This Row],[Previous Quartile]]="FourthQuartile", 4, ""))))</f>
        <v>1</v>
      </c>
      <c r="I723" s="9" t="str">
        <f>IF(Table13[[#This Row],[Previous Quartile Value]]="", "",
   IF(Table13[[#This Row],[Quartile Value]] &lt; Table13[[#This Row],[Previous Quartile Value]], "Improved",
   IF(Table13[[#This Row],[Quartile Value]] &gt; Table13[[#This Row],[Previous Quartile Value]], "Dropped", "Same")))</f>
        <v>Same</v>
      </c>
      <c r="J723" s="10" t="s">
        <v>10</v>
      </c>
      <c r="K723" s="7" t="str">
        <f>VLOOKUP(J723,Introduction!$B$6:$C$14,2)</f>
        <v>Special Health Authorities and other statutory bodies</v>
      </c>
      <c r="L723" s="11">
        <v>877</v>
      </c>
      <c r="M723" s="12" t="s">
        <v>491</v>
      </c>
    </row>
    <row r="724" spans="1:13" ht="19.95" customHeight="1" x14ac:dyDescent="0.25">
      <c r="A724" s="41">
        <v>45413</v>
      </c>
      <c r="B724" s="47">
        <f>MONTH(Table13[[#This Row],[YearMonth]])</f>
        <v>5</v>
      </c>
      <c r="C724" s="9" t="s">
        <v>35</v>
      </c>
      <c r="D724" s="6" t="s">
        <v>330</v>
      </c>
      <c r="E724" s="6">
        <f>IF(Table13[[#This Row],[Quartile]]="TopQuartile", 1,
 IF(Table13[[#This Row],[Quartile]]="SecondQuartile", 2,
 IF(Table13[[#This Row],[Quartile]]="ThirdQuartile", 3,
 IF(Table13[[#This Row],[Quartile]]="FourthQuartile", 4, ""))))</f>
        <v>1</v>
      </c>
      <c r="F724" s="9" t="s">
        <v>492</v>
      </c>
      <c r="G724" s="9" t="str" cm="1">
        <f t="array" ref="G724">IFERROR(
  INDEX(Table13[Quartile],
    MATCH(1,
      (Table13[[#This Row],[OrgName]]=Table13[OrgName]) *
      (Table13[[#This Row],[Month Number]]-1=Table13[Month Number]),
    0)
  ),
"")</f>
        <v>TopQuartile</v>
      </c>
      <c r="H724" s="9">
        <f>IF(Table13[[#This Row],[Previous Quartile]]="TopQuartile", 1,
 IF(Table13[[#This Row],[Previous Quartile]]="SecondQuartile", 2,
 IF(Table13[[#This Row],[Previous Quartile]]="ThirdQuartile", 3,
 IF(Table13[[#This Row],[Previous Quartile]]="FourthQuartile", 4, ""))))</f>
        <v>1</v>
      </c>
      <c r="I724" s="9" t="str">
        <f>IF(Table13[[#This Row],[Previous Quartile Value]]="", "",
   IF(Table13[[#This Row],[Quartile Value]] &lt; Table13[[#This Row],[Previous Quartile Value]], "Improved",
   IF(Table13[[#This Row],[Quartile Value]] &gt; Table13[[#This Row],[Previous Quartile Value]], "Dropped", "Same")))</f>
        <v>Same</v>
      </c>
      <c r="J724" s="10" t="s">
        <v>10</v>
      </c>
      <c r="K724" s="7" t="str">
        <f>VLOOKUP(J724,Introduction!$B$6:$C$14,2)</f>
        <v>Special Health Authorities and other statutory bodies</v>
      </c>
      <c r="L724" s="11">
        <v>891</v>
      </c>
      <c r="M724" s="12" t="s">
        <v>491</v>
      </c>
    </row>
    <row r="725" spans="1:13" ht="19.95" customHeight="1" x14ac:dyDescent="0.25">
      <c r="A725" s="41">
        <v>45413</v>
      </c>
      <c r="B725" s="47">
        <f>MONTH(Table13[[#This Row],[YearMonth]])</f>
        <v>5</v>
      </c>
      <c r="C725" s="9" t="s">
        <v>130</v>
      </c>
      <c r="D725" s="6" t="s">
        <v>338</v>
      </c>
      <c r="E725" s="6">
        <f>IF(Table13[[#This Row],[Quartile]]="TopQuartile", 1,
 IF(Table13[[#This Row],[Quartile]]="SecondQuartile", 2,
 IF(Table13[[#This Row],[Quartile]]="ThirdQuartile", 3,
 IF(Table13[[#This Row],[Quartile]]="FourthQuartile", 4, ""))))</f>
        <v>2</v>
      </c>
      <c r="F725" s="9" t="s">
        <v>494</v>
      </c>
      <c r="G725" s="9" t="str" cm="1">
        <f t="array" ref="G725">IFERROR(
  INDEX(Table13[Quartile],
    MATCH(1,
      (Table13[[#This Row],[OrgName]]=Table13[OrgName]) *
      (Table13[[#This Row],[Month Number]]-1=Table13[Month Number]),
    0)
  ),
"")</f>
        <v>SecondQuartile</v>
      </c>
      <c r="H725" s="9">
        <f>IF(Table13[[#This Row],[Previous Quartile]]="TopQuartile", 1,
 IF(Table13[[#This Row],[Previous Quartile]]="SecondQuartile", 2,
 IF(Table13[[#This Row],[Previous Quartile]]="ThirdQuartile", 3,
 IF(Table13[[#This Row],[Previous Quartile]]="FourthQuartile", 4, ""))))</f>
        <v>2</v>
      </c>
      <c r="I725" s="9" t="str">
        <f>IF(Table13[[#This Row],[Previous Quartile Value]]="", "",
   IF(Table13[[#This Row],[Quartile Value]] &lt; Table13[[#This Row],[Previous Quartile Value]], "Improved",
   IF(Table13[[#This Row],[Quartile Value]] &gt; Table13[[#This Row],[Previous Quartile Value]], "Dropped", "Same")))</f>
        <v>Same</v>
      </c>
      <c r="J725" s="10" t="s">
        <v>10</v>
      </c>
      <c r="K725" s="7" t="str">
        <f>VLOOKUP(J725,Introduction!$B$6:$C$14,2)</f>
        <v>Special Health Authorities and other statutory bodies</v>
      </c>
      <c r="L725" s="11">
        <v>880</v>
      </c>
      <c r="M725" s="12" t="s">
        <v>491</v>
      </c>
    </row>
    <row r="726" spans="1:13" ht="19.95" customHeight="1" x14ac:dyDescent="0.25">
      <c r="A726" s="41">
        <v>45413</v>
      </c>
      <c r="B726" s="47">
        <f>MONTH(Table13[[#This Row],[YearMonth]])</f>
        <v>5</v>
      </c>
      <c r="C726" s="9" t="s">
        <v>27</v>
      </c>
      <c r="D726" s="6" t="s">
        <v>350</v>
      </c>
      <c r="E726" s="6">
        <f>IF(Table13[[#This Row],[Quartile]]="TopQuartile", 1,
 IF(Table13[[#This Row],[Quartile]]="SecondQuartile", 2,
 IF(Table13[[#This Row],[Quartile]]="ThirdQuartile", 3,
 IF(Table13[[#This Row],[Quartile]]="FourthQuartile", 4, ""))))</f>
        <v>4</v>
      </c>
      <c r="F726" s="9" t="s">
        <v>490</v>
      </c>
      <c r="G726" s="9" t="str" cm="1">
        <f t="array" ref="G726">IFERROR(
  INDEX(Table13[Quartile],
    MATCH(1,
      (Table13[[#This Row],[OrgName]]=Table13[OrgName]) *
      (Table13[[#This Row],[Month Number]]-1=Table13[Month Number]),
    0)
  ),
"")</f>
        <v>FourthQuartile</v>
      </c>
      <c r="H726" s="9">
        <f>IF(Table13[[#This Row],[Previous Quartile]]="TopQuartile", 1,
 IF(Table13[[#This Row],[Previous Quartile]]="SecondQuartile", 2,
 IF(Table13[[#This Row],[Previous Quartile]]="ThirdQuartile", 3,
 IF(Table13[[#This Row],[Previous Quartile]]="FourthQuartile", 4, ""))))</f>
        <v>4</v>
      </c>
      <c r="I726" s="9" t="str">
        <f>IF(Table13[[#This Row],[Previous Quartile Value]]="", "",
   IF(Table13[[#This Row],[Quartile Value]] &lt; Table13[[#This Row],[Previous Quartile Value]], "Improved",
   IF(Table13[[#This Row],[Quartile Value]] &gt; Table13[[#This Row],[Previous Quartile Value]], "Dropped", "Same")))</f>
        <v>Same</v>
      </c>
      <c r="J726" s="10" t="s">
        <v>10</v>
      </c>
      <c r="K726" s="7" t="str">
        <f>VLOOKUP(J726,Introduction!$B$6:$C$14,2)</f>
        <v>Special Health Authorities and other statutory bodies</v>
      </c>
      <c r="L726" s="11">
        <v>869</v>
      </c>
      <c r="M726" s="12" t="s">
        <v>491</v>
      </c>
    </row>
    <row r="727" spans="1:13" ht="19.95" customHeight="1" x14ac:dyDescent="0.25">
      <c r="A727" s="41">
        <v>45413</v>
      </c>
      <c r="B727" s="47">
        <f>MONTH(Table13[[#This Row],[YearMonth]])</f>
        <v>5</v>
      </c>
      <c r="C727" s="9" t="s">
        <v>47</v>
      </c>
      <c r="D727" s="6" t="s">
        <v>330</v>
      </c>
      <c r="E727" s="6">
        <f>IF(Table13[[#This Row],[Quartile]]="TopQuartile", 1,
 IF(Table13[[#This Row],[Quartile]]="SecondQuartile", 2,
 IF(Table13[[#This Row],[Quartile]]="ThirdQuartile", 3,
 IF(Table13[[#This Row],[Quartile]]="FourthQuartile", 4, ""))))</f>
        <v>1</v>
      </c>
      <c r="F727" s="9" t="s">
        <v>498</v>
      </c>
      <c r="G727" s="9" t="str" cm="1">
        <f t="array" ref="G727">IFERROR(
  INDEX(Table13[Quartile],
    MATCH(1,
      (Table13[[#This Row],[OrgName]]=Table13[OrgName]) *
      (Table13[[#This Row],[Month Number]]-1=Table13[Month Number]),
    0)
  ),
"")</f>
        <v>TopQuartile</v>
      </c>
      <c r="H727" s="9">
        <f>IF(Table13[[#This Row],[Previous Quartile]]="TopQuartile", 1,
 IF(Table13[[#This Row],[Previous Quartile]]="SecondQuartile", 2,
 IF(Table13[[#This Row],[Previous Quartile]]="ThirdQuartile", 3,
 IF(Table13[[#This Row],[Previous Quartile]]="FourthQuartile", 4, ""))))</f>
        <v>1</v>
      </c>
      <c r="I727" s="9" t="str">
        <f>IF(Table13[[#This Row],[Previous Quartile Value]]="", "",
   IF(Table13[[#This Row],[Quartile Value]] &lt; Table13[[#This Row],[Previous Quartile Value]], "Improved",
   IF(Table13[[#This Row],[Quartile Value]] &gt; Table13[[#This Row],[Previous Quartile Value]], "Dropped", "Same")))</f>
        <v>Same</v>
      </c>
      <c r="J727" s="10" t="s">
        <v>16</v>
      </c>
      <c r="K727" s="7" t="str">
        <f>VLOOKUP(J727,Introduction!$B$6:$C$14,2)</f>
        <v>South East</v>
      </c>
      <c r="L727" s="11">
        <v>846</v>
      </c>
      <c r="M727" s="12" t="s">
        <v>496</v>
      </c>
    </row>
    <row r="728" spans="1:13" ht="19.95" customHeight="1" x14ac:dyDescent="0.25">
      <c r="A728" s="41">
        <v>45413</v>
      </c>
      <c r="B728" s="47">
        <f>MONTH(Table13[[#This Row],[YearMonth]])</f>
        <v>5</v>
      </c>
      <c r="C728" s="9" t="s">
        <v>31</v>
      </c>
      <c r="D728" s="6" t="s">
        <v>330</v>
      </c>
      <c r="E728" s="6">
        <f>IF(Table13[[#This Row],[Quartile]]="TopQuartile", 1,
 IF(Table13[[#This Row],[Quartile]]="SecondQuartile", 2,
 IF(Table13[[#This Row],[Quartile]]="ThirdQuartile", 3,
 IF(Table13[[#This Row],[Quartile]]="FourthQuartile", 4, ""))))</f>
        <v>1</v>
      </c>
      <c r="F728" s="9" t="s">
        <v>495</v>
      </c>
      <c r="G728" s="9" t="str" cm="1">
        <f t="array" ref="G728">IFERROR(
  INDEX(Table13[Quartile],
    MATCH(1,
      (Table13[[#This Row],[OrgName]]=Table13[OrgName]) *
      (Table13[[#This Row],[Month Number]]-1=Table13[Month Number]),
    0)
  ),
"")</f>
        <v>TopQuartile</v>
      </c>
      <c r="H728" s="9">
        <f>IF(Table13[[#This Row],[Previous Quartile]]="TopQuartile", 1,
 IF(Table13[[#This Row],[Previous Quartile]]="SecondQuartile", 2,
 IF(Table13[[#This Row],[Previous Quartile]]="ThirdQuartile", 3,
 IF(Table13[[#This Row],[Previous Quartile]]="FourthQuartile", 4, ""))))</f>
        <v>1</v>
      </c>
      <c r="I728" s="9" t="str">
        <f>IF(Table13[[#This Row],[Previous Quartile Value]]="", "",
   IF(Table13[[#This Row],[Quartile Value]] &lt; Table13[[#This Row],[Previous Quartile Value]], "Improved",
   IF(Table13[[#This Row],[Quartile Value]] &gt; Table13[[#This Row],[Previous Quartile Value]], "Dropped", "Same")))</f>
        <v>Same</v>
      </c>
      <c r="J728" s="10" t="s">
        <v>16</v>
      </c>
      <c r="K728" s="7" t="str">
        <f>VLOOKUP(J728,Introduction!$B$6:$C$14,2)</f>
        <v>South East</v>
      </c>
      <c r="L728" s="11">
        <v>449</v>
      </c>
      <c r="M728" s="12" t="s">
        <v>496</v>
      </c>
    </row>
    <row r="729" spans="1:13" ht="19.95" customHeight="1" x14ac:dyDescent="0.25">
      <c r="A729" s="41">
        <v>45413</v>
      </c>
      <c r="B729" s="47">
        <f>MONTH(Table13[[#This Row],[YearMonth]])</f>
        <v>5</v>
      </c>
      <c r="C729" s="9" t="s">
        <v>87</v>
      </c>
      <c r="D729" s="6" t="s">
        <v>330</v>
      </c>
      <c r="E729" s="6">
        <f>IF(Table13[[#This Row],[Quartile]]="TopQuartile", 1,
 IF(Table13[[#This Row],[Quartile]]="SecondQuartile", 2,
 IF(Table13[[#This Row],[Quartile]]="ThirdQuartile", 3,
 IF(Table13[[#This Row],[Quartile]]="FourthQuartile", 4, ""))))</f>
        <v>1</v>
      </c>
      <c r="F729" s="9" t="s">
        <v>502</v>
      </c>
      <c r="G729" s="9" t="str" cm="1">
        <f t="array" ref="G729">IFERROR(
  INDEX(Table13[Quartile],
    MATCH(1,
      (Table13[[#This Row],[OrgName]]=Table13[OrgName]) *
      (Table13[[#This Row],[Month Number]]-1=Table13[Month Number]),
    0)
  ),
"")</f>
        <v>SecondQuartile</v>
      </c>
      <c r="H729" s="9">
        <f>IF(Table13[[#This Row],[Previous Quartile]]="TopQuartile", 1,
 IF(Table13[[#This Row],[Previous Quartile]]="SecondQuartile", 2,
 IF(Table13[[#This Row],[Previous Quartile]]="ThirdQuartile", 3,
 IF(Table13[[#This Row],[Previous Quartile]]="FourthQuartile", 4, ""))))</f>
        <v>2</v>
      </c>
      <c r="I729" s="9" t="str">
        <f>IF(Table13[[#This Row],[Previous Quartile Value]]="", "",
   IF(Table13[[#This Row],[Quartile Value]] &lt; Table13[[#This Row],[Previous Quartile Value]], "Improved",
   IF(Table13[[#This Row],[Quartile Value]] &gt; Table13[[#This Row],[Previous Quartile Value]], "Dropped", "Same")))</f>
        <v>Improved</v>
      </c>
      <c r="J729" s="10" t="s">
        <v>22</v>
      </c>
      <c r="K729" s="7" t="str">
        <f>VLOOKUP(J729,Introduction!$B$6:$C$14,2)</f>
        <v>North West</v>
      </c>
      <c r="L729" s="11">
        <v>844</v>
      </c>
      <c r="M729" s="12" t="s">
        <v>496</v>
      </c>
    </row>
    <row r="730" spans="1:13" ht="19.95" customHeight="1" x14ac:dyDescent="0.25">
      <c r="A730" s="41">
        <v>45413</v>
      </c>
      <c r="B730" s="47">
        <f>MONTH(Table13[[#This Row],[YearMonth]])</f>
        <v>5</v>
      </c>
      <c r="C730" s="9" t="s">
        <v>46</v>
      </c>
      <c r="D730" s="6" t="s">
        <v>330</v>
      </c>
      <c r="E730" s="6">
        <f>IF(Table13[[#This Row],[Quartile]]="TopQuartile", 1,
 IF(Table13[[#This Row],[Quartile]]="SecondQuartile", 2,
 IF(Table13[[#This Row],[Quartile]]="ThirdQuartile", 3,
 IF(Table13[[#This Row],[Quartile]]="FourthQuartile", 4, ""))))</f>
        <v>1</v>
      </c>
      <c r="F730" s="9" t="s">
        <v>497</v>
      </c>
      <c r="G730" s="9" t="str" cm="1">
        <f t="array" ref="G730">IFERROR(
  INDEX(Table13[Quartile],
    MATCH(1,
      (Table13[[#This Row],[OrgName]]=Table13[OrgName]) *
      (Table13[[#This Row],[Month Number]]-1=Table13[Month Number]),
    0)
  ),
"")</f>
        <v>TopQuartile</v>
      </c>
      <c r="H730" s="9">
        <f>IF(Table13[[#This Row],[Previous Quartile]]="TopQuartile", 1,
 IF(Table13[[#This Row],[Previous Quartile]]="SecondQuartile", 2,
 IF(Table13[[#This Row],[Previous Quartile]]="ThirdQuartile", 3,
 IF(Table13[[#This Row],[Previous Quartile]]="FourthQuartile", 4, ""))))</f>
        <v>1</v>
      </c>
      <c r="I730" s="9" t="str">
        <f>IF(Table13[[#This Row],[Previous Quartile Value]]="", "",
   IF(Table13[[#This Row],[Quartile Value]] &lt; Table13[[#This Row],[Previous Quartile Value]], "Improved",
   IF(Table13[[#This Row],[Quartile Value]] &gt; Table13[[#This Row],[Previous Quartile Value]], "Dropped", "Same")))</f>
        <v>Same</v>
      </c>
      <c r="J730" s="10" t="s">
        <v>16</v>
      </c>
      <c r="K730" s="7" t="str">
        <f>VLOOKUP(J730,Introduction!$B$6:$C$14,2)</f>
        <v>South East</v>
      </c>
      <c r="L730" s="11">
        <v>813</v>
      </c>
      <c r="M730" s="12" t="s">
        <v>496</v>
      </c>
    </row>
    <row r="731" spans="1:13" ht="19.95" customHeight="1" x14ac:dyDescent="0.25">
      <c r="A731" s="41">
        <v>45413</v>
      </c>
      <c r="B731" s="47">
        <f>MONTH(Table13[[#This Row],[YearMonth]])</f>
        <v>5</v>
      </c>
      <c r="C731" s="9" t="s">
        <v>79</v>
      </c>
      <c r="D731" s="6" t="s">
        <v>330</v>
      </c>
      <c r="E731" s="6">
        <f>IF(Table13[[#This Row],[Quartile]]="TopQuartile", 1,
 IF(Table13[[#This Row],[Quartile]]="SecondQuartile", 2,
 IF(Table13[[#This Row],[Quartile]]="ThirdQuartile", 3,
 IF(Table13[[#This Row],[Quartile]]="FourthQuartile", 4, ""))))</f>
        <v>1</v>
      </c>
      <c r="F731" s="9" t="s">
        <v>80</v>
      </c>
      <c r="G731" s="9" t="str" cm="1">
        <f t="array" ref="G731">IFERROR(
  INDEX(Table13[Quartile],
    MATCH(1,
      (Table13[[#This Row],[OrgName]]=Table13[OrgName]) *
      (Table13[[#This Row],[Month Number]]-1=Table13[Month Number]),
    0)
  ),
"")</f>
        <v>TopQuartile</v>
      </c>
      <c r="H731" s="9">
        <f>IF(Table13[[#This Row],[Previous Quartile]]="TopQuartile", 1,
 IF(Table13[[#This Row],[Previous Quartile]]="SecondQuartile", 2,
 IF(Table13[[#This Row],[Previous Quartile]]="ThirdQuartile", 3,
 IF(Table13[[#This Row],[Previous Quartile]]="FourthQuartile", 4, ""))))</f>
        <v>1</v>
      </c>
      <c r="I731" s="9" t="str">
        <f>IF(Table13[[#This Row],[Previous Quartile Value]]="", "",
   IF(Table13[[#This Row],[Quartile Value]] &lt; Table13[[#This Row],[Previous Quartile Value]], "Improved",
   IF(Table13[[#This Row],[Quartile Value]] &gt; Table13[[#This Row],[Previous Quartile Value]], "Dropped", "Same")))</f>
        <v>Same</v>
      </c>
      <c r="J731" s="10" t="s">
        <v>24</v>
      </c>
      <c r="K731" s="7" t="str">
        <f>VLOOKUP(J731,Introduction!$B$6:$C$14,2)</f>
        <v>North East and Yorkshire</v>
      </c>
      <c r="L731" s="11">
        <v>98</v>
      </c>
      <c r="M731" s="12" t="s">
        <v>496</v>
      </c>
    </row>
    <row r="732" spans="1:13" ht="19.95" customHeight="1" x14ac:dyDescent="0.25">
      <c r="A732" s="41">
        <v>45413</v>
      </c>
      <c r="B732" s="47">
        <f>MONTH(Table13[[#This Row],[YearMonth]])</f>
        <v>5</v>
      </c>
      <c r="C732" s="9" t="s">
        <v>86</v>
      </c>
      <c r="D732" s="6" t="s">
        <v>338</v>
      </c>
      <c r="E732" s="6">
        <f>IF(Table13[[#This Row],[Quartile]]="TopQuartile", 1,
 IF(Table13[[#This Row],[Quartile]]="SecondQuartile", 2,
 IF(Table13[[#This Row],[Quartile]]="ThirdQuartile", 3,
 IF(Table13[[#This Row],[Quartile]]="FourthQuartile", 4, ""))))</f>
        <v>2</v>
      </c>
      <c r="F732" s="9" t="s">
        <v>501</v>
      </c>
      <c r="G732" s="9" t="str" cm="1">
        <f t="array" ref="G732">IFERROR(
  INDEX(Table13[Quartile],
    MATCH(1,
      (Table13[[#This Row],[OrgName]]=Table13[OrgName]) *
      (Table13[[#This Row],[Month Number]]-1=Table13[Month Number]),
    0)
  ),
"")</f>
        <v>TopQuartile</v>
      </c>
      <c r="H732" s="9">
        <f>IF(Table13[[#This Row],[Previous Quartile]]="TopQuartile", 1,
 IF(Table13[[#This Row],[Previous Quartile]]="SecondQuartile", 2,
 IF(Table13[[#This Row],[Previous Quartile]]="ThirdQuartile", 3,
 IF(Table13[[#This Row],[Previous Quartile]]="FourthQuartile", 4, ""))))</f>
        <v>1</v>
      </c>
      <c r="I732" s="9" t="str">
        <f>IF(Table13[[#This Row],[Previous Quartile Value]]="", "",
   IF(Table13[[#This Row],[Quartile Value]] &lt; Table13[[#This Row],[Previous Quartile Value]], "Improved",
   IF(Table13[[#This Row],[Quartile Value]] &gt; Table13[[#This Row],[Previous Quartile Value]], "Dropped", "Same")))</f>
        <v>Dropped</v>
      </c>
      <c r="J732" s="10" t="s">
        <v>16</v>
      </c>
      <c r="K732" s="7" t="str">
        <f>VLOOKUP(J732,Introduction!$B$6:$C$14,2)</f>
        <v>South East</v>
      </c>
      <c r="L732" s="11">
        <v>150</v>
      </c>
      <c r="M732" s="12" t="s">
        <v>496</v>
      </c>
    </row>
    <row r="733" spans="1:13" ht="19.95" customHeight="1" x14ac:dyDescent="0.25">
      <c r="A733" s="41">
        <v>45413</v>
      </c>
      <c r="B733" s="47">
        <f>MONTH(Table13[[#This Row],[YearMonth]])</f>
        <v>5</v>
      </c>
      <c r="C733" s="9" t="s">
        <v>98</v>
      </c>
      <c r="D733" s="6" t="s">
        <v>338</v>
      </c>
      <c r="E733" s="6">
        <f>IF(Table13[[#This Row],[Quartile]]="TopQuartile", 1,
 IF(Table13[[#This Row],[Quartile]]="SecondQuartile", 2,
 IF(Table13[[#This Row],[Quartile]]="ThirdQuartile", 3,
 IF(Table13[[#This Row],[Quartile]]="FourthQuartile", 4, ""))))</f>
        <v>2</v>
      </c>
      <c r="F733" s="9" t="s">
        <v>503</v>
      </c>
      <c r="G733" s="9" t="str" cm="1">
        <f t="array" ref="G733">IFERROR(
  INDEX(Table13[Quartile],
    MATCH(1,
      (Table13[[#This Row],[OrgName]]=Table13[OrgName]) *
      (Table13[[#This Row],[Month Number]]-1=Table13[Month Number]),
    0)
  ),
"")</f>
        <v>TopQuartile</v>
      </c>
      <c r="H733" s="9">
        <f>IF(Table13[[#This Row],[Previous Quartile]]="TopQuartile", 1,
 IF(Table13[[#This Row],[Previous Quartile]]="SecondQuartile", 2,
 IF(Table13[[#This Row],[Previous Quartile]]="ThirdQuartile", 3,
 IF(Table13[[#This Row],[Previous Quartile]]="FourthQuartile", 4, ""))))</f>
        <v>1</v>
      </c>
      <c r="I733" s="9" t="str">
        <f>IF(Table13[[#This Row],[Previous Quartile Value]]="", "",
   IF(Table13[[#This Row],[Quartile Value]] &lt; Table13[[#This Row],[Previous Quartile Value]], "Improved",
   IF(Table13[[#This Row],[Quartile Value]] &gt; Table13[[#This Row],[Previous Quartile Value]], "Dropped", "Same")))</f>
        <v>Dropped</v>
      </c>
      <c r="J733" s="10" t="s">
        <v>18</v>
      </c>
      <c r="K733" s="7" t="str">
        <f>VLOOKUP(J733,Introduction!$B$6:$C$14,2)</f>
        <v>Midlands</v>
      </c>
      <c r="L733" s="11">
        <v>825</v>
      </c>
      <c r="M733" s="12" t="s">
        <v>496</v>
      </c>
    </row>
    <row r="734" spans="1:13" ht="19.95" customHeight="1" x14ac:dyDescent="0.25">
      <c r="A734" s="41">
        <v>45413</v>
      </c>
      <c r="B734" s="47">
        <f>MONTH(Table13[[#This Row],[YearMonth]])</f>
        <v>5</v>
      </c>
      <c r="C734" s="9" t="s">
        <v>66</v>
      </c>
      <c r="D734" s="6" t="s">
        <v>338</v>
      </c>
      <c r="E734" s="6">
        <f>IF(Table13[[#This Row],[Quartile]]="TopQuartile", 1,
 IF(Table13[[#This Row],[Quartile]]="SecondQuartile", 2,
 IF(Table13[[#This Row],[Quartile]]="ThirdQuartile", 3,
 IF(Table13[[#This Row],[Quartile]]="FourthQuartile", 4, ""))))</f>
        <v>2</v>
      </c>
      <c r="F734" s="9" t="s">
        <v>500</v>
      </c>
      <c r="G734" s="9" t="str" cm="1">
        <f t="array" ref="G734">IFERROR(
  INDEX(Table13[Quartile],
    MATCH(1,
      (Table13[[#This Row],[OrgName]]=Table13[OrgName]) *
      (Table13[[#This Row],[Month Number]]-1=Table13[Month Number]),
    0)
  ),
"")</f>
        <v>TopQuartile</v>
      </c>
      <c r="H734" s="9">
        <f>IF(Table13[[#This Row],[Previous Quartile]]="TopQuartile", 1,
 IF(Table13[[#This Row],[Previous Quartile]]="SecondQuartile", 2,
 IF(Table13[[#This Row],[Previous Quartile]]="ThirdQuartile", 3,
 IF(Table13[[#This Row],[Previous Quartile]]="FourthQuartile", 4, ""))))</f>
        <v>1</v>
      </c>
      <c r="I734" s="9" t="str">
        <f>IF(Table13[[#This Row],[Previous Quartile Value]]="", "",
   IF(Table13[[#This Row],[Quartile Value]] &lt; Table13[[#This Row],[Previous Quartile Value]], "Improved",
   IF(Table13[[#This Row],[Quartile Value]] &gt; Table13[[#This Row],[Previous Quartile Value]], "Dropped", "Same")))</f>
        <v>Dropped</v>
      </c>
      <c r="J734" s="10" t="s">
        <v>18</v>
      </c>
      <c r="K734" s="7" t="str">
        <f>VLOOKUP(J734,Introduction!$B$6:$C$14,2)</f>
        <v>Midlands</v>
      </c>
      <c r="L734" s="11">
        <v>818</v>
      </c>
      <c r="M734" s="12" t="s">
        <v>496</v>
      </c>
    </row>
    <row r="735" spans="1:13" ht="19.95" customHeight="1" x14ac:dyDescent="0.25">
      <c r="A735" s="41">
        <v>45413</v>
      </c>
      <c r="B735" s="47">
        <f>MONTH(Table13[[#This Row],[YearMonth]])</f>
        <v>5</v>
      </c>
      <c r="C735" s="9" t="s">
        <v>117</v>
      </c>
      <c r="D735" s="6" t="s">
        <v>338</v>
      </c>
      <c r="E735" s="6">
        <f>IF(Table13[[#This Row],[Quartile]]="TopQuartile", 1,
 IF(Table13[[#This Row],[Quartile]]="SecondQuartile", 2,
 IF(Table13[[#This Row],[Quartile]]="ThirdQuartile", 3,
 IF(Table13[[#This Row],[Quartile]]="FourthQuartile", 4, ""))))</f>
        <v>2</v>
      </c>
      <c r="F735" s="9" t="s">
        <v>504</v>
      </c>
      <c r="G735" s="9" t="str" cm="1">
        <f t="array" ref="G735">IFERROR(
  INDEX(Table13[Quartile],
    MATCH(1,
      (Table13[[#This Row],[OrgName]]=Table13[OrgName]) *
      (Table13[[#This Row],[Month Number]]-1=Table13[Month Number]),
    0)
  ),
"")</f>
        <v>SecondQuartile</v>
      </c>
      <c r="H735" s="9">
        <f>IF(Table13[[#This Row],[Previous Quartile]]="TopQuartile", 1,
 IF(Table13[[#This Row],[Previous Quartile]]="SecondQuartile", 2,
 IF(Table13[[#This Row],[Previous Quartile]]="ThirdQuartile", 3,
 IF(Table13[[#This Row],[Previous Quartile]]="FourthQuartile", 4, ""))))</f>
        <v>2</v>
      </c>
      <c r="I735" s="9" t="str">
        <f>IF(Table13[[#This Row],[Previous Quartile Value]]="", "",
   IF(Table13[[#This Row],[Quartile Value]] &lt; Table13[[#This Row],[Previous Quartile Value]], "Improved",
   IF(Table13[[#This Row],[Quartile Value]] &gt; Table13[[#This Row],[Previous Quartile Value]], "Dropped", "Same")))</f>
        <v>Same</v>
      </c>
      <c r="J735" s="10" t="s">
        <v>24</v>
      </c>
      <c r="K735" s="7" t="str">
        <f>VLOOKUP(J735,Introduction!$B$6:$C$14,2)</f>
        <v>North East and Yorkshire</v>
      </c>
      <c r="L735" s="11">
        <v>847</v>
      </c>
      <c r="M735" s="12" t="s">
        <v>496</v>
      </c>
    </row>
    <row r="736" spans="1:13" ht="19.95" customHeight="1" x14ac:dyDescent="0.25">
      <c r="A736" s="41">
        <v>45413</v>
      </c>
      <c r="B736" s="47">
        <f>MONTH(Table13[[#This Row],[YearMonth]])</f>
        <v>5</v>
      </c>
      <c r="C736" s="9" t="s">
        <v>133</v>
      </c>
      <c r="D736" s="6" t="s">
        <v>338</v>
      </c>
      <c r="E736" s="6">
        <f>IF(Table13[[#This Row],[Quartile]]="TopQuartile", 1,
 IF(Table13[[#This Row],[Quartile]]="SecondQuartile", 2,
 IF(Table13[[#This Row],[Quartile]]="ThirdQuartile", 3,
 IF(Table13[[#This Row],[Quartile]]="FourthQuartile", 4, ""))))</f>
        <v>2</v>
      </c>
      <c r="F736" s="9" t="s">
        <v>505</v>
      </c>
      <c r="G736" s="9" t="str" cm="1">
        <f t="array" ref="G736">IFERROR(
  INDEX(Table13[Quartile],
    MATCH(1,
      (Table13[[#This Row],[OrgName]]=Table13[OrgName]) *
      (Table13[[#This Row],[Month Number]]-1=Table13[Month Number]),
    0)
  ),
"")</f>
        <v>SecondQuartile</v>
      </c>
      <c r="H736" s="9">
        <f>IF(Table13[[#This Row],[Previous Quartile]]="TopQuartile", 1,
 IF(Table13[[#This Row],[Previous Quartile]]="SecondQuartile", 2,
 IF(Table13[[#This Row],[Previous Quartile]]="ThirdQuartile", 3,
 IF(Table13[[#This Row],[Previous Quartile]]="FourthQuartile", 4, ""))))</f>
        <v>2</v>
      </c>
      <c r="I736" s="9" t="str">
        <f>IF(Table13[[#This Row],[Previous Quartile Value]]="", "",
   IF(Table13[[#This Row],[Quartile Value]] &lt; Table13[[#This Row],[Previous Quartile Value]], "Improved",
   IF(Table13[[#This Row],[Quartile Value]] &gt; Table13[[#This Row],[Previous Quartile Value]], "Dropped", "Same")))</f>
        <v>Same</v>
      </c>
      <c r="J736" s="10" t="s">
        <v>20</v>
      </c>
      <c r="K736" s="7" t="str">
        <f>VLOOKUP(J736,Introduction!$B$6:$C$14,2)</f>
        <v>East of England</v>
      </c>
      <c r="L736" s="11">
        <v>849</v>
      </c>
      <c r="M736" s="12" t="s">
        <v>496</v>
      </c>
    </row>
    <row r="737" spans="1:13" ht="19.95" customHeight="1" x14ac:dyDescent="0.25">
      <c r="A737" s="41">
        <v>45413</v>
      </c>
      <c r="B737" s="47">
        <f>MONTH(Table13[[#This Row],[YearMonth]])</f>
        <v>5</v>
      </c>
      <c r="C737" s="9" t="s">
        <v>145</v>
      </c>
      <c r="D737" s="6" t="s">
        <v>338</v>
      </c>
      <c r="E737" s="6">
        <f>IF(Table13[[#This Row],[Quartile]]="TopQuartile", 1,
 IF(Table13[[#This Row],[Quartile]]="SecondQuartile", 2,
 IF(Table13[[#This Row],[Quartile]]="ThirdQuartile", 3,
 IF(Table13[[#This Row],[Quartile]]="FourthQuartile", 4, ""))))</f>
        <v>2</v>
      </c>
      <c r="F737" s="9" t="s">
        <v>507</v>
      </c>
      <c r="G737" s="9" t="str" cm="1">
        <f t="array" ref="G737">IFERROR(
  INDEX(Table13[Quartile],
    MATCH(1,
      (Table13[[#This Row],[OrgName]]=Table13[OrgName]) *
      (Table13[[#This Row],[Month Number]]-1=Table13[Month Number]),
    0)
  ),
"")</f>
        <v>SecondQuartile</v>
      </c>
      <c r="H737" s="9">
        <f>IF(Table13[[#This Row],[Previous Quartile]]="TopQuartile", 1,
 IF(Table13[[#This Row],[Previous Quartile]]="SecondQuartile", 2,
 IF(Table13[[#This Row],[Previous Quartile]]="ThirdQuartile", 3,
 IF(Table13[[#This Row],[Previous Quartile]]="FourthQuartile", 4, ""))))</f>
        <v>2</v>
      </c>
      <c r="I737" s="9" t="str">
        <f>IF(Table13[[#This Row],[Previous Quartile Value]]="", "",
   IF(Table13[[#This Row],[Quartile Value]] &lt; Table13[[#This Row],[Previous Quartile Value]], "Improved",
   IF(Table13[[#This Row],[Quartile Value]] &gt; Table13[[#This Row],[Previous Quartile Value]], "Dropped", "Same")))</f>
        <v>Same</v>
      </c>
      <c r="J737" s="10" t="s">
        <v>12</v>
      </c>
      <c r="K737" s="7" t="str">
        <f>VLOOKUP(J737,Introduction!$B$6:$C$14,2)</f>
        <v>London</v>
      </c>
      <c r="L737" s="11">
        <v>811</v>
      </c>
      <c r="M737" s="12" t="s">
        <v>496</v>
      </c>
    </row>
    <row r="738" spans="1:13" ht="19.95" customHeight="1" x14ac:dyDescent="0.25">
      <c r="A738" s="41">
        <v>45413</v>
      </c>
      <c r="B738" s="47">
        <f>MONTH(Table13[[#This Row],[YearMonth]])</f>
        <v>5</v>
      </c>
      <c r="C738" s="9" t="s">
        <v>134</v>
      </c>
      <c r="D738" s="6" t="s">
        <v>338</v>
      </c>
      <c r="E738" s="6">
        <f>IF(Table13[[#This Row],[Quartile]]="TopQuartile", 1,
 IF(Table13[[#This Row],[Quartile]]="SecondQuartile", 2,
 IF(Table13[[#This Row],[Quartile]]="ThirdQuartile", 3,
 IF(Table13[[#This Row],[Quartile]]="FourthQuartile", 4, ""))))</f>
        <v>2</v>
      </c>
      <c r="F738" s="9" t="s">
        <v>506</v>
      </c>
      <c r="G738" s="9" t="str" cm="1">
        <f t="array" ref="G738">IFERROR(
  INDEX(Table13[Quartile],
    MATCH(1,
      (Table13[[#This Row],[OrgName]]=Table13[OrgName]) *
      (Table13[[#This Row],[Month Number]]-1=Table13[Month Number]),
    0)
  ),
"")</f>
        <v>SecondQuartile</v>
      </c>
      <c r="H738" s="9">
        <f>IF(Table13[[#This Row],[Previous Quartile]]="TopQuartile", 1,
 IF(Table13[[#This Row],[Previous Quartile]]="SecondQuartile", 2,
 IF(Table13[[#This Row],[Previous Quartile]]="ThirdQuartile", 3,
 IF(Table13[[#This Row],[Previous Quartile]]="FourthQuartile", 4, ""))))</f>
        <v>2</v>
      </c>
      <c r="I738" s="9" t="str">
        <f>IF(Table13[[#This Row],[Previous Quartile Value]]="", "",
   IF(Table13[[#This Row],[Quartile Value]] &lt; Table13[[#This Row],[Previous Quartile Value]], "Improved",
   IF(Table13[[#This Row],[Quartile Value]] &gt; Table13[[#This Row],[Previous Quartile Value]], "Dropped", "Same")))</f>
        <v>Same</v>
      </c>
      <c r="J738" s="10" t="s">
        <v>24</v>
      </c>
      <c r="K738" s="7" t="str">
        <f>VLOOKUP(J738,Introduction!$B$6:$C$14,2)</f>
        <v>North East and Yorkshire</v>
      </c>
      <c r="L738" s="11">
        <v>814</v>
      </c>
      <c r="M738" s="12" t="s">
        <v>496</v>
      </c>
    </row>
    <row r="739" spans="1:13" ht="19.95" customHeight="1" x14ac:dyDescent="0.25">
      <c r="A739" s="41">
        <v>45413</v>
      </c>
      <c r="B739" s="47">
        <f>MONTH(Table13[[#This Row],[YearMonth]])</f>
        <v>5</v>
      </c>
      <c r="C739" s="9" t="s">
        <v>154</v>
      </c>
      <c r="D739" s="6" t="s">
        <v>338</v>
      </c>
      <c r="E739" s="6">
        <f>IF(Table13[[#This Row],[Quartile]]="TopQuartile", 1,
 IF(Table13[[#This Row],[Quartile]]="SecondQuartile", 2,
 IF(Table13[[#This Row],[Quartile]]="ThirdQuartile", 3,
 IF(Table13[[#This Row],[Quartile]]="FourthQuartile", 4, ""))))</f>
        <v>2</v>
      </c>
      <c r="F739" s="9" t="s">
        <v>508</v>
      </c>
      <c r="G739" s="9" t="str" cm="1">
        <f t="array" ref="G739">IFERROR(
  INDEX(Table13[Quartile],
    MATCH(1,
      (Table13[[#This Row],[OrgName]]=Table13[OrgName]) *
      (Table13[[#This Row],[Month Number]]-1=Table13[Month Number]),
    0)
  ),
"")</f>
        <v>SecondQuartile</v>
      </c>
      <c r="H739" s="9">
        <f>IF(Table13[[#This Row],[Previous Quartile]]="TopQuartile", 1,
 IF(Table13[[#This Row],[Previous Quartile]]="SecondQuartile", 2,
 IF(Table13[[#This Row],[Previous Quartile]]="ThirdQuartile", 3,
 IF(Table13[[#This Row],[Previous Quartile]]="FourthQuartile", 4, ""))))</f>
        <v>2</v>
      </c>
      <c r="I739" s="9" t="str">
        <f>IF(Table13[[#This Row],[Previous Quartile Value]]="", "",
   IF(Table13[[#This Row],[Quartile Value]] &lt; Table13[[#This Row],[Previous Quartile Value]], "Improved",
   IF(Table13[[#This Row],[Quartile Value]] &gt; Table13[[#This Row],[Previous Quartile Value]], "Dropped", "Same")))</f>
        <v>Same</v>
      </c>
      <c r="J739" s="10" t="s">
        <v>24</v>
      </c>
      <c r="K739" s="7" t="str">
        <f>VLOOKUP(J739,Introduction!$B$6:$C$14,2)</f>
        <v>North East and Yorkshire</v>
      </c>
      <c r="L739" s="11">
        <v>816</v>
      </c>
      <c r="M739" s="12" t="s">
        <v>496</v>
      </c>
    </row>
    <row r="740" spans="1:13" ht="19.95" customHeight="1" x14ac:dyDescent="0.25">
      <c r="A740" s="41">
        <v>45413</v>
      </c>
      <c r="B740" s="47">
        <f>MONTH(Table13[[#This Row],[YearMonth]])</f>
        <v>5</v>
      </c>
      <c r="C740" s="9" t="s">
        <v>158</v>
      </c>
      <c r="D740" s="6" t="s">
        <v>338</v>
      </c>
      <c r="E740" s="6">
        <f>IF(Table13[[#This Row],[Quartile]]="TopQuartile", 1,
 IF(Table13[[#This Row],[Quartile]]="SecondQuartile", 2,
 IF(Table13[[#This Row],[Quartile]]="ThirdQuartile", 3,
 IF(Table13[[#This Row],[Quartile]]="FourthQuartile", 4, ""))))</f>
        <v>2</v>
      </c>
      <c r="F740" s="9" t="s">
        <v>510</v>
      </c>
      <c r="G740" s="9" t="str" cm="1">
        <f t="array" ref="G740">IFERROR(
  INDEX(Table13[Quartile],
    MATCH(1,
      (Table13[[#This Row],[OrgName]]=Table13[OrgName]) *
      (Table13[[#This Row],[Month Number]]-1=Table13[Month Number]),
    0)
  ),
"")</f>
        <v>SecondQuartile</v>
      </c>
      <c r="H740" s="9">
        <f>IF(Table13[[#This Row],[Previous Quartile]]="TopQuartile", 1,
 IF(Table13[[#This Row],[Previous Quartile]]="SecondQuartile", 2,
 IF(Table13[[#This Row],[Previous Quartile]]="ThirdQuartile", 3,
 IF(Table13[[#This Row],[Previous Quartile]]="FourthQuartile", 4, ""))))</f>
        <v>2</v>
      </c>
      <c r="I740" s="9" t="str">
        <f>IF(Table13[[#This Row],[Previous Quartile Value]]="", "",
   IF(Table13[[#This Row],[Quartile Value]] &lt; Table13[[#This Row],[Previous Quartile Value]], "Improved",
   IF(Table13[[#This Row],[Quartile Value]] &gt; Table13[[#This Row],[Previous Quartile Value]], "Dropped", "Same")))</f>
        <v>Same</v>
      </c>
      <c r="J740" s="10" t="s">
        <v>12</v>
      </c>
      <c r="K740" s="7" t="str">
        <f>VLOOKUP(J740,Introduction!$B$6:$C$14,2)</f>
        <v>London</v>
      </c>
      <c r="L740" s="11">
        <v>779</v>
      </c>
      <c r="M740" s="12" t="s">
        <v>496</v>
      </c>
    </row>
    <row r="741" spans="1:13" ht="19.95" customHeight="1" x14ac:dyDescent="0.25">
      <c r="A741" s="41">
        <v>45413</v>
      </c>
      <c r="B741" s="47">
        <f>MONTH(Table13[[#This Row],[YearMonth]])</f>
        <v>5</v>
      </c>
      <c r="C741" s="9" t="s">
        <v>57</v>
      </c>
      <c r="D741" s="6" t="s">
        <v>338</v>
      </c>
      <c r="E741" s="6">
        <f>IF(Table13[[#This Row],[Quartile]]="TopQuartile", 1,
 IF(Table13[[#This Row],[Quartile]]="SecondQuartile", 2,
 IF(Table13[[#This Row],[Quartile]]="ThirdQuartile", 3,
 IF(Table13[[#This Row],[Quartile]]="FourthQuartile", 4, ""))))</f>
        <v>2</v>
      </c>
      <c r="F741" s="9" t="s">
        <v>499</v>
      </c>
      <c r="G741" s="9" t="str" cm="1">
        <f t="array" ref="G741">IFERROR(
  INDEX(Table13[Quartile],
    MATCH(1,
      (Table13[[#This Row],[OrgName]]=Table13[OrgName]) *
      (Table13[[#This Row],[Month Number]]-1=Table13[Month Number]),
    0)
  ),
"")</f>
        <v>SecondQuartile</v>
      </c>
      <c r="H741" s="9">
        <f>IF(Table13[[#This Row],[Previous Quartile]]="TopQuartile", 1,
 IF(Table13[[#This Row],[Previous Quartile]]="SecondQuartile", 2,
 IF(Table13[[#This Row],[Previous Quartile]]="ThirdQuartile", 3,
 IF(Table13[[#This Row],[Previous Quartile]]="FourthQuartile", 4, ""))))</f>
        <v>2</v>
      </c>
      <c r="I741" s="9" t="str">
        <f>IF(Table13[[#This Row],[Previous Quartile Value]]="", "",
   IF(Table13[[#This Row],[Quartile Value]] &lt; Table13[[#This Row],[Previous Quartile Value]], "Improved",
   IF(Table13[[#This Row],[Quartile Value]] &gt; Table13[[#This Row],[Previous Quartile Value]], "Dropped", "Same")))</f>
        <v>Same</v>
      </c>
      <c r="J741" s="10" t="s">
        <v>14</v>
      </c>
      <c r="K741" s="7" t="str">
        <f>VLOOKUP(J741,Introduction!$B$6:$C$14,2)</f>
        <v>South West</v>
      </c>
      <c r="L741" s="11">
        <v>85</v>
      </c>
      <c r="M741" s="12" t="s">
        <v>496</v>
      </c>
    </row>
    <row r="742" spans="1:13" ht="19.95" customHeight="1" x14ac:dyDescent="0.25">
      <c r="A742" s="41">
        <v>45413</v>
      </c>
      <c r="B742" s="47">
        <f>MONTH(Table13[[#This Row],[YearMonth]])</f>
        <v>5</v>
      </c>
      <c r="C742" s="9" t="s">
        <v>112</v>
      </c>
      <c r="D742" s="6" t="s">
        <v>338</v>
      </c>
      <c r="E742" s="6">
        <f>IF(Table13[[#This Row],[Quartile]]="TopQuartile", 1,
 IF(Table13[[#This Row],[Quartile]]="SecondQuartile", 2,
 IF(Table13[[#This Row],[Quartile]]="ThirdQuartile", 3,
 IF(Table13[[#This Row],[Quartile]]="FourthQuartile", 4, ""))))</f>
        <v>2</v>
      </c>
      <c r="F742" s="9" t="s">
        <v>113</v>
      </c>
      <c r="G742" s="9" t="str" cm="1">
        <f t="array" ref="G742">IFERROR(
  INDEX(Table13[Quartile],
    MATCH(1,
      (Table13[[#This Row],[OrgName]]=Table13[OrgName]) *
      (Table13[[#This Row],[Month Number]]-1=Table13[Month Number]),
    0)
  ),
"")</f>
        <v>TopQuartile</v>
      </c>
      <c r="H742" s="9">
        <f>IF(Table13[[#This Row],[Previous Quartile]]="TopQuartile", 1,
 IF(Table13[[#This Row],[Previous Quartile]]="SecondQuartile", 2,
 IF(Table13[[#This Row],[Previous Quartile]]="ThirdQuartile", 3,
 IF(Table13[[#This Row],[Previous Quartile]]="FourthQuartile", 4, ""))))</f>
        <v>1</v>
      </c>
      <c r="I742" s="9" t="str">
        <f>IF(Table13[[#This Row],[Previous Quartile Value]]="", "",
   IF(Table13[[#This Row],[Quartile Value]] &lt; Table13[[#This Row],[Previous Quartile Value]], "Improved",
   IF(Table13[[#This Row],[Quartile Value]] &gt; Table13[[#This Row],[Previous Quartile Value]], "Dropped", "Same")))</f>
        <v>Dropped</v>
      </c>
      <c r="J742" s="10" t="s">
        <v>20</v>
      </c>
      <c r="K742" s="7" t="str">
        <f>VLOOKUP(J742,Introduction!$B$6:$C$14,2)</f>
        <v>East of England</v>
      </c>
      <c r="L742" s="11">
        <v>828</v>
      </c>
      <c r="M742" s="12" t="s">
        <v>496</v>
      </c>
    </row>
    <row r="743" spans="1:13" ht="19.95" customHeight="1" x14ac:dyDescent="0.25">
      <c r="A743" s="41">
        <v>45413</v>
      </c>
      <c r="B743" s="47">
        <f>MONTH(Table13[[#This Row],[YearMonth]])</f>
        <v>5</v>
      </c>
      <c r="C743" s="9" t="s">
        <v>175</v>
      </c>
      <c r="D743" s="6" t="s">
        <v>338</v>
      </c>
      <c r="E743" s="6">
        <f>IF(Table13[[#This Row],[Quartile]]="TopQuartile", 1,
 IF(Table13[[#This Row],[Quartile]]="SecondQuartile", 2,
 IF(Table13[[#This Row],[Quartile]]="ThirdQuartile", 3,
 IF(Table13[[#This Row],[Quartile]]="FourthQuartile", 4, ""))))</f>
        <v>2</v>
      </c>
      <c r="F743" s="9" t="s">
        <v>512</v>
      </c>
      <c r="G743" s="9" t="str" cm="1">
        <f t="array" ref="G743">IFERROR(
  INDEX(Table13[Quartile],
    MATCH(1,
      (Table13[[#This Row],[OrgName]]=Table13[OrgName]) *
      (Table13[[#This Row],[Month Number]]-1=Table13[Month Number]),
    0)
  ),
"")</f>
        <v>SecondQuartile</v>
      </c>
      <c r="H743" s="9">
        <f>IF(Table13[[#This Row],[Previous Quartile]]="TopQuartile", 1,
 IF(Table13[[#This Row],[Previous Quartile]]="SecondQuartile", 2,
 IF(Table13[[#This Row],[Previous Quartile]]="ThirdQuartile", 3,
 IF(Table13[[#This Row],[Previous Quartile]]="FourthQuartile", 4, ""))))</f>
        <v>2</v>
      </c>
      <c r="I743" s="9" t="str">
        <f>IF(Table13[[#This Row],[Previous Quartile Value]]="", "",
   IF(Table13[[#This Row],[Quartile Value]] &lt; Table13[[#This Row],[Previous Quartile Value]], "Improved",
   IF(Table13[[#This Row],[Quartile Value]] &gt; Table13[[#This Row],[Previous Quartile Value]], "Dropped", "Same")))</f>
        <v>Same</v>
      </c>
      <c r="J743" s="10" t="s">
        <v>18</v>
      </c>
      <c r="K743" s="7" t="str">
        <f>VLOOKUP(J743,Introduction!$B$6:$C$14,2)</f>
        <v>Midlands</v>
      </c>
      <c r="L743" s="11">
        <v>798</v>
      </c>
      <c r="M743" s="12" t="s">
        <v>496</v>
      </c>
    </row>
    <row r="744" spans="1:13" ht="19.95" customHeight="1" x14ac:dyDescent="0.25">
      <c r="A744" s="41">
        <v>45413</v>
      </c>
      <c r="B744" s="47">
        <f>MONTH(Table13[[#This Row],[YearMonth]])</f>
        <v>5</v>
      </c>
      <c r="C744" s="9" t="s">
        <v>171</v>
      </c>
      <c r="D744" s="6" t="s">
        <v>341</v>
      </c>
      <c r="E744" s="6">
        <f>IF(Table13[[#This Row],[Quartile]]="TopQuartile", 1,
 IF(Table13[[#This Row],[Quartile]]="SecondQuartile", 2,
 IF(Table13[[#This Row],[Quartile]]="ThirdQuartile", 3,
 IF(Table13[[#This Row],[Quartile]]="FourthQuartile", 4, ""))))</f>
        <v>3</v>
      </c>
      <c r="F744" s="9" t="s">
        <v>511</v>
      </c>
      <c r="G744" s="9" t="str" cm="1">
        <f t="array" ref="G744">IFERROR(
  INDEX(Table13[Quartile],
    MATCH(1,
      (Table13[[#This Row],[OrgName]]=Table13[OrgName]) *
      (Table13[[#This Row],[Month Number]]-1=Table13[Month Number]),
    0)
  ),
"")</f>
        <v>ThirdQuartile</v>
      </c>
      <c r="H744" s="9">
        <f>IF(Table13[[#This Row],[Previous Quartile]]="TopQuartile", 1,
 IF(Table13[[#This Row],[Previous Quartile]]="SecondQuartile", 2,
 IF(Table13[[#This Row],[Previous Quartile]]="ThirdQuartile", 3,
 IF(Table13[[#This Row],[Previous Quartile]]="FourthQuartile", 4, ""))))</f>
        <v>3</v>
      </c>
      <c r="I744" s="9" t="str">
        <f>IF(Table13[[#This Row],[Previous Quartile Value]]="", "",
   IF(Table13[[#This Row],[Quartile Value]] &lt; Table13[[#This Row],[Previous Quartile Value]], "Improved",
   IF(Table13[[#This Row],[Quartile Value]] &gt; Table13[[#This Row],[Previous Quartile Value]], "Dropped", "Same")))</f>
        <v>Same</v>
      </c>
      <c r="J744" s="10" t="s">
        <v>20</v>
      </c>
      <c r="K744" s="7" t="str">
        <f>VLOOKUP(J744,Introduction!$B$6:$C$14,2)</f>
        <v>East of England</v>
      </c>
      <c r="L744" s="11">
        <v>839</v>
      </c>
      <c r="M744" s="12" t="s">
        <v>496</v>
      </c>
    </row>
    <row r="745" spans="1:13" ht="19.95" customHeight="1" x14ac:dyDescent="0.25">
      <c r="A745" s="41">
        <v>45413</v>
      </c>
      <c r="B745" s="47">
        <f>MONTH(Table13[[#This Row],[YearMonth]])</f>
        <v>5</v>
      </c>
      <c r="C745" s="9" t="s">
        <v>156</v>
      </c>
      <c r="D745" s="6" t="s">
        <v>341</v>
      </c>
      <c r="E745" s="6">
        <f>IF(Table13[[#This Row],[Quartile]]="TopQuartile", 1,
 IF(Table13[[#This Row],[Quartile]]="SecondQuartile", 2,
 IF(Table13[[#This Row],[Quartile]]="ThirdQuartile", 3,
 IF(Table13[[#This Row],[Quartile]]="FourthQuartile", 4, ""))))</f>
        <v>3</v>
      </c>
      <c r="F745" s="9" t="s">
        <v>509</v>
      </c>
      <c r="G745" s="9" t="str" cm="1">
        <f t="array" ref="G745">IFERROR(
  INDEX(Table13[Quartile],
    MATCH(1,
      (Table13[[#This Row],[OrgName]]=Table13[OrgName]) *
      (Table13[[#This Row],[Month Number]]-1=Table13[Month Number]),
    0)
  ),
"")</f>
        <v>ThirdQuartile</v>
      </c>
      <c r="H745" s="9">
        <f>IF(Table13[[#This Row],[Previous Quartile]]="TopQuartile", 1,
 IF(Table13[[#This Row],[Previous Quartile]]="SecondQuartile", 2,
 IF(Table13[[#This Row],[Previous Quartile]]="ThirdQuartile", 3,
 IF(Table13[[#This Row],[Previous Quartile]]="FourthQuartile", 4, ""))))</f>
        <v>3</v>
      </c>
      <c r="I745" s="9" t="str">
        <f>IF(Table13[[#This Row],[Previous Quartile Value]]="", "",
   IF(Table13[[#This Row],[Quartile Value]] &lt; Table13[[#This Row],[Previous Quartile Value]], "Improved",
   IF(Table13[[#This Row],[Quartile Value]] &gt; Table13[[#This Row],[Previous Quartile Value]], "Dropped", "Same")))</f>
        <v>Same</v>
      </c>
      <c r="J745" s="10" t="s">
        <v>20</v>
      </c>
      <c r="K745" s="7" t="str">
        <f>VLOOKUP(J745,Introduction!$B$6:$C$14,2)</f>
        <v>East of England</v>
      </c>
      <c r="L745" s="11">
        <v>812</v>
      </c>
      <c r="M745" s="12" t="s">
        <v>496</v>
      </c>
    </row>
    <row r="746" spans="1:13" ht="19.95" customHeight="1" x14ac:dyDescent="0.25">
      <c r="A746" s="41">
        <v>45413</v>
      </c>
      <c r="B746" s="47">
        <f>MONTH(Table13[[#This Row],[YearMonth]])</f>
        <v>5</v>
      </c>
      <c r="C746" s="9" t="s">
        <v>199</v>
      </c>
      <c r="D746" s="6" t="s">
        <v>341</v>
      </c>
      <c r="E746" s="6">
        <f>IF(Table13[[#This Row],[Quartile]]="TopQuartile", 1,
 IF(Table13[[#This Row],[Quartile]]="SecondQuartile", 2,
 IF(Table13[[#This Row],[Quartile]]="ThirdQuartile", 3,
 IF(Table13[[#This Row],[Quartile]]="FourthQuartile", 4, ""))))</f>
        <v>3</v>
      </c>
      <c r="F746" s="9" t="s">
        <v>515</v>
      </c>
      <c r="G746" s="9" t="str" cm="1">
        <f t="array" ref="G746">IFERROR(
  INDEX(Table13[Quartile],
    MATCH(1,
      (Table13[[#This Row],[OrgName]]=Table13[OrgName]) *
      (Table13[[#This Row],[Month Number]]-1=Table13[Month Number]),
    0)
  ),
"")</f>
        <v>ThirdQuartile</v>
      </c>
      <c r="H746" s="9">
        <f>IF(Table13[[#This Row],[Previous Quartile]]="TopQuartile", 1,
 IF(Table13[[#This Row],[Previous Quartile]]="SecondQuartile", 2,
 IF(Table13[[#This Row],[Previous Quartile]]="ThirdQuartile", 3,
 IF(Table13[[#This Row],[Previous Quartile]]="FourthQuartile", 4, ""))))</f>
        <v>3</v>
      </c>
      <c r="I746" s="9" t="str">
        <f>IF(Table13[[#This Row],[Previous Quartile Value]]="", "",
   IF(Table13[[#This Row],[Quartile Value]] &lt; Table13[[#This Row],[Previous Quartile Value]], "Improved",
   IF(Table13[[#This Row],[Quartile Value]] &gt; Table13[[#This Row],[Previous Quartile Value]], "Dropped", "Same")))</f>
        <v>Same</v>
      </c>
      <c r="J746" s="10" t="s">
        <v>24</v>
      </c>
      <c r="K746" s="7" t="str">
        <f>VLOOKUP(J746,Introduction!$B$6:$C$14,2)</f>
        <v>North East and Yorkshire</v>
      </c>
      <c r="L746" s="11">
        <v>810</v>
      </c>
      <c r="M746" s="12" t="s">
        <v>496</v>
      </c>
    </row>
    <row r="747" spans="1:13" ht="19.95" customHeight="1" x14ac:dyDescent="0.25">
      <c r="A747" s="41">
        <v>45413</v>
      </c>
      <c r="B747" s="47">
        <f>MONTH(Table13[[#This Row],[YearMonth]])</f>
        <v>5</v>
      </c>
      <c r="C747" s="9" t="s">
        <v>193</v>
      </c>
      <c r="D747" s="6" t="s">
        <v>341</v>
      </c>
      <c r="E747" s="6">
        <f>IF(Table13[[#This Row],[Quartile]]="TopQuartile", 1,
 IF(Table13[[#This Row],[Quartile]]="SecondQuartile", 2,
 IF(Table13[[#This Row],[Quartile]]="ThirdQuartile", 3,
 IF(Table13[[#This Row],[Quartile]]="FourthQuartile", 4, ""))))</f>
        <v>3</v>
      </c>
      <c r="F747" s="9" t="s">
        <v>513</v>
      </c>
      <c r="G747" s="9" t="str" cm="1">
        <f t="array" ref="G747">IFERROR(
  INDEX(Table13[Quartile],
    MATCH(1,
      (Table13[[#This Row],[OrgName]]=Table13[OrgName]) *
      (Table13[[#This Row],[Month Number]]-1=Table13[Month Number]),
    0)
  ),
"")</f>
        <v>ThirdQuartile</v>
      </c>
      <c r="H747" s="9">
        <f>IF(Table13[[#This Row],[Previous Quartile]]="TopQuartile", 1,
 IF(Table13[[#This Row],[Previous Quartile]]="SecondQuartile", 2,
 IF(Table13[[#This Row],[Previous Quartile]]="ThirdQuartile", 3,
 IF(Table13[[#This Row],[Previous Quartile]]="FourthQuartile", 4, ""))))</f>
        <v>3</v>
      </c>
      <c r="I747" s="9" t="str">
        <f>IF(Table13[[#This Row],[Previous Quartile Value]]="", "",
   IF(Table13[[#This Row],[Quartile Value]] &lt; Table13[[#This Row],[Previous Quartile Value]], "Improved",
   IF(Table13[[#This Row],[Quartile Value]] &gt; Table13[[#This Row],[Previous Quartile Value]], "Dropped", "Same")))</f>
        <v>Same</v>
      </c>
      <c r="J747" s="10" t="s">
        <v>20</v>
      </c>
      <c r="K747" s="7" t="str">
        <f>VLOOKUP(J747,Introduction!$B$6:$C$14,2)</f>
        <v>East of England</v>
      </c>
      <c r="L747" s="11">
        <v>448</v>
      </c>
      <c r="M747" s="12" t="s">
        <v>496</v>
      </c>
    </row>
    <row r="748" spans="1:13" ht="19.95" customHeight="1" x14ac:dyDescent="0.25">
      <c r="A748" s="41">
        <v>45413</v>
      </c>
      <c r="B748" s="47">
        <f>MONTH(Table13[[#This Row],[YearMonth]])</f>
        <v>5</v>
      </c>
      <c r="C748" s="9" t="s">
        <v>230</v>
      </c>
      <c r="D748" s="6" t="s">
        <v>341</v>
      </c>
      <c r="E748" s="6">
        <f>IF(Table13[[#This Row],[Quartile]]="TopQuartile", 1,
 IF(Table13[[#This Row],[Quartile]]="SecondQuartile", 2,
 IF(Table13[[#This Row],[Quartile]]="ThirdQuartile", 3,
 IF(Table13[[#This Row],[Quartile]]="FourthQuartile", 4, ""))))</f>
        <v>3</v>
      </c>
      <c r="F748" s="9" t="s">
        <v>517</v>
      </c>
      <c r="G748" s="9" t="str" cm="1">
        <f t="array" ref="G748">IFERROR(
  INDEX(Table13[Quartile],
    MATCH(1,
      (Table13[[#This Row],[OrgName]]=Table13[OrgName]) *
      (Table13[[#This Row],[Month Number]]-1=Table13[Month Number]),
    0)
  ),
"")</f>
        <v>ThirdQuartile</v>
      </c>
      <c r="H748" s="9">
        <f>IF(Table13[[#This Row],[Previous Quartile]]="TopQuartile", 1,
 IF(Table13[[#This Row],[Previous Quartile]]="SecondQuartile", 2,
 IF(Table13[[#This Row],[Previous Quartile]]="ThirdQuartile", 3,
 IF(Table13[[#This Row],[Previous Quartile]]="FourthQuartile", 4, ""))))</f>
        <v>3</v>
      </c>
      <c r="I748" s="9" t="str">
        <f>IF(Table13[[#This Row],[Previous Quartile Value]]="", "",
   IF(Table13[[#This Row],[Quartile Value]] &lt; Table13[[#This Row],[Previous Quartile Value]], "Improved",
   IF(Table13[[#This Row],[Quartile Value]] &gt; Table13[[#This Row],[Previous Quartile Value]], "Dropped", "Same")))</f>
        <v>Same</v>
      </c>
      <c r="J748" s="10" t="s">
        <v>18</v>
      </c>
      <c r="K748" s="7" t="str">
        <f>VLOOKUP(J748,Introduction!$B$6:$C$14,2)</f>
        <v>Midlands</v>
      </c>
      <c r="L748" s="11">
        <v>826</v>
      </c>
      <c r="M748" s="12" t="s">
        <v>496</v>
      </c>
    </row>
    <row r="749" spans="1:13" ht="19.95" customHeight="1" x14ac:dyDescent="0.25">
      <c r="A749" s="41">
        <v>45413</v>
      </c>
      <c r="B749" s="47">
        <f>MONTH(Table13[[#This Row],[YearMonth]])</f>
        <v>5</v>
      </c>
      <c r="C749" s="9" t="s">
        <v>196</v>
      </c>
      <c r="D749" s="6" t="s">
        <v>341</v>
      </c>
      <c r="E749" s="6">
        <f>IF(Table13[[#This Row],[Quartile]]="TopQuartile", 1,
 IF(Table13[[#This Row],[Quartile]]="SecondQuartile", 2,
 IF(Table13[[#This Row],[Quartile]]="ThirdQuartile", 3,
 IF(Table13[[#This Row],[Quartile]]="FourthQuartile", 4, ""))))</f>
        <v>3</v>
      </c>
      <c r="F749" s="9" t="s">
        <v>514</v>
      </c>
      <c r="G749" s="9" t="str" cm="1">
        <f t="array" ref="G749">IFERROR(
  INDEX(Table13[Quartile],
    MATCH(1,
      (Table13[[#This Row],[OrgName]]=Table13[OrgName]) *
      (Table13[[#This Row],[Month Number]]-1=Table13[Month Number]),
    0)
  ),
"")</f>
        <v>ThirdQuartile</v>
      </c>
      <c r="H749" s="9">
        <f>IF(Table13[[#This Row],[Previous Quartile]]="TopQuartile", 1,
 IF(Table13[[#This Row],[Previous Quartile]]="SecondQuartile", 2,
 IF(Table13[[#This Row],[Previous Quartile]]="ThirdQuartile", 3,
 IF(Table13[[#This Row],[Previous Quartile]]="FourthQuartile", 4, ""))))</f>
        <v>3</v>
      </c>
      <c r="I749" s="9" t="str">
        <f>IF(Table13[[#This Row],[Previous Quartile Value]]="", "",
   IF(Table13[[#This Row],[Quartile Value]] &lt; Table13[[#This Row],[Previous Quartile Value]], "Improved",
   IF(Table13[[#This Row],[Quartile Value]] &gt; Table13[[#This Row],[Previous Quartile Value]], "Dropped", "Same")))</f>
        <v>Same</v>
      </c>
      <c r="J749" s="10" t="s">
        <v>18</v>
      </c>
      <c r="K749" s="7" t="str">
        <f>VLOOKUP(J749,Introduction!$B$6:$C$14,2)</f>
        <v>Midlands</v>
      </c>
      <c r="L749" s="11">
        <v>842</v>
      </c>
      <c r="M749" s="12" t="s">
        <v>496</v>
      </c>
    </row>
    <row r="750" spans="1:13" ht="19.95" customHeight="1" x14ac:dyDescent="0.25">
      <c r="A750" s="41">
        <v>45413</v>
      </c>
      <c r="B750" s="47">
        <f>MONTH(Table13[[#This Row],[YearMonth]])</f>
        <v>5</v>
      </c>
      <c r="C750" s="9" t="s">
        <v>219</v>
      </c>
      <c r="D750" s="6" t="s">
        <v>350</v>
      </c>
      <c r="E750" s="6">
        <f>IF(Table13[[#This Row],[Quartile]]="TopQuartile", 1,
 IF(Table13[[#This Row],[Quartile]]="SecondQuartile", 2,
 IF(Table13[[#This Row],[Quartile]]="ThirdQuartile", 3,
 IF(Table13[[#This Row],[Quartile]]="FourthQuartile", 4, ""))))</f>
        <v>4</v>
      </c>
      <c r="F750" s="9" t="s">
        <v>516</v>
      </c>
      <c r="G750" s="9" t="str" cm="1">
        <f t="array" ref="G750">IFERROR(
  INDEX(Table13[Quartile],
    MATCH(1,
      (Table13[[#This Row],[OrgName]]=Table13[OrgName]) *
      (Table13[[#This Row],[Month Number]]-1=Table13[Month Number]),
    0)
  ),
"")</f>
        <v>ThirdQuartile</v>
      </c>
      <c r="H750" s="9">
        <f>IF(Table13[[#This Row],[Previous Quartile]]="TopQuartile", 1,
 IF(Table13[[#This Row],[Previous Quartile]]="SecondQuartile", 2,
 IF(Table13[[#This Row],[Previous Quartile]]="ThirdQuartile", 3,
 IF(Table13[[#This Row],[Previous Quartile]]="FourthQuartile", 4, ""))))</f>
        <v>3</v>
      </c>
      <c r="I750" s="9" t="str">
        <f>IF(Table13[[#This Row],[Previous Quartile Value]]="", "",
   IF(Table13[[#This Row],[Quartile Value]] &lt; Table13[[#This Row],[Previous Quartile Value]], "Improved",
   IF(Table13[[#This Row],[Quartile Value]] &gt; Table13[[#This Row],[Previous Quartile Value]], "Dropped", "Same")))</f>
        <v>Dropped</v>
      </c>
      <c r="J750" s="10" t="s">
        <v>22</v>
      </c>
      <c r="K750" s="7" t="str">
        <f>VLOOKUP(J750,Introduction!$B$6:$C$14,2)</f>
        <v>North West</v>
      </c>
      <c r="L750" s="11">
        <v>835</v>
      </c>
      <c r="M750" s="12" t="s">
        <v>496</v>
      </c>
    </row>
    <row r="751" spans="1:13" ht="19.95" customHeight="1" x14ac:dyDescent="0.25">
      <c r="A751" s="41">
        <v>45413</v>
      </c>
      <c r="B751" s="47">
        <f>MONTH(Table13[[#This Row],[YearMonth]])</f>
        <v>5</v>
      </c>
      <c r="C751" s="9" t="s">
        <v>233</v>
      </c>
      <c r="D751" s="6" t="s">
        <v>350</v>
      </c>
      <c r="E751" s="6">
        <f>IF(Table13[[#This Row],[Quartile]]="TopQuartile", 1,
 IF(Table13[[#This Row],[Quartile]]="SecondQuartile", 2,
 IF(Table13[[#This Row],[Quartile]]="ThirdQuartile", 3,
 IF(Table13[[#This Row],[Quartile]]="FourthQuartile", 4, ""))))</f>
        <v>4</v>
      </c>
      <c r="F751" s="9" t="s">
        <v>518</v>
      </c>
      <c r="G751" s="9" t="str" cm="1">
        <f t="array" ref="G751">IFERROR(
  INDEX(Table13[Quartile],
    MATCH(1,
      (Table13[[#This Row],[OrgName]]=Table13[OrgName]) *
      (Table13[[#This Row],[Month Number]]-1=Table13[Month Number]),
    0)
  ),
"")</f>
        <v>ThirdQuartile</v>
      </c>
      <c r="H751" s="9">
        <f>IF(Table13[[#This Row],[Previous Quartile]]="TopQuartile", 1,
 IF(Table13[[#This Row],[Previous Quartile]]="SecondQuartile", 2,
 IF(Table13[[#This Row],[Previous Quartile]]="ThirdQuartile", 3,
 IF(Table13[[#This Row],[Previous Quartile]]="FourthQuartile", 4, ""))))</f>
        <v>3</v>
      </c>
      <c r="I751" s="9" t="str">
        <f>IF(Table13[[#This Row],[Previous Quartile Value]]="", "",
   IF(Table13[[#This Row],[Quartile Value]] &lt; Table13[[#This Row],[Previous Quartile Value]], "Improved",
   IF(Table13[[#This Row],[Quartile Value]] &gt; Table13[[#This Row],[Previous Quartile Value]], "Dropped", "Same")))</f>
        <v>Dropped</v>
      </c>
      <c r="J751" s="10" t="s">
        <v>18</v>
      </c>
      <c r="K751" s="7" t="str">
        <f>VLOOKUP(J751,Introduction!$B$6:$C$14,2)</f>
        <v>Midlands</v>
      </c>
      <c r="L751" s="11">
        <v>820</v>
      </c>
      <c r="M751" s="12" t="s">
        <v>496</v>
      </c>
    </row>
    <row r="752" spans="1:13" ht="19.95" customHeight="1" x14ac:dyDescent="0.25">
      <c r="A752" s="41">
        <v>45413</v>
      </c>
      <c r="B752" s="47">
        <f>MONTH(Table13[[#This Row],[YearMonth]])</f>
        <v>5</v>
      </c>
      <c r="C752" s="9" t="s">
        <v>238</v>
      </c>
      <c r="D752" s="6" t="s">
        <v>350</v>
      </c>
      <c r="E752" s="6">
        <f>IF(Table13[[#This Row],[Quartile]]="TopQuartile", 1,
 IF(Table13[[#This Row],[Quartile]]="SecondQuartile", 2,
 IF(Table13[[#This Row],[Quartile]]="ThirdQuartile", 3,
 IF(Table13[[#This Row],[Quartile]]="FourthQuartile", 4, ""))))</f>
        <v>4</v>
      </c>
      <c r="F752" s="9" t="s">
        <v>519</v>
      </c>
      <c r="G752" s="9" t="str" cm="1">
        <f t="array" ref="G752">IFERROR(
  INDEX(Table13[Quartile],
    MATCH(1,
      (Table13[[#This Row],[OrgName]]=Table13[OrgName]) *
      (Table13[[#This Row],[Month Number]]-1=Table13[Month Number]),
    0)
  ),
"")</f>
        <v>ThirdQuartile</v>
      </c>
      <c r="H752" s="9">
        <f>IF(Table13[[#This Row],[Previous Quartile]]="TopQuartile", 1,
 IF(Table13[[#This Row],[Previous Quartile]]="SecondQuartile", 2,
 IF(Table13[[#This Row],[Previous Quartile]]="ThirdQuartile", 3,
 IF(Table13[[#This Row],[Previous Quartile]]="FourthQuartile", 4, ""))))</f>
        <v>3</v>
      </c>
      <c r="I752" s="9" t="str">
        <f>IF(Table13[[#This Row],[Previous Quartile Value]]="", "",
   IF(Table13[[#This Row],[Quartile Value]] &lt; Table13[[#This Row],[Previous Quartile Value]], "Improved",
   IF(Table13[[#This Row],[Quartile Value]] &gt; Table13[[#This Row],[Previous Quartile Value]], "Dropped", "Same")))</f>
        <v>Dropped</v>
      </c>
      <c r="J752" s="10" t="s">
        <v>24</v>
      </c>
      <c r="K752" s="7" t="str">
        <f>VLOOKUP(J752,Introduction!$B$6:$C$14,2)</f>
        <v>North East and Yorkshire</v>
      </c>
      <c r="L752" s="11">
        <v>845</v>
      </c>
      <c r="M752" s="12" t="s">
        <v>496</v>
      </c>
    </row>
    <row r="753" spans="1:13" ht="19.95" customHeight="1" x14ac:dyDescent="0.25">
      <c r="A753" s="41">
        <v>45413</v>
      </c>
      <c r="B753" s="47">
        <f>MONTH(Table13[[#This Row],[YearMonth]])</f>
        <v>5</v>
      </c>
      <c r="C753" s="9" t="s">
        <v>248</v>
      </c>
      <c r="D753" s="6" t="s">
        <v>350</v>
      </c>
      <c r="E753" s="6">
        <f>IF(Table13[[#This Row],[Quartile]]="TopQuartile", 1,
 IF(Table13[[#This Row],[Quartile]]="SecondQuartile", 2,
 IF(Table13[[#This Row],[Quartile]]="ThirdQuartile", 3,
 IF(Table13[[#This Row],[Quartile]]="FourthQuartile", 4, ""))))</f>
        <v>4</v>
      </c>
      <c r="F753" s="9" t="s">
        <v>520</v>
      </c>
      <c r="G753" s="9" t="str" cm="1">
        <f t="array" ref="G753">IFERROR(
  INDEX(Table13[Quartile],
    MATCH(1,
      (Table13[[#This Row],[OrgName]]=Table13[OrgName]) *
      (Table13[[#This Row],[Month Number]]-1=Table13[Month Number]),
    0)
  ),
"")</f>
        <v>ThirdQuartile</v>
      </c>
      <c r="H753" s="9">
        <f>IF(Table13[[#This Row],[Previous Quartile]]="TopQuartile", 1,
 IF(Table13[[#This Row],[Previous Quartile]]="SecondQuartile", 2,
 IF(Table13[[#This Row],[Previous Quartile]]="ThirdQuartile", 3,
 IF(Table13[[#This Row],[Previous Quartile]]="FourthQuartile", 4, ""))))</f>
        <v>3</v>
      </c>
      <c r="I753" s="9" t="str">
        <f>IF(Table13[[#This Row],[Previous Quartile Value]]="", "",
   IF(Table13[[#This Row],[Quartile Value]] &lt; Table13[[#This Row],[Previous Quartile Value]], "Improved",
   IF(Table13[[#This Row],[Quartile Value]] &gt; Table13[[#This Row],[Previous Quartile Value]], "Dropped", "Same")))</f>
        <v>Dropped</v>
      </c>
      <c r="J753" s="10" t="s">
        <v>12</v>
      </c>
      <c r="K753" s="7" t="str">
        <f>VLOOKUP(J753,Introduction!$B$6:$C$14,2)</f>
        <v>London</v>
      </c>
      <c r="L753" s="11">
        <v>848</v>
      </c>
      <c r="M753" s="12" t="s">
        <v>496</v>
      </c>
    </row>
    <row r="754" spans="1:13" ht="19.95" customHeight="1" x14ac:dyDescent="0.25">
      <c r="A754" s="41">
        <v>45413</v>
      </c>
      <c r="B754" s="47">
        <f>MONTH(Table13[[#This Row],[YearMonth]])</f>
        <v>5</v>
      </c>
      <c r="C754" s="9" t="s">
        <v>260</v>
      </c>
      <c r="D754" s="6" t="s">
        <v>350</v>
      </c>
      <c r="E754" s="6">
        <f>IF(Table13[[#This Row],[Quartile]]="TopQuartile", 1,
 IF(Table13[[#This Row],[Quartile]]="SecondQuartile", 2,
 IF(Table13[[#This Row],[Quartile]]="ThirdQuartile", 3,
 IF(Table13[[#This Row],[Quartile]]="FourthQuartile", 4, ""))))</f>
        <v>4</v>
      </c>
      <c r="F754" s="9" t="s">
        <v>522</v>
      </c>
      <c r="G754" s="9" t="str" cm="1">
        <f t="array" ref="G754">IFERROR(
  INDEX(Table13[Quartile],
    MATCH(1,
      (Table13[[#This Row],[OrgName]]=Table13[OrgName]) *
      (Table13[[#This Row],[Month Number]]-1=Table13[Month Number]),
    0)
  ),
"")</f>
        <v>FourthQuartile</v>
      </c>
      <c r="H754" s="9">
        <f>IF(Table13[[#This Row],[Previous Quartile]]="TopQuartile", 1,
 IF(Table13[[#This Row],[Previous Quartile]]="SecondQuartile", 2,
 IF(Table13[[#This Row],[Previous Quartile]]="ThirdQuartile", 3,
 IF(Table13[[#This Row],[Previous Quartile]]="FourthQuartile", 4, ""))))</f>
        <v>4</v>
      </c>
      <c r="I754" s="9" t="str">
        <f>IF(Table13[[#This Row],[Previous Quartile Value]]="", "",
   IF(Table13[[#This Row],[Quartile Value]] &lt; Table13[[#This Row],[Previous Quartile Value]], "Improved",
   IF(Table13[[#This Row],[Quartile Value]] &gt; Table13[[#This Row],[Previous Quartile Value]], "Dropped", "Same")))</f>
        <v>Same</v>
      </c>
      <c r="J754" s="10" t="s">
        <v>24</v>
      </c>
      <c r="K754" s="7" t="str">
        <f>VLOOKUP(J754,Introduction!$B$6:$C$14,2)</f>
        <v>North East and Yorkshire</v>
      </c>
      <c r="L754" s="11">
        <v>833</v>
      </c>
      <c r="M754" s="12" t="s">
        <v>496</v>
      </c>
    </row>
    <row r="755" spans="1:13" ht="19.95" customHeight="1" x14ac:dyDescent="0.25">
      <c r="A755" s="41">
        <v>45413</v>
      </c>
      <c r="B755" s="47">
        <f>MONTH(Table13[[#This Row],[YearMonth]])</f>
        <v>5</v>
      </c>
      <c r="C755" s="9" t="s">
        <v>259</v>
      </c>
      <c r="D755" s="6" t="s">
        <v>350</v>
      </c>
      <c r="E755" s="6">
        <f>IF(Table13[[#This Row],[Quartile]]="TopQuartile", 1,
 IF(Table13[[#This Row],[Quartile]]="SecondQuartile", 2,
 IF(Table13[[#This Row],[Quartile]]="ThirdQuartile", 3,
 IF(Table13[[#This Row],[Quartile]]="FourthQuartile", 4, ""))))</f>
        <v>4</v>
      </c>
      <c r="F755" s="9" t="s">
        <v>521</v>
      </c>
      <c r="G755" s="9" t="str" cm="1">
        <f t="array" ref="G755">IFERROR(
  INDEX(Table13[Quartile],
    MATCH(1,
      (Table13[[#This Row],[OrgName]]=Table13[OrgName]) *
      (Table13[[#This Row],[Month Number]]-1=Table13[Month Number]),
    0)
  ),
"")</f>
        <v>FourthQuartile</v>
      </c>
      <c r="H755" s="9">
        <f>IF(Table13[[#This Row],[Previous Quartile]]="TopQuartile", 1,
 IF(Table13[[#This Row],[Previous Quartile]]="SecondQuartile", 2,
 IF(Table13[[#This Row],[Previous Quartile]]="ThirdQuartile", 3,
 IF(Table13[[#This Row],[Previous Quartile]]="FourthQuartile", 4, ""))))</f>
        <v>4</v>
      </c>
      <c r="I755" s="9" t="str">
        <f>IF(Table13[[#This Row],[Previous Quartile Value]]="", "",
   IF(Table13[[#This Row],[Quartile Value]] &lt; Table13[[#This Row],[Previous Quartile Value]], "Improved",
   IF(Table13[[#This Row],[Quartile Value]] &gt; Table13[[#This Row],[Previous Quartile Value]], "Dropped", "Same")))</f>
        <v>Same</v>
      </c>
      <c r="J755" s="10" t="s">
        <v>12</v>
      </c>
      <c r="K755" s="7" t="str">
        <f>VLOOKUP(J755,Introduction!$B$6:$C$14,2)</f>
        <v>London</v>
      </c>
      <c r="L755" s="11">
        <v>824</v>
      </c>
      <c r="M755" s="12" t="s">
        <v>496</v>
      </c>
    </row>
    <row r="756" spans="1:13" ht="19.95" customHeight="1" x14ac:dyDescent="0.25">
      <c r="A756" s="41">
        <v>45413</v>
      </c>
      <c r="B756" s="47">
        <f>MONTH(Table13[[#This Row],[YearMonth]])</f>
        <v>5</v>
      </c>
      <c r="C756" s="9" t="s">
        <v>261</v>
      </c>
      <c r="D756" s="6" t="s">
        <v>350</v>
      </c>
      <c r="E756" s="6">
        <f>IF(Table13[[#This Row],[Quartile]]="TopQuartile", 1,
 IF(Table13[[#This Row],[Quartile]]="SecondQuartile", 2,
 IF(Table13[[#This Row],[Quartile]]="ThirdQuartile", 3,
 IF(Table13[[#This Row],[Quartile]]="FourthQuartile", 4, ""))))</f>
        <v>4</v>
      </c>
      <c r="F756" s="9" t="s">
        <v>523</v>
      </c>
      <c r="G756" s="9" t="str" cm="1">
        <f t="array" ref="G756">IFERROR(
  INDEX(Table13[Quartile],
    MATCH(1,
      (Table13[[#This Row],[OrgName]]=Table13[OrgName]) *
      (Table13[[#This Row],[Month Number]]-1=Table13[Month Number]),
    0)
  ),
"")</f>
        <v>FourthQuartile</v>
      </c>
      <c r="H756" s="9">
        <f>IF(Table13[[#This Row],[Previous Quartile]]="TopQuartile", 1,
 IF(Table13[[#This Row],[Previous Quartile]]="SecondQuartile", 2,
 IF(Table13[[#This Row],[Previous Quartile]]="ThirdQuartile", 3,
 IF(Table13[[#This Row],[Previous Quartile]]="FourthQuartile", 4, ""))))</f>
        <v>4</v>
      </c>
      <c r="I756" s="9" t="str">
        <f>IF(Table13[[#This Row],[Previous Quartile Value]]="", "",
   IF(Table13[[#This Row],[Quartile Value]] &lt; Table13[[#This Row],[Previous Quartile Value]], "Improved",
   IF(Table13[[#This Row],[Quartile Value]] &gt; Table13[[#This Row],[Previous Quartile Value]], "Dropped", "Same")))</f>
        <v>Same</v>
      </c>
      <c r="J756" s="10" t="s">
        <v>14</v>
      </c>
      <c r="K756" s="7" t="str">
        <f>VLOOKUP(J756,Introduction!$B$6:$C$14,2)</f>
        <v>South West</v>
      </c>
      <c r="L756" s="11">
        <v>83</v>
      </c>
      <c r="M756" s="12" t="s">
        <v>496</v>
      </c>
    </row>
    <row r="757" spans="1:13" ht="19.95" customHeight="1" x14ac:dyDescent="0.25">
      <c r="A757" s="41">
        <v>45413</v>
      </c>
      <c r="B757" s="47">
        <f>MONTH(Table13[[#This Row],[YearMonth]])</f>
        <v>5</v>
      </c>
      <c r="C757" s="9" t="s">
        <v>288</v>
      </c>
      <c r="D757" s="6" t="s">
        <v>350</v>
      </c>
      <c r="E757" s="6">
        <f>IF(Table13[[#This Row],[Quartile]]="TopQuartile", 1,
 IF(Table13[[#This Row],[Quartile]]="SecondQuartile", 2,
 IF(Table13[[#This Row],[Quartile]]="ThirdQuartile", 3,
 IF(Table13[[#This Row],[Quartile]]="FourthQuartile", 4, ""))))</f>
        <v>4</v>
      </c>
      <c r="F757" s="9" t="s">
        <v>525</v>
      </c>
      <c r="G757" s="9" t="str" cm="1">
        <f t="array" ref="G757">IFERROR(
  INDEX(Table13[Quartile],
    MATCH(1,
      (Table13[[#This Row],[OrgName]]=Table13[OrgName]) *
      (Table13[[#This Row],[Month Number]]-1=Table13[Month Number]),
    0)
  ),
"")</f>
        <v>FourthQuartile</v>
      </c>
      <c r="H757" s="9">
        <f>IF(Table13[[#This Row],[Previous Quartile]]="TopQuartile", 1,
 IF(Table13[[#This Row],[Previous Quartile]]="SecondQuartile", 2,
 IF(Table13[[#This Row],[Previous Quartile]]="ThirdQuartile", 3,
 IF(Table13[[#This Row],[Previous Quartile]]="FourthQuartile", 4, ""))))</f>
        <v>4</v>
      </c>
      <c r="I757" s="9" t="str">
        <f>IF(Table13[[#This Row],[Previous Quartile Value]]="", "",
   IF(Table13[[#This Row],[Quartile Value]] &lt; Table13[[#This Row],[Previous Quartile Value]], "Improved",
   IF(Table13[[#This Row],[Quartile Value]] &gt; Table13[[#This Row],[Previous Quartile Value]], "Dropped", "Same")))</f>
        <v>Same</v>
      </c>
      <c r="J757" s="10" t="s">
        <v>14</v>
      </c>
      <c r="K757" s="7" t="str">
        <f>VLOOKUP(J757,Introduction!$B$6:$C$14,2)</f>
        <v>South West</v>
      </c>
      <c r="L757" s="11">
        <v>832</v>
      </c>
      <c r="M757" s="12" t="s">
        <v>496</v>
      </c>
    </row>
    <row r="758" spans="1:13" ht="19.95" customHeight="1" x14ac:dyDescent="0.25">
      <c r="A758" s="41">
        <v>45413</v>
      </c>
      <c r="B758" s="47">
        <f>MONTH(Table13[[#This Row],[YearMonth]])</f>
        <v>5</v>
      </c>
      <c r="C758" s="9" t="s">
        <v>291</v>
      </c>
      <c r="D758" s="6" t="s">
        <v>350</v>
      </c>
      <c r="E758" s="6">
        <f>IF(Table13[[#This Row],[Quartile]]="TopQuartile", 1,
 IF(Table13[[#This Row],[Quartile]]="SecondQuartile", 2,
 IF(Table13[[#This Row],[Quartile]]="ThirdQuartile", 3,
 IF(Table13[[#This Row],[Quartile]]="FourthQuartile", 4, ""))))</f>
        <v>4</v>
      </c>
      <c r="F758" s="9" t="s">
        <v>526</v>
      </c>
      <c r="G758" s="9" t="str" cm="1">
        <f t="array" ref="G758">IFERROR(
  INDEX(Table13[Quartile],
    MATCH(1,
      (Table13[[#This Row],[OrgName]]=Table13[OrgName]) *
      (Table13[[#This Row],[Month Number]]-1=Table13[Month Number]),
    0)
  ),
"")</f>
        <v>FourthQuartile</v>
      </c>
      <c r="H758" s="9">
        <f>IF(Table13[[#This Row],[Previous Quartile]]="TopQuartile", 1,
 IF(Table13[[#This Row],[Previous Quartile]]="SecondQuartile", 2,
 IF(Table13[[#This Row],[Previous Quartile]]="ThirdQuartile", 3,
 IF(Table13[[#This Row],[Previous Quartile]]="FourthQuartile", 4, ""))))</f>
        <v>4</v>
      </c>
      <c r="I758" s="9" t="str">
        <f>IF(Table13[[#This Row],[Previous Quartile Value]]="", "",
   IF(Table13[[#This Row],[Quartile Value]] &lt; Table13[[#This Row],[Previous Quartile Value]], "Improved",
   IF(Table13[[#This Row],[Quartile Value]] &gt; Table13[[#This Row],[Previous Quartile Value]], "Dropped", "Same")))</f>
        <v>Same</v>
      </c>
      <c r="J758" s="10" t="s">
        <v>18</v>
      </c>
      <c r="K758" s="7" t="str">
        <f>VLOOKUP(J758,Introduction!$B$6:$C$14,2)</f>
        <v>Midlands</v>
      </c>
      <c r="L758" s="11">
        <v>445</v>
      </c>
      <c r="M758" s="12" t="s">
        <v>496</v>
      </c>
    </row>
    <row r="759" spans="1:13" ht="19.95" customHeight="1" x14ac:dyDescent="0.25">
      <c r="A759" s="41">
        <v>45413</v>
      </c>
      <c r="B759" s="47">
        <f>MONTH(Table13[[#This Row],[YearMonth]])</f>
        <v>5</v>
      </c>
      <c r="C759" s="9" t="s">
        <v>276</v>
      </c>
      <c r="D759" s="6" t="s">
        <v>350</v>
      </c>
      <c r="E759" s="6">
        <f>IF(Table13[[#This Row],[Quartile]]="TopQuartile", 1,
 IF(Table13[[#This Row],[Quartile]]="SecondQuartile", 2,
 IF(Table13[[#This Row],[Quartile]]="ThirdQuartile", 3,
 IF(Table13[[#This Row],[Quartile]]="FourthQuartile", 4, ""))))</f>
        <v>4</v>
      </c>
      <c r="F759" s="9" t="s">
        <v>524</v>
      </c>
      <c r="G759" s="9" t="str" cm="1">
        <f t="array" ref="G759">IFERROR(
  INDEX(Table13[Quartile],
    MATCH(1,
      (Table13[[#This Row],[OrgName]]=Table13[OrgName]) *
      (Table13[[#This Row],[Month Number]]-1=Table13[Month Number]),
    0)
  ),
"")</f>
        <v>FourthQuartile</v>
      </c>
      <c r="H759" s="9">
        <f>IF(Table13[[#This Row],[Previous Quartile]]="TopQuartile", 1,
 IF(Table13[[#This Row],[Previous Quartile]]="SecondQuartile", 2,
 IF(Table13[[#This Row],[Previous Quartile]]="ThirdQuartile", 3,
 IF(Table13[[#This Row],[Previous Quartile]]="FourthQuartile", 4, ""))))</f>
        <v>4</v>
      </c>
      <c r="I759" s="9" t="str">
        <f>IF(Table13[[#This Row],[Previous Quartile Value]]="", "",
   IF(Table13[[#This Row],[Quartile Value]] &lt; Table13[[#This Row],[Previous Quartile Value]], "Improved",
   IF(Table13[[#This Row],[Quartile Value]] &gt; Table13[[#This Row],[Previous Quartile Value]], "Dropped", "Same")))</f>
        <v>Same</v>
      </c>
      <c r="J759" s="10" t="s">
        <v>16</v>
      </c>
      <c r="K759" s="7" t="str">
        <f>VLOOKUP(J759,Introduction!$B$6:$C$14,2)</f>
        <v>South East</v>
      </c>
      <c r="L759" s="11">
        <v>74</v>
      </c>
      <c r="M759" s="12" t="s">
        <v>496</v>
      </c>
    </row>
    <row r="760" spans="1:13" ht="19.95" customHeight="1" x14ac:dyDescent="0.25">
      <c r="A760" s="41">
        <v>45413</v>
      </c>
      <c r="B760" s="47">
        <f>MONTH(Table13[[#This Row],[YearMonth]])</f>
        <v>5</v>
      </c>
      <c r="C760" s="9" t="s">
        <v>297</v>
      </c>
      <c r="D760" s="6" t="s">
        <v>350</v>
      </c>
      <c r="E760" s="6">
        <f>IF(Table13[[#This Row],[Quartile]]="TopQuartile", 1,
 IF(Table13[[#This Row],[Quartile]]="SecondQuartile", 2,
 IF(Table13[[#This Row],[Quartile]]="ThirdQuartile", 3,
 IF(Table13[[#This Row],[Quartile]]="FourthQuartile", 4, ""))))</f>
        <v>4</v>
      </c>
      <c r="F760" s="9" t="s">
        <v>527</v>
      </c>
      <c r="G760" s="9" t="str" cm="1">
        <f t="array" ref="G760">IFERROR(
  INDEX(Table13[Quartile],
    MATCH(1,
      (Table13[[#This Row],[OrgName]]=Table13[OrgName]) *
      (Table13[[#This Row],[Month Number]]-1=Table13[Month Number]),
    0)
  ),
"")</f>
        <v>FourthQuartile</v>
      </c>
      <c r="H760" s="9">
        <f>IF(Table13[[#This Row],[Previous Quartile]]="TopQuartile", 1,
 IF(Table13[[#This Row],[Previous Quartile]]="SecondQuartile", 2,
 IF(Table13[[#This Row],[Previous Quartile]]="ThirdQuartile", 3,
 IF(Table13[[#This Row],[Previous Quartile]]="FourthQuartile", 4, ""))))</f>
        <v>4</v>
      </c>
      <c r="I760" s="9" t="str">
        <f>IF(Table13[[#This Row],[Previous Quartile Value]]="", "",
   IF(Table13[[#This Row],[Quartile Value]] &lt; Table13[[#This Row],[Previous Quartile Value]], "Improved",
   IF(Table13[[#This Row],[Quartile Value]] &gt; Table13[[#This Row],[Previous Quartile Value]], "Dropped", "Same")))</f>
        <v>Same</v>
      </c>
      <c r="J760" s="10" t="s">
        <v>16</v>
      </c>
      <c r="K760" s="7" t="str">
        <f>VLOOKUP(J760,Introduction!$B$6:$C$14,2)</f>
        <v>South East</v>
      </c>
      <c r="L760" s="11">
        <v>78</v>
      </c>
      <c r="M760" s="12" t="s">
        <v>496</v>
      </c>
    </row>
    <row r="761" spans="1:13" ht="19.95" customHeight="1" x14ac:dyDescent="0.25">
      <c r="A761" s="41">
        <v>45413</v>
      </c>
      <c r="B761" s="47">
        <f>MONTH(Table13[[#This Row],[YearMonth]])</f>
        <v>5</v>
      </c>
      <c r="C761" s="9" t="s">
        <v>314</v>
      </c>
      <c r="D761" s="6" t="s">
        <v>350</v>
      </c>
      <c r="E761" s="6">
        <f>IF(Table13[[#This Row],[Quartile]]="TopQuartile", 1,
 IF(Table13[[#This Row],[Quartile]]="SecondQuartile", 2,
 IF(Table13[[#This Row],[Quartile]]="ThirdQuartile", 3,
 IF(Table13[[#This Row],[Quartile]]="FourthQuartile", 4, ""))))</f>
        <v>4</v>
      </c>
      <c r="F761" s="9" t="s">
        <v>528</v>
      </c>
      <c r="G761" s="9" t="str" cm="1">
        <f t="array" ref="G761">IFERROR(
  INDEX(Table13[Quartile],
    MATCH(1,
      (Table13[[#This Row],[OrgName]]=Table13[OrgName]) *
      (Table13[[#This Row],[Month Number]]-1=Table13[Month Number]),
    0)
  ),
"")</f>
        <v>FourthQuartile</v>
      </c>
      <c r="H761" s="9">
        <f>IF(Table13[[#This Row],[Previous Quartile]]="TopQuartile", 1,
 IF(Table13[[#This Row],[Previous Quartile]]="SecondQuartile", 2,
 IF(Table13[[#This Row],[Previous Quartile]]="ThirdQuartile", 3,
 IF(Table13[[#This Row],[Previous Quartile]]="FourthQuartile", 4, ""))))</f>
        <v>4</v>
      </c>
      <c r="I761" s="9" t="str">
        <f>IF(Table13[[#This Row],[Previous Quartile Value]]="", "",
   IF(Table13[[#This Row],[Quartile Value]] &lt; Table13[[#This Row],[Previous Quartile Value]], "Improved",
   IF(Table13[[#This Row],[Quartile Value]] &gt; Table13[[#This Row],[Previous Quartile Value]], "Dropped", "Same")))</f>
        <v>Same</v>
      </c>
      <c r="J761" s="10" t="s">
        <v>20</v>
      </c>
      <c r="K761" s="7" t="str">
        <f>VLOOKUP(J761,Introduction!$B$6:$C$14,2)</f>
        <v>East of England</v>
      </c>
      <c r="L761" s="11">
        <v>829</v>
      </c>
      <c r="M761" s="12" t="s">
        <v>496</v>
      </c>
    </row>
    <row r="762" spans="1:13" ht="19.95" customHeight="1" x14ac:dyDescent="0.25">
      <c r="A762" s="41">
        <v>45413</v>
      </c>
      <c r="B762" s="47">
        <f>MONTH(Table13[[#This Row],[YearMonth]])</f>
        <v>5</v>
      </c>
      <c r="C762" s="9" t="s">
        <v>30</v>
      </c>
      <c r="D762" s="6" t="s">
        <v>330</v>
      </c>
      <c r="E762" s="6">
        <f>IF(Table13[[#This Row],[Quartile]]="TopQuartile", 1,
 IF(Table13[[#This Row],[Quartile]]="SecondQuartile", 2,
 IF(Table13[[#This Row],[Quartile]]="ThirdQuartile", 3,
 IF(Table13[[#This Row],[Quartile]]="FourthQuartile", 4, ""))))</f>
        <v>1</v>
      </c>
      <c r="F762" s="9" t="s">
        <v>532</v>
      </c>
      <c r="G762" s="9" t="str" cm="1">
        <f t="array" ref="G762">IFERROR(
  INDEX(Table13[Quartile],
    MATCH(1,
      (Table13[[#This Row],[OrgName]]=Table13[OrgName]) *
      (Table13[[#This Row],[Month Number]]-1=Table13[Month Number]),
    0)
  ),
"")</f>
        <v>TopQuartile</v>
      </c>
      <c r="H762" s="9">
        <f>IF(Table13[[#This Row],[Previous Quartile]]="TopQuartile", 1,
 IF(Table13[[#This Row],[Previous Quartile]]="SecondQuartile", 2,
 IF(Table13[[#This Row],[Previous Quartile]]="ThirdQuartile", 3,
 IF(Table13[[#This Row],[Previous Quartile]]="FourthQuartile", 4, ""))))</f>
        <v>1</v>
      </c>
      <c r="I762" s="9" t="str">
        <f>IF(Table13[[#This Row],[Previous Quartile Value]]="", "",
   IF(Table13[[#This Row],[Quartile Value]] &lt; Table13[[#This Row],[Previous Quartile Value]], "Improved",
   IF(Table13[[#This Row],[Quartile Value]] &gt; Table13[[#This Row],[Previous Quartile Value]], "Dropped", "Same")))</f>
        <v>Same</v>
      </c>
      <c r="J762" s="10" t="s">
        <v>14</v>
      </c>
      <c r="K762" s="7" t="str">
        <f>VLOOKUP(J762,Introduction!$B$6:$C$14,2)</f>
        <v>South West</v>
      </c>
      <c r="L762" s="11">
        <v>461</v>
      </c>
      <c r="M762" s="12" t="s">
        <v>530</v>
      </c>
    </row>
    <row r="763" spans="1:13" ht="19.95" customHeight="1" x14ac:dyDescent="0.25">
      <c r="A763" s="41">
        <v>45413</v>
      </c>
      <c r="B763" s="47">
        <f>MONTH(Table13[[#This Row],[YearMonth]])</f>
        <v>5</v>
      </c>
      <c r="C763" s="9" t="s">
        <v>28</v>
      </c>
      <c r="D763" s="6" t="s">
        <v>330</v>
      </c>
      <c r="E763" s="6">
        <f>IF(Table13[[#This Row],[Quartile]]="TopQuartile", 1,
 IF(Table13[[#This Row],[Quartile]]="SecondQuartile", 2,
 IF(Table13[[#This Row],[Quartile]]="ThirdQuartile", 3,
 IF(Table13[[#This Row],[Quartile]]="FourthQuartile", 4, ""))))</f>
        <v>1</v>
      </c>
      <c r="F763" s="9" t="s">
        <v>529</v>
      </c>
      <c r="G763" s="9" t="str" cm="1">
        <f t="array" ref="G763">IFERROR(
  INDEX(Table13[Quartile],
    MATCH(1,
      (Table13[[#This Row],[OrgName]]=Table13[OrgName]) *
      (Table13[[#This Row],[Month Number]]-1=Table13[Month Number]),
    0)
  ),
"")</f>
        <v>TopQuartile</v>
      </c>
      <c r="H763" s="9">
        <f>IF(Table13[[#This Row],[Previous Quartile]]="TopQuartile", 1,
 IF(Table13[[#This Row],[Previous Quartile]]="SecondQuartile", 2,
 IF(Table13[[#This Row],[Previous Quartile]]="ThirdQuartile", 3,
 IF(Table13[[#This Row],[Previous Quartile]]="FourthQuartile", 4, ""))))</f>
        <v>1</v>
      </c>
      <c r="I763" s="9" t="str">
        <f>IF(Table13[[#This Row],[Previous Quartile Value]]="", "",
   IF(Table13[[#This Row],[Quartile Value]] &lt; Table13[[#This Row],[Previous Quartile Value]], "Improved",
   IF(Table13[[#This Row],[Quartile Value]] &gt; Table13[[#This Row],[Previous Quartile Value]], "Dropped", "Same")))</f>
        <v>Same</v>
      </c>
      <c r="J763" s="10" t="s">
        <v>16</v>
      </c>
      <c r="K763" s="7" t="str">
        <f>VLOOKUP(J763,Introduction!$B$6:$C$14,2)</f>
        <v>South East</v>
      </c>
      <c r="L763" s="11">
        <v>146</v>
      </c>
      <c r="M763" s="12" t="s">
        <v>530</v>
      </c>
    </row>
    <row r="764" spans="1:13" ht="19.95" customHeight="1" x14ac:dyDescent="0.25">
      <c r="A764" s="41">
        <v>45413</v>
      </c>
      <c r="B764" s="47">
        <f>MONTH(Table13[[#This Row],[YearMonth]])</f>
        <v>5</v>
      </c>
      <c r="C764" s="9" t="s">
        <v>63</v>
      </c>
      <c r="D764" s="6" t="s">
        <v>330</v>
      </c>
      <c r="E764" s="6">
        <f>IF(Table13[[#This Row],[Quartile]]="TopQuartile", 1,
 IF(Table13[[#This Row],[Quartile]]="SecondQuartile", 2,
 IF(Table13[[#This Row],[Quartile]]="ThirdQuartile", 3,
 IF(Table13[[#This Row],[Quartile]]="FourthQuartile", 4, ""))))</f>
        <v>1</v>
      </c>
      <c r="F764" s="9" t="s">
        <v>536</v>
      </c>
      <c r="G764" s="9" t="str" cm="1">
        <f t="array" ref="G764">IFERROR(
  INDEX(Table13[Quartile],
    MATCH(1,
      (Table13[[#This Row],[OrgName]]=Table13[OrgName]) *
      (Table13[[#This Row],[Month Number]]-1=Table13[Month Number]),
    0)
  ),
"")</f>
        <v>TopQuartile</v>
      </c>
      <c r="H764" s="9">
        <f>IF(Table13[[#This Row],[Previous Quartile]]="TopQuartile", 1,
 IF(Table13[[#This Row],[Previous Quartile]]="SecondQuartile", 2,
 IF(Table13[[#This Row],[Previous Quartile]]="ThirdQuartile", 3,
 IF(Table13[[#This Row],[Previous Quartile]]="FourthQuartile", 4, ""))))</f>
        <v>1</v>
      </c>
      <c r="I764" s="9" t="str">
        <f>IF(Table13[[#This Row],[Previous Quartile Value]]="", "",
   IF(Table13[[#This Row],[Quartile Value]] &lt; Table13[[#This Row],[Previous Quartile Value]], "Improved",
   IF(Table13[[#This Row],[Quartile Value]] &gt; Table13[[#This Row],[Previous Quartile Value]], "Dropped", "Same")))</f>
        <v>Same</v>
      </c>
      <c r="J764" s="10" t="s">
        <v>14</v>
      </c>
      <c r="K764" s="7" t="str">
        <f>VLOOKUP(J764,Introduction!$B$6:$C$14,2)</f>
        <v>South West</v>
      </c>
      <c r="L764" s="11">
        <v>983</v>
      </c>
      <c r="M764" s="12" t="s">
        <v>530</v>
      </c>
    </row>
    <row r="765" spans="1:13" ht="19.95" customHeight="1" x14ac:dyDescent="0.25">
      <c r="A765" s="41">
        <v>45413</v>
      </c>
      <c r="B765" s="47">
        <f>MONTH(Table13[[#This Row],[YearMonth]])</f>
        <v>5</v>
      </c>
      <c r="C765" s="9" t="s">
        <v>51</v>
      </c>
      <c r="D765" s="6" t="s">
        <v>330</v>
      </c>
      <c r="E765" s="6">
        <f>IF(Table13[[#This Row],[Quartile]]="TopQuartile", 1,
 IF(Table13[[#This Row],[Quartile]]="SecondQuartile", 2,
 IF(Table13[[#This Row],[Quartile]]="ThirdQuartile", 3,
 IF(Table13[[#This Row],[Quartile]]="FourthQuartile", 4, ""))))</f>
        <v>1</v>
      </c>
      <c r="F765" s="9" t="s">
        <v>535</v>
      </c>
      <c r="G765" s="9" t="str" cm="1">
        <f t="array" ref="G765">IFERROR(
  INDEX(Table13[Quartile],
    MATCH(1,
      (Table13[[#This Row],[OrgName]]=Table13[OrgName]) *
      (Table13[[#This Row],[Month Number]]-1=Table13[Month Number]),
    0)
  ),
"")</f>
        <v>TopQuartile</v>
      </c>
      <c r="H765" s="9">
        <f>IF(Table13[[#This Row],[Previous Quartile]]="TopQuartile", 1,
 IF(Table13[[#This Row],[Previous Quartile]]="SecondQuartile", 2,
 IF(Table13[[#This Row],[Previous Quartile]]="ThirdQuartile", 3,
 IF(Table13[[#This Row],[Previous Quartile]]="FourthQuartile", 4, ""))))</f>
        <v>1</v>
      </c>
      <c r="I765" s="9" t="str">
        <f>IF(Table13[[#This Row],[Previous Quartile Value]]="", "",
   IF(Table13[[#This Row],[Quartile Value]] &lt; Table13[[#This Row],[Previous Quartile Value]], "Improved",
   IF(Table13[[#This Row],[Quartile Value]] &gt; Table13[[#This Row],[Previous Quartile Value]], "Dropped", "Same")))</f>
        <v>Same</v>
      </c>
      <c r="J765" s="10" t="s">
        <v>16</v>
      </c>
      <c r="K765" s="7" t="str">
        <f>VLOOKUP(J765,Introduction!$B$6:$C$14,2)</f>
        <v>South East</v>
      </c>
      <c r="L765" s="11">
        <v>482</v>
      </c>
      <c r="M765" s="12" t="s">
        <v>530</v>
      </c>
    </row>
    <row r="766" spans="1:13" ht="19.95" customHeight="1" x14ac:dyDescent="0.25">
      <c r="A766" s="41">
        <v>45413</v>
      </c>
      <c r="B766" s="47">
        <f>MONTH(Table13[[#This Row],[YearMonth]])</f>
        <v>5</v>
      </c>
      <c r="C766" s="9" t="s">
        <v>65</v>
      </c>
      <c r="D766" s="6" t="s">
        <v>330</v>
      </c>
      <c r="E766" s="6">
        <f>IF(Table13[[#This Row],[Quartile]]="TopQuartile", 1,
 IF(Table13[[#This Row],[Quartile]]="SecondQuartile", 2,
 IF(Table13[[#This Row],[Quartile]]="ThirdQuartile", 3,
 IF(Table13[[#This Row],[Quartile]]="FourthQuartile", 4, ""))))</f>
        <v>1</v>
      </c>
      <c r="F766" s="9" t="s">
        <v>538</v>
      </c>
      <c r="G766" s="9" t="str" cm="1">
        <f t="array" ref="G766">IFERROR(
  INDEX(Table13[Quartile],
    MATCH(1,
      (Table13[[#This Row],[OrgName]]=Table13[OrgName]) *
      (Table13[[#This Row],[Month Number]]-1=Table13[Month Number]),
    0)
  ),
"")</f>
        <v>TopQuartile</v>
      </c>
      <c r="H766" s="9">
        <f>IF(Table13[[#This Row],[Previous Quartile]]="TopQuartile", 1,
 IF(Table13[[#This Row],[Previous Quartile]]="SecondQuartile", 2,
 IF(Table13[[#This Row],[Previous Quartile]]="ThirdQuartile", 3,
 IF(Table13[[#This Row],[Previous Quartile]]="FourthQuartile", 4, ""))))</f>
        <v>1</v>
      </c>
      <c r="I766" s="9" t="str">
        <f>IF(Table13[[#This Row],[Previous Quartile Value]]="", "",
   IF(Table13[[#This Row],[Quartile Value]] &lt; Table13[[#This Row],[Previous Quartile Value]], "Improved",
   IF(Table13[[#This Row],[Quartile Value]] &gt; Table13[[#This Row],[Previous Quartile Value]], "Dropped", "Same")))</f>
        <v>Same</v>
      </c>
      <c r="J766" s="10" t="s">
        <v>18</v>
      </c>
      <c r="K766" s="7" t="str">
        <f>VLOOKUP(J766,Introduction!$B$6:$C$14,2)</f>
        <v>Midlands</v>
      </c>
      <c r="L766" s="11">
        <v>86</v>
      </c>
      <c r="M766" s="12" t="s">
        <v>530</v>
      </c>
    </row>
    <row r="767" spans="1:13" ht="19.95" customHeight="1" x14ac:dyDescent="0.25">
      <c r="A767" s="41">
        <v>45413</v>
      </c>
      <c r="B767" s="47">
        <f>MONTH(Table13[[#This Row],[YearMonth]])</f>
        <v>5</v>
      </c>
      <c r="C767" s="9" t="s">
        <v>64</v>
      </c>
      <c r="D767" s="6" t="s">
        <v>330</v>
      </c>
      <c r="E767" s="6">
        <f>IF(Table13[[#This Row],[Quartile]]="TopQuartile", 1,
 IF(Table13[[#This Row],[Quartile]]="SecondQuartile", 2,
 IF(Table13[[#This Row],[Quartile]]="ThirdQuartile", 3,
 IF(Table13[[#This Row],[Quartile]]="FourthQuartile", 4, ""))))</f>
        <v>1</v>
      </c>
      <c r="F767" s="9" t="s">
        <v>537</v>
      </c>
      <c r="G767" s="9" t="str" cm="1">
        <f t="array" ref="G767">IFERROR(
  INDEX(Table13[Quartile],
    MATCH(1,
      (Table13[[#This Row],[OrgName]]=Table13[OrgName]) *
      (Table13[[#This Row],[Month Number]]-1=Table13[Month Number]),
    0)
  ),
"")</f>
        <v>TopQuartile</v>
      </c>
      <c r="H767" s="9">
        <f>IF(Table13[[#This Row],[Previous Quartile]]="TopQuartile", 1,
 IF(Table13[[#This Row],[Previous Quartile]]="SecondQuartile", 2,
 IF(Table13[[#This Row],[Previous Quartile]]="ThirdQuartile", 3,
 IF(Table13[[#This Row],[Previous Quartile]]="FourthQuartile", 4, ""))))</f>
        <v>1</v>
      </c>
      <c r="I767" s="9" t="str">
        <f>IF(Table13[[#This Row],[Previous Quartile Value]]="", "",
   IF(Table13[[#This Row],[Quartile Value]] &lt; Table13[[#This Row],[Previous Quartile Value]], "Improved",
   IF(Table13[[#This Row],[Quartile Value]] &gt; Table13[[#This Row],[Previous Quartile Value]], "Dropped", "Same")))</f>
        <v>Same</v>
      </c>
      <c r="J767" s="10" t="s">
        <v>20</v>
      </c>
      <c r="K767" s="7" t="str">
        <f>VLOOKUP(J767,Introduction!$B$6:$C$14,2)</f>
        <v>East of England</v>
      </c>
      <c r="L767" s="11">
        <v>465</v>
      </c>
      <c r="M767" s="12" t="s">
        <v>530</v>
      </c>
    </row>
    <row r="768" spans="1:13" ht="19.95" customHeight="1" x14ac:dyDescent="0.25">
      <c r="A768" s="41">
        <v>45413</v>
      </c>
      <c r="B768" s="47">
        <f>MONTH(Table13[[#This Row],[YearMonth]])</f>
        <v>5</v>
      </c>
      <c r="C768" s="9" t="s">
        <v>42</v>
      </c>
      <c r="D768" s="6" t="s">
        <v>330</v>
      </c>
      <c r="E768" s="6">
        <f>IF(Table13[[#This Row],[Quartile]]="TopQuartile", 1,
 IF(Table13[[#This Row],[Quartile]]="SecondQuartile", 2,
 IF(Table13[[#This Row],[Quartile]]="ThirdQuartile", 3,
 IF(Table13[[#This Row],[Quartile]]="FourthQuartile", 4, ""))))</f>
        <v>1</v>
      </c>
      <c r="F768" s="9" t="s">
        <v>533</v>
      </c>
      <c r="G768" s="9" t="str" cm="1">
        <f t="array" ref="G768">IFERROR(
  INDEX(Table13[Quartile],
    MATCH(1,
      (Table13[[#This Row],[OrgName]]=Table13[OrgName]) *
      (Table13[[#This Row],[Month Number]]-1=Table13[Month Number]),
    0)
  ),
"")</f>
        <v>TopQuartile</v>
      </c>
      <c r="H768" s="9">
        <f>IF(Table13[[#This Row],[Previous Quartile]]="TopQuartile", 1,
 IF(Table13[[#This Row],[Previous Quartile]]="SecondQuartile", 2,
 IF(Table13[[#This Row],[Previous Quartile]]="ThirdQuartile", 3,
 IF(Table13[[#This Row],[Previous Quartile]]="FourthQuartile", 4, ""))))</f>
        <v>1</v>
      </c>
      <c r="I768" s="9" t="str">
        <f>IF(Table13[[#This Row],[Previous Quartile Value]]="", "",
   IF(Table13[[#This Row],[Quartile Value]] &lt; Table13[[#This Row],[Previous Quartile Value]], "Improved",
   IF(Table13[[#This Row],[Quartile Value]] &gt; Table13[[#This Row],[Previous Quartile Value]], "Dropped", "Same")))</f>
        <v>Same</v>
      </c>
      <c r="J768" s="10" t="s">
        <v>18</v>
      </c>
      <c r="K768" s="7" t="str">
        <f>VLOOKUP(J768,Introduction!$B$6:$C$14,2)</f>
        <v>Midlands</v>
      </c>
      <c r="L768" s="11">
        <v>106</v>
      </c>
      <c r="M768" s="12" t="s">
        <v>530</v>
      </c>
    </row>
    <row r="769" spans="1:13" ht="19.95" customHeight="1" x14ac:dyDescent="0.25">
      <c r="A769" s="41">
        <v>45413</v>
      </c>
      <c r="B769" s="47">
        <f>MONTH(Table13[[#This Row],[YearMonth]])</f>
        <v>5</v>
      </c>
      <c r="C769" s="9" t="s">
        <v>73</v>
      </c>
      <c r="D769" s="6" t="s">
        <v>330</v>
      </c>
      <c r="E769" s="6">
        <f>IF(Table13[[#This Row],[Quartile]]="TopQuartile", 1,
 IF(Table13[[#This Row],[Quartile]]="SecondQuartile", 2,
 IF(Table13[[#This Row],[Quartile]]="ThirdQuartile", 3,
 IF(Table13[[#This Row],[Quartile]]="FourthQuartile", 4, ""))))</f>
        <v>1</v>
      </c>
      <c r="F769" s="9" t="s">
        <v>540</v>
      </c>
      <c r="G769" s="9" t="str" cm="1">
        <f t="array" ref="G769">IFERROR(
  INDEX(Table13[Quartile],
    MATCH(1,
      (Table13[[#This Row],[OrgName]]=Table13[OrgName]) *
      (Table13[[#This Row],[Month Number]]-1=Table13[Month Number]),
    0)
  ),
"")</f>
        <v>TopQuartile</v>
      </c>
      <c r="H769" s="9">
        <f>IF(Table13[[#This Row],[Previous Quartile]]="TopQuartile", 1,
 IF(Table13[[#This Row],[Previous Quartile]]="SecondQuartile", 2,
 IF(Table13[[#This Row],[Previous Quartile]]="ThirdQuartile", 3,
 IF(Table13[[#This Row],[Previous Quartile]]="FourthQuartile", 4, ""))))</f>
        <v>1</v>
      </c>
      <c r="I769" s="9" t="str">
        <f>IF(Table13[[#This Row],[Previous Quartile Value]]="", "",
   IF(Table13[[#This Row],[Quartile Value]] &lt; Table13[[#This Row],[Previous Quartile Value]], "Improved",
   IF(Table13[[#This Row],[Quartile Value]] &gt; Table13[[#This Row],[Previous Quartile Value]], "Dropped", "Same")))</f>
        <v>Same</v>
      </c>
      <c r="J769" s="10" t="s">
        <v>14</v>
      </c>
      <c r="K769" s="7" t="str">
        <f>VLOOKUP(J769,Introduction!$B$6:$C$14,2)</f>
        <v>South West</v>
      </c>
      <c r="L769" s="11">
        <v>462</v>
      </c>
      <c r="M769" s="12" t="s">
        <v>530</v>
      </c>
    </row>
    <row r="770" spans="1:13" ht="19.95" customHeight="1" x14ac:dyDescent="0.25">
      <c r="A770" s="41">
        <v>45413</v>
      </c>
      <c r="B770" s="47">
        <f>MONTH(Table13[[#This Row],[YearMonth]])</f>
        <v>5</v>
      </c>
      <c r="C770" s="9" t="s">
        <v>110</v>
      </c>
      <c r="D770" s="6" t="s">
        <v>330</v>
      </c>
      <c r="E770" s="6">
        <f>IF(Table13[[#This Row],[Quartile]]="TopQuartile", 1,
 IF(Table13[[#This Row],[Quartile]]="SecondQuartile", 2,
 IF(Table13[[#This Row],[Quartile]]="ThirdQuartile", 3,
 IF(Table13[[#This Row],[Quartile]]="FourthQuartile", 4, ""))))</f>
        <v>1</v>
      </c>
      <c r="F770" s="9" t="s">
        <v>545</v>
      </c>
      <c r="G770" s="9" t="str" cm="1">
        <f t="array" ref="G770">IFERROR(
  INDEX(Table13[Quartile],
    MATCH(1,
      (Table13[[#This Row],[OrgName]]=Table13[OrgName]) *
      (Table13[[#This Row],[Month Number]]-1=Table13[Month Number]),
    0)
  ),
"")</f>
        <v>TopQuartile</v>
      </c>
      <c r="H770" s="9">
        <f>IF(Table13[[#This Row],[Previous Quartile]]="TopQuartile", 1,
 IF(Table13[[#This Row],[Previous Quartile]]="SecondQuartile", 2,
 IF(Table13[[#This Row],[Previous Quartile]]="ThirdQuartile", 3,
 IF(Table13[[#This Row],[Previous Quartile]]="FourthQuartile", 4, ""))))</f>
        <v>1</v>
      </c>
      <c r="I770" s="9" t="str">
        <f>IF(Table13[[#This Row],[Previous Quartile Value]]="", "",
   IF(Table13[[#This Row],[Quartile Value]] &lt; Table13[[#This Row],[Previous Quartile Value]], "Improved",
   IF(Table13[[#This Row],[Quartile Value]] &gt; Table13[[#This Row],[Previous Quartile Value]], "Dropped", "Same")))</f>
        <v>Same</v>
      </c>
      <c r="J770" s="10" t="s">
        <v>16</v>
      </c>
      <c r="K770" s="7" t="str">
        <f>VLOOKUP(J770,Introduction!$B$6:$C$14,2)</f>
        <v>South East</v>
      </c>
      <c r="L770" s="11">
        <v>104</v>
      </c>
      <c r="M770" s="12" t="s">
        <v>530</v>
      </c>
    </row>
    <row r="771" spans="1:13" ht="19.95" customHeight="1" x14ac:dyDescent="0.25">
      <c r="A771" s="41">
        <v>45413</v>
      </c>
      <c r="B771" s="47">
        <f>MONTH(Table13[[#This Row],[YearMonth]])</f>
        <v>5</v>
      </c>
      <c r="C771" s="9" t="s">
        <v>48</v>
      </c>
      <c r="D771" s="6" t="s">
        <v>330</v>
      </c>
      <c r="E771" s="6">
        <f>IF(Table13[[#This Row],[Quartile]]="TopQuartile", 1,
 IF(Table13[[#This Row],[Quartile]]="SecondQuartile", 2,
 IF(Table13[[#This Row],[Quartile]]="ThirdQuartile", 3,
 IF(Table13[[#This Row],[Quartile]]="FourthQuartile", 4, ""))))</f>
        <v>1</v>
      </c>
      <c r="F771" s="9" t="s">
        <v>534</v>
      </c>
      <c r="G771" s="9" t="str" cm="1">
        <f t="array" ref="G771">IFERROR(
  INDEX(Table13[Quartile],
    MATCH(1,
      (Table13[[#This Row],[OrgName]]=Table13[OrgName]) *
      (Table13[[#This Row],[Month Number]]-1=Table13[Month Number]),
    0)
  ),
"")</f>
        <v>TopQuartile</v>
      </c>
      <c r="H771" s="9">
        <f>IF(Table13[[#This Row],[Previous Quartile]]="TopQuartile", 1,
 IF(Table13[[#This Row],[Previous Quartile]]="SecondQuartile", 2,
 IF(Table13[[#This Row],[Previous Quartile]]="ThirdQuartile", 3,
 IF(Table13[[#This Row],[Previous Quartile]]="FourthQuartile", 4, ""))))</f>
        <v>1</v>
      </c>
      <c r="I771" s="9" t="str">
        <f>IF(Table13[[#This Row],[Previous Quartile Value]]="", "",
   IF(Table13[[#This Row],[Quartile Value]] &lt; Table13[[#This Row],[Previous Quartile Value]], "Improved",
   IF(Table13[[#This Row],[Quartile Value]] &gt; Table13[[#This Row],[Previous Quartile Value]], "Dropped", "Same")))</f>
        <v>Same</v>
      </c>
      <c r="J771" s="10" t="s">
        <v>22</v>
      </c>
      <c r="K771" s="7" t="str">
        <f>VLOOKUP(J771,Introduction!$B$6:$C$14,2)</f>
        <v>North West</v>
      </c>
      <c r="L771" s="11">
        <v>493</v>
      </c>
      <c r="M771" s="12" t="s">
        <v>530</v>
      </c>
    </row>
    <row r="772" spans="1:13" ht="19.95" customHeight="1" x14ac:dyDescent="0.25">
      <c r="A772" s="41">
        <v>45413</v>
      </c>
      <c r="B772" s="47">
        <f>MONTH(Table13[[#This Row],[YearMonth]])</f>
        <v>5</v>
      </c>
      <c r="C772" s="9" t="s">
        <v>72</v>
      </c>
      <c r="D772" s="6" t="s">
        <v>330</v>
      </c>
      <c r="E772" s="6">
        <f>IF(Table13[[#This Row],[Quartile]]="TopQuartile", 1,
 IF(Table13[[#This Row],[Quartile]]="SecondQuartile", 2,
 IF(Table13[[#This Row],[Quartile]]="ThirdQuartile", 3,
 IF(Table13[[#This Row],[Quartile]]="FourthQuartile", 4, ""))))</f>
        <v>1</v>
      </c>
      <c r="F772" s="9" t="s">
        <v>539</v>
      </c>
      <c r="G772" s="9" t="str" cm="1">
        <f t="array" ref="G772">IFERROR(
  INDEX(Table13[Quartile],
    MATCH(1,
      (Table13[[#This Row],[OrgName]]=Table13[OrgName]) *
      (Table13[[#This Row],[Month Number]]-1=Table13[Month Number]),
    0)
  ),
"")</f>
        <v>TopQuartile</v>
      </c>
      <c r="H772" s="9">
        <f>IF(Table13[[#This Row],[Previous Quartile]]="TopQuartile", 1,
 IF(Table13[[#This Row],[Previous Quartile]]="SecondQuartile", 2,
 IF(Table13[[#This Row],[Previous Quartile]]="ThirdQuartile", 3,
 IF(Table13[[#This Row],[Previous Quartile]]="FourthQuartile", 4, ""))))</f>
        <v>1</v>
      </c>
      <c r="I772" s="9" t="str">
        <f>IF(Table13[[#This Row],[Previous Quartile Value]]="", "",
   IF(Table13[[#This Row],[Quartile Value]] &lt; Table13[[#This Row],[Previous Quartile Value]], "Improved",
   IF(Table13[[#This Row],[Quartile Value]] &gt; Table13[[#This Row],[Previous Quartile Value]], "Dropped", "Same")))</f>
        <v>Same</v>
      </c>
      <c r="J772" s="10" t="s">
        <v>18</v>
      </c>
      <c r="K772" s="7" t="str">
        <f>VLOOKUP(J772,Introduction!$B$6:$C$14,2)</f>
        <v>Midlands</v>
      </c>
      <c r="L772" s="11">
        <v>66</v>
      </c>
      <c r="M772" s="12" t="s">
        <v>530</v>
      </c>
    </row>
    <row r="773" spans="1:13" ht="19.95" customHeight="1" x14ac:dyDescent="0.25">
      <c r="A773" s="41">
        <v>45413</v>
      </c>
      <c r="B773" s="47">
        <f>MONTH(Table13[[#This Row],[YearMonth]])</f>
        <v>5</v>
      </c>
      <c r="C773" s="9" t="s">
        <v>83</v>
      </c>
      <c r="D773" s="6" t="s">
        <v>330</v>
      </c>
      <c r="E773" s="6">
        <f>IF(Table13[[#This Row],[Quartile]]="TopQuartile", 1,
 IF(Table13[[#This Row],[Quartile]]="SecondQuartile", 2,
 IF(Table13[[#This Row],[Quartile]]="ThirdQuartile", 3,
 IF(Table13[[#This Row],[Quartile]]="FourthQuartile", 4, ""))))</f>
        <v>1</v>
      </c>
      <c r="F773" s="9" t="s">
        <v>542</v>
      </c>
      <c r="G773" s="9" t="str" cm="1">
        <f t="array" ref="G773">IFERROR(
  INDEX(Table13[Quartile],
    MATCH(1,
      (Table13[[#This Row],[OrgName]]=Table13[OrgName]) *
      (Table13[[#This Row],[Month Number]]-1=Table13[Month Number]),
    0)
  ),
"")</f>
        <v>TopQuartile</v>
      </c>
      <c r="H773" s="9">
        <f>IF(Table13[[#This Row],[Previous Quartile]]="TopQuartile", 1,
 IF(Table13[[#This Row],[Previous Quartile]]="SecondQuartile", 2,
 IF(Table13[[#This Row],[Previous Quartile]]="ThirdQuartile", 3,
 IF(Table13[[#This Row],[Previous Quartile]]="FourthQuartile", 4, ""))))</f>
        <v>1</v>
      </c>
      <c r="I773" s="9" t="str">
        <f>IF(Table13[[#This Row],[Previous Quartile Value]]="", "",
   IF(Table13[[#This Row],[Quartile Value]] &lt; Table13[[#This Row],[Previous Quartile Value]], "Improved",
   IF(Table13[[#This Row],[Quartile Value]] &gt; Table13[[#This Row],[Previous Quartile Value]], "Dropped", "Same")))</f>
        <v>Same</v>
      </c>
      <c r="J773" s="10" t="s">
        <v>18</v>
      </c>
      <c r="K773" s="7" t="str">
        <f>VLOOKUP(J773,Introduction!$B$6:$C$14,2)</f>
        <v>Midlands</v>
      </c>
      <c r="L773" s="11">
        <v>116</v>
      </c>
      <c r="M773" s="12" t="s">
        <v>530</v>
      </c>
    </row>
    <row r="774" spans="1:13" ht="19.95" customHeight="1" x14ac:dyDescent="0.25">
      <c r="A774" s="41">
        <v>45413</v>
      </c>
      <c r="B774" s="47">
        <f>MONTH(Table13[[#This Row],[YearMonth]])</f>
        <v>5</v>
      </c>
      <c r="C774" s="9" t="s">
        <v>76</v>
      </c>
      <c r="D774" s="6" t="s">
        <v>330</v>
      </c>
      <c r="E774" s="6">
        <f>IF(Table13[[#This Row],[Quartile]]="TopQuartile", 1,
 IF(Table13[[#This Row],[Quartile]]="SecondQuartile", 2,
 IF(Table13[[#This Row],[Quartile]]="ThirdQuartile", 3,
 IF(Table13[[#This Row],[Quartile]]="FourthQuartile", 4, ""))))</f>
        <v>1</v>
      </c>
      <c r="F774" s="9" t="s">
        <v>541</v>
      </c>
      <c r="G774" s="9" t="str" cm="1">
        <f t="array" ref="G774">IFERROR(
  INDEX(Table13[Quartile],
    MATCH(1,
      (Table13[[#This Row],[OrgName]]=Table13[OrgName]) *
      (Table13[[#This Row],[Month Number]]-1=Table13[Month Number]),
    0)
  ),
"")</f>
        <v>TopQuartile</v>
      </c>
      <c r="H774" s="9">
        <f>IF(Table13[[#This Row],[Previous Quartile]]="TopQuartile", 1,
 IF(Table13[[#This Row],[Previous Quartile]]="SecondQuartile", 2,
 IF(Table13[[#This Row],[Previous Quartile]]="ThirdQuartile", 3,
 IF(Table13[[#This Row],[Previous Quartile]]="FourthQuartile", 4, ""))))</f>
        <v>1</v>
      </c>
      <c r="I774" s="9" t="str">
        <f>IF(Table13[[#This Row],[Previous Quartile Value]]="", "",
   IF(Table13[[#This Row],[Quartile Value]] &lt; Table13[[#This Row],[Previous Quartile Value]], "Improved",
   IF(Table13[[#This Row],[Quartile Value]] &gt; Table13[[#This Row],[Previous Quartile Value]], "Dropped", "Same")))</f>
        <v>Same</v>
      </c>
      <c r="J774" s="10" t="s">
        <v>14</v>
      </c>
      <c r="K774" s="7" t="str">
        <f>VLOOKUP(J774,Introduction!$B$6:$C$14,2)</f>
        <v>South West</v>
      </c>
      <c r="L774" s="11">
        <v>144</v>
      </c>
      <c r="M774" s="12" t="s">
        <v>530</v>
      </c>
    </row>
    <row r="775" spans="1:13" ht="19.95" customHeight="1" x14ac:dyDescent="0.25">
      <c r="A775" s="41">
        <v>45413</v>
      </c>
      <c r="B775" s="47">
        <f>MONTH(Table13[[#This Row],[YearMonth]])</f>
        <v>5</v>
      </c>
      <c r="C775" s="9" t="s">
        <v>29</v>
      </c>
      <c r="D775" s="6" t="s">
        <v>330</v>
      </c>
      <c r="E775" s="6">
        <f>IF(Table13[[#This Row],[Quartile]]="TopQuartile", 1,
 IF(Table13[[#This Row],[Quartile]]="SecondQuartile", 2,
 IF(Table13[[#This Row],[Quartile]]="ThirdQuartile", 3,
 IF(Table13[[#This Row],[Quartile]]="FourthQuartile", 4, ""))))</f>
        <v>1</v>
      </c>
      <c r="F775" s="9" t="s">
        <v>531</v>
      </c>
      <c r="G775" s="9" t="str" cm="1">
        <f t="array" ref="G775">IFERROR(
  INDEX(Table13[Quartile],
    MATCH(1,
      (Table13[[#This Row],[OrgName]]=Table13[OrgName]) *
      (Table13[[#This Row],[Month Number]]-1=Table13[Month Number]),
    0)
  ),
"")</f>
        <v>TopQuartile</v>
      </c>
      <c r="H775" s="9">
        <f>IF(Table13[[#This Row],[Previous Quartile]]="TopQuartile", 1,
 IF(Table13[[#This Row],[Previous Quartile]]="SecondQuartile", 2,
 IF(Table13[[#This Row],[Previous Quartile]]="ThirdQuartile", 3,
 IF(Table13[[#This Row],[Previous Quartile]]="FourthQuartile", 4, ""))))</f>
        <v>1</v>
      </c>
      <c r="I775" s="9" t="str">
        <f>IF(Table13[[#This Row],[Previous Quartile Value]]="", "",
   IF(Table13[[#This Row],[Quartile Value]] &lt; Table13[[#This Row],[Previous Quartile Value]], "Improved",
   IF(Table13[[#This Row],[Quartile Value]] &gt; Table13[[#This Row],[Previous Quartile Value]], "Dropped", "Same")))</f>
        <v>Same</v>
      </c>
      <c r="J775" s="10" t="s">
        <v>14</v>
      </c>
      <c r="K775" s="7" t="str">
        <f>VLOOKUP(J775,Introduction!$B$6:$C$14,2)</f>
        <v>South West</v>
      </c>
      <c r="L775" s="11">
        <v>843</v>
      </c>
      <c r="M775" s="12" t="s">
        <v>530</v>
      </c>
    </row>
    <row r="776" spans="1:13" ht="19.95" customHeight="1" x14ac:dyDescent="0.25">
      <c r="A776" s="41">
        <v>45413</v>
      </c>
      <c r="B776" s="47">
        <f>MONTH(Table13[[#This Row],[YearMonth]])</f>
        <v>5</v>
      </c>
      <c r="C776" s="9" t="s">
        <v>100</v>
      </c>
      <c r="D776" s="6" t="s">
        <v>330</v>
      </c>
      <c r="E776" s="6">
        <f>IF(Table13[[#This Row],[Quartile]]="TopQuartile", 1,
 IF(Table13[[#This Row],[Quartile]]="SecondQuartile", 2,
 IF(Table13[[#This Row],[Quartile]]="ThirdQuartile", 3,
 IF(Table13[[#This Row],[Quartile]]="FourthQuartile", 4, ""))))</f>
        <v>1</v>
      </c>
      <c r="F776" s="9" t="s">
        <v>544</v>
      </c>
      <c r="G776" s="9" t="str" cm="1">
        <f t="array" ref="G776">IFERROR(
  INDEX(Table13[Quartile],
    MATCH(1,
      (Table13[[#This Row],[OrgName]]=Table13[OrgName]) *
      (Table13[[#This Row],[Month Number]]-1=Table13[Month Number]),
    0)
  ),
"")</f>
        <v>TopQuartile</v>
      </c>
      <c r="H776" s="9">
        <f>IF(Table13[[#This Row],[Previous Quartile]]="TopQuartile", 1,
 IF(Table13[[#This Row],[Previous Quartile]]="SecondQuartile", 2,
 IF(Table13[[#This Row],[Previous Quartile]]="ThirdQuartile", 3,
 IF(Table13[[#This Row],[Previous Quartile]]="FourthQuartile", 4, ""))))</f>
        <v>1</v>
      </c>
      <c r="I776" s="9" t="str">
        <f>IF(Table13[[#This Row],[Previous Quartile Value]]="", "",
   IF(Table13[[#This Row],[Quartile Value]] &lt; Table13[[#This Row],[Previous Quartile Value]], "Improved",
   IF(Table13[[#This Row],[Quartile Value]] &gt; Table13[[#This Row],[Previous Quartile Value]], "Dropped", "Same")))</f>
        <v>Same</v>
      </c>
      <c r="J776" s="10" t="s">
        <v>24</v>
      </c>
      <c r="K776" s="7" t="str">
        <f>VLOOKUP(J776,Introduction!$B$6:$C$14,2)</f>
        <v>North East and Yorkshire</v>
      </c>
      <c r="L776" s="11">
        <v>133</v>
      </c>
      <c r="M776" s="12" t="s">
        <v>530</v>
      </c>
    </row>
    <row r="777" spans="1:13" ht="19.95" customHeight="1" x14ac:dyDescent="0.25">
      <c r="A777" s="41">
        <v>45413</v>
      </c>
      <c r="B777" s="47">
        <f>MONTH(Table13[[#This Row],[YearMonth]])</f>
        <v>5</v>
      </c>
      <c r="C777" s="9" t="s">
        <v>93</v>
      </c>
      <c r="D777" s="6" t="s">
        <v>338</v>
      </c>
      <c r="E777" s="6">
        <f>IF(Table13[[#This Row],[Quartile]]="TopQuartile", 1,
 IF(Table13[[#This Row],[Quartile]]="SecondQuartile", 2,
 IF(Table13[[#This Row],[Quartile]]="ThirdQuartile", 3,
 IF(Table13[[#This Row],[Quartile]]="FourthQuartile", 4, ""))))</f>
        <v>2</v>
      </c>
      <c r="F777" s="9" t="s">
        <v>543</v>
      </c>
      <c r="G777" s="9" t="str" cm="1">
        <f t="array" ref="G777">IFERROR(
  INDEX(Table13[Quartile],
    MATCH(1,
      (Table13[[#This Row],[OrgName]]=Table13[OrgName]) *
      (Table13[[#This Row],[Month Number]]-1=Table13[Month Number]),
    0)
  ),
"")</f>
        <v>TopQuartile</v>
      </c>
      <c r="H777" s="9">
        <f>IF(Table13[[#This Row],[Previous Quartile]]="TopQuartile", 1,
 IF(Table13[[#This Row],[Previous Quartile]]="SecondQuartile", 2,
 IF(Table13[[#This Row],[Previous Quartile]]="ThirdQuartile", 3,
 IF(Table13[[#This Row],[Previous Quartile]]="FourthQuartile", 4, ""))))</f>
        <v>1</v>
      </c>
      <c r="I777" s="9" t="str">
        <f>IF(Table13[[#This Row],[Previous Quartile Value]]="", "",
   IF(Table13[[#This Row],[Quartile Value]] &lt; Table13[[#This Row],[Previous Quartile Value]], "Improved",
   IF(Table13[[#This Row],[Quartile Value]] &gt; Table13[[#This Row],[Previous Quartile Value]], "Dropped", "Same")))</f>
        <v>Dropped</v>
      </c>
      <c r="J777" s="10" t="s">
        <v>16</v>
      </c>
      <c r="K777" s="7" t="str">
        <f>VLOOKUP(J777,Introduction!$B$6:$C$14,2)</f>
        <v>South East</v>
      </c>
      <c r="L777" s="11">
        <v>495</v>
      </c>
      <c r="M777" s="12" t="s">
        <v>530</v>
      </c>
    </row>
    <row r="778" spans="1:13" ht="19.95" customHeight="1" x14ac:dyDescent="0.25">
      <c r="A778" s="41">
        <v>45413</v>
      </c>
      <c r="B778" s="47">
        <f>MONTH(Table13[[#This Row],[YearMonth]])</f>
        <v>5</v>
      </c>
      <c r="C778" s="9" t="s">
        <v>126</v>
      </c>
      <c r="D778" s="6" t="s">
        <v>338</v>
      </c>
      <c r="E778" s="6">
        <f>IF(Table13[[#This Row],[Quartile]]="TopQuartile", 1,
 IF(Table13[[#This Row],[Quartile]]="SecondQuartile", 2,
 IF(Table13[[#This Row],[Quartile]]="ThirdQuartile", 3,
 IF(Table13[[#This Row],[Quartile]]="FourthQuartile", 4, ""))))</f>
        <v>2</v>
      </c>
      <c r="F778" s="9" t="s">
        <v>548</v>
      </c>
      <c r="G778" s="9" t="str" cm="1">
        <f t="array" ref="G778">IFERROR(
  INDEX(Table13[Quartile],
    MATCH(1,
      (Table13[[#This Row],[OrgName]]=Table13[OrgName]) *
      (Table13[[#This Row],[Month Number]]-1=Table13[Month Number]),
    0)
  ),
"")</f>
        <v>SecondQuartile</v>
      </c>
      <c r="H778" s="9">
        <f>IF(Table13[[#This Row],[Previous Quartile]]="TopQuartile", 1,
 IF(Table13[[#This Row],[Previous Quartile]]="SecondQuartile", 2,
 IF(Table13[[#This Row],[Previous Quartile]]="ThirdQuartile", 3,
 IF(Table13[[#This Row],[Previous Quartile]]="FourthQuartile", 4, ""))))</f>
        <v>2</v>
      </c>
      <c r="I778" s="9" t="str">
        <f>IF(Table13[[#This Row],[Previous Quartile Value]]="", "",
   IF(Table13[[#This Row],[Quartile Value]] &lt; Table13[[#This Row],[Previous Quartile Value]], "Improved",
   IF(Table13[[#This Row],[Quartile Value]] &gt; Table13[[#This Row],[Previous Quartile Value]], "Dropped", "Same")))</f>
        <v>Same</v>
      </c>
      <c r="J778" s="10" t="s">
        <v>12</v>
      </c>
      <c r="K778" s="7" t="str">
        <f>VLOOKUP(J778,Introduction!$B$6:$C$14,2)</f>
        <v>London</v>
      </c>
      <c r="L778" s="11">
        <v>487</v>
      </c>
      <c r="M778" s="12" t="s">
        <v>530</v>
      </c>
    </row>
    <row r="779" spans="1:13" ht="19.95" customHeight="1" x14ac:dyDescent="0.25">
      <c r="A779" s="41">
        <v>45413</v>
      </c>
      <c r="B779" s="47">
        <f>MONTH(Table13[[#This Row],[YearMonth]])</f>
        <v>5</v>
      </c>
      <c r="C779" s="9" t="s">
        <v>124</v>
      </c>
      <c r="D779" s="6" t="s">
        <v>338</v>
      </c>
      <c r="E779" s="6">
        <f>IF(Table13[[#This Row],[Quartile]]="TopQuartile", 1,
 IF(Table13[[#This Row],[Quartile]]="SecondQuartile", 2,
 IF(Table13[[#This Row],[Quartile]]="ThirdQuartile", 3,
 IF(Table13[[#This Row],[Quartile]]="FourthQuartile", 4, ""))))</f>
        <v>2</v>
      </c>
      <c r="F779" s="9" t="s">
        <v>547</v>
      </c>
      <c r="G779" s="9" t="str" cm="1">
        <f t="array" ref="G779">IFERROR(
  INDEX(Table13[Quartile],
    MATCH(1,
      (Table13[[#This Row],[OrgName]]=Table13[OrgName]) *
      (Table13[[#This Row],[Month Number]]-1=Table13[Month Number]),
    0)
  ),
"")</f>
        <v>SecondQuartile</v>
      </c>
      <c r="H779" s="9">
        <f>IF(Table13[[#This Row],[Previous Quartile]]="TopQuartile", 1,
 IF(Table13[[#This Row],[Previous Quartile]]="SecondQuartile", 2,
 IF(Table13[[#This Row],[Previous Quartile]]="ThirdQuartile", 3,
 IF(Table13[[#This Row],[Previous Quartile]]="FourthQuartile", 4, ""))))</f>
        <v>2</v>
      </c>
      <c r="I779" s="9" t="str">
        <f>IF(Table13[[#This Row],[Previous Quartile Value]]="", "",
   IF(Table13[[#This Row],[Quartile Value]] &lt; Table13[[#This Row],[Previous Quartile Value]], "Improved",
   IF(Table13[[#This Row],[Quartile Value]] &gt; Table13[[#This Row],[Previous Quartile Value]], "Dropped", "Same")))</f>
        <v>Same</v>
      </c>
      <c r="J779" s="10" t="s">
        <v>18</v>
      </c>
      <c r="K779" s="7" t="str">
        <f>VLOOKUP(J779,Introduction!$B$6:$C$14,2)</f>
        <v>Midlands</v>
      </c>
      <c r="L779" s="11">
        <v>994</v>
      </c>
      <c r="M779" s="12" t="s">
        <v>530</v>
      </c>
    </row>
    <row r="780" spans="1:13" ht="19.95" customHeight="1" x14ac:dyDescent="0.25">
      <c r="A780" s="41">
        <v>45413</v>
      </c>
      <c r="B780" s="47">
        <f>MONTH(Table13[[#This Row],[YearMonth]])</f>
        <v>5</v>
      </c>
      <c r="C780" s="9" t="s">
        <v>159</v>
      </c>
      <c r="D780" s="6" t="s">
        <v>338</v>
      </c>
      <c r="E780" s="6">
        <f>IF(Table13[[#This Row],[Quartile]]="TopQuartile", 1,
 IF(Table13[[#This Row],[Quartile]]="SecondQuartile", 2,
 IF(Table13[[#This Row],[Quartile]]="ThirdQuartile", 3,
 IF(Table13[[#This Row],[Quartile]]="FourthQuartile", 4, ""))))</f>
        <v>2</v>
      </c>
      <c r="F780" s="9" t="s">
        <v>552</v>
      </c>
      <c r="G780" s="9" t="str" cm="1">
        <f t="array" ref="G780">IFERROR(
  INDEX(Table13[Quartile],
    MATCH(1,
      (Table13[[#This Row],[OrgName]]=Table13[OrgName]) *
      (Table13[[#This Row],[Month Number]]-1=Table13[Month Number]),
    0)
  ),
"")</f>
        <v>SecondQuartile</v>
      </c>
      <c r="H780" s="9">
        <f>IF(Table13[[#This Row],[Previous Quartile]]="TopQuartile", 1,
 IF(Table13[[#This Row],[Previous Quartile]]="SecondQuartile", 2,
 IF(Table13[[#This Row],[Previous Quartile]]="ThirdQuartile", 3,
 IF(Table13[[#This Row],[Previous Quartile]]="FourthQuartile", 4, ""))))</f>
        <v>2</v>
      </c>
      <c r="I780" s="9" t="str">
        <f>IF(Table13[[#This Row],[Previous Quartile Value]]="", "",
   IF(Table13[[#This Row],[Quartile Value]] &lt; Table13[[#This Row],[Previous Quartile Value]], "Improved",
   IF(Table13[[#This Row],[Quartile Value]] &gt; Table13[[#This Row],[Previous Quartile Value]], "Dropped", "Same")))</f>
        <v>Same</v>
      </c>
      <c r="J780" s="10" t="s">
        <v>20</v>
      </c>
      <c r="K780" s="7" t="str">
        <f>VLOOKUP(J780,Introduction!$B$6:$C$14,2)</f>
        <v>East of England</v>
      </c>
      <c r="L780" s="11">
        <v>137</v>
      </c>
      <c r="M780" s="12" t="s">
        <v>530</v>
      </c>
    </row>
    <row r="781" spans="1:13" ht="19.95" customHeight="1" x14ac:dyDescent="0.25">
      <c r="A781" s="41">
        <v>45413</v>
      </c>
      <c r="B781" s="47">
        <f>MONTH(Table13[[#This Row],[YearMonth]])</f>
        <v>5</v>
      </c>
      <c r="C781" s="9" t="s">
        <v>131</v>
      </c>
      <c r="D781" s="6" t="s">
        <v>338</v>
      </c>
      <c r="E781" s="6">
        <f>IF(Table13[[#This Row],[Quartile]]="TopQuartile", 1,
 IF(Table13[[#This Row],[Quartile]]="SecondQuartile", 2,
 IF(Table13[[#This Row],[Quartile]]="ThirdQuartile", 3,
 IF(Table13[[#This Row],[Quartile]]="FourthQuartile", 4, ""))))</f>
        <v>2</v>
      </c>
      <c r="F781" s="9" t="s">
        <v>549</v>
      </c>
      <c r="G781" s="9" t="str" cm="1">
        <f t="array" ref="G781">IFERROR(
  INDEX(Table13[Quartile],
    MATCH(1,
      (Table13[[#This Row],[OrgName]]=Table13[OrgName]) *
      (Table13[[#This Row],[Month Number]]-1=Table13[Month Number]),
    0)
  ),
"")</f>
        <v>SecondQuartile</v>
      </c>
      <c r="H781" s="9">
        <f>IF(Table13[[#This Row],[Previous Quartile]]="TopQuartile", 1,
 IF(Table13[[#This Row],[Previous Quartile]]="SecondQuartile", 2,
 IF(Table13[[#This Row],[Previous Quartile]]="ThirdQuartile", 3,
 IF(Table13[[#This Row],[Previous Quartile]]="FourthQuartile", 4, ""))))</f>
        <v>2</v>
      </c>
      <c r="I781" s="9" t="str">
        <f>IF(Table13[[#This Row],[Previous Quartile Value]]="", "",
   IF(Table13[[#This Row],[Quartile Value]] &lt; Table13[[#This Row],[Previous Quartile Value]], "Improved",
   IF(Table13[[#This Row],[Quartile Value]] &gt; Table13[[#This Row],[Previous Quartile Value]], "Dropped", "Same")))</f>
        <v>Same</v>
      </c>
      <c r="J781" s="10" t="s">
        <v>18</v>
      </c>
      <c r="K781" s="7" t="str">
        <f>VLOOKUP(J781,Introduction!$B$6:$C$14,2)</f>
        <v>Midlands</v>
      </c>
      <c r="L781" s="11">
        <v>105</v>
      </c>
      <c r="M781" s="12" t="s">
        <v>530</v>
      </c>
    </row>
    <row r="782" spans="1:13" ht="19.95" customHeight="1" x14ac:dyDescent="0.25">
      <c r="A782" s="41">
        <v>45413</v>
      </c>
      <c r="B782" s="47">
        <f>MONTH(Table13[[#This Row],[YearMonth]])</f>
        <v>5</v>
      </c>
      <c r="C782" s="9" t="s">
        <v>151</v>
      </c>
      <c r="D782" s="6" t="s">
        <v>338</v>
      </c>
      <c r="E782" s="6">
        <f>IF(Table13[[#This Row],[Quartile]]="TopQuartile", 1,
 IF(Table13[[#This Row],[Quartile]]="SecondQuartile", 2,
 IF(Table13[[#This Row],[Quartile]]="ThirdQuartile", 3,
 IF(Table13[[#This Row],[Quartile]]="FourthQuartile", 4, ""))))</f>
        <v>2</v>
      </c>
      <c r="F782" s="9" t="s">
        <v>551</v>
      </c>
      <c r="G782" s="9" t="str" cm="1">
        <f t="array" ref="G782">IFERROR(
  INDEX(Table13[Quartile],
    MATCH(1,
      (Table13[[#This Row],[OrgName]]=Table13[OrgName]) *
      (Table13[[#This Row],[Month Number]]-1=Table13[Month Number]),
    0)
  ),
"")</f>
        <v>SecondQuartile</v>
      </c>
      <c r="H782" s="9">
        <f>IF(Table13[[#This Row],[Previous Quartile]]="TopQuartile", 1,
 IF(Table13[[#This Row],[Previous Quartile]]="SecondQuartile", 2,
 IF(Table13[[#This Row],[Previous Quartile]]="ThirdQuartile", 3,
 IF(Table13[[#This Row],[Previous Quartile]]="FourthQuartile", 4, ""))))</f>
        <v>2</v>
      </c>
      <c r="I782" s="9" t="str">
        <f>IF(Table13[[#This Row],[Previous Quartile Value]]="", "",
   IF(Table13[[#This Row],[Quartile Value]] &lt; Table13[[#This Row],[Previous Quartile Value]], "Improved",
   IF(Table13[[#This Row],[Quartile Value]] &gt; Table13[[#This Row],[Previous Quartile Value]], "Dropped", "Same")))</f>
        <v>Same</v>
      </c>
      <c r="J782" s="10" t="s">
        <v>18</v>
      </c>
      <c r="K782" s="7" t="str">
        <f>VLOOKUP(J782,Introduction!$B$6:$C$14,2)</f>
        <v>Midlands</v>
      </c>
      <c r="L782" s="11">
        <v>111</v>
      </c>
      <c r="M782" s="12" t="s">
        <v>530</v>
      </c>
    </row>
    <row r="783" spans="1:13" ht="19.95" customHeight="1" x14ac:dyDescent="0.25">
      <c r="A783" s="41">
        <v>45413</v>
      </c>
      <c r="B783" s="47">
        <f>MONTH(Table13[[#This Row],[YearMonth]])</f>
        <v>5</v>
      </c>
      <c r="C783" s="9" t="s">
        <v>162</v>
      </c>
      <c r="D783" s="6" t="s">
        <v>338</v>
      </c>
      <c r="E783" s="6">
        <f>IF(Table13[[#This Row],[Quartile]]="TopQuartile", 1,
 IF(Table13[[#This Row],[Quartile]]="SecondQuartile", 2,
 IF(Table13[[#This Row],[Quartile]]="ThirdQuartile", 3,
 IF(Table13[[#This Row],[Quartile]]="FourthQuartile", 4, ""))))</f>
        <v>2</v>
      </c>
      <c r="F783" s="9" t="s">
        <v>553</v>
      </c>
      <c r="G783" s="9" t="str" cm="1">
        <f t="array" ref="G783">IFERROR(
  INDEX(Table13[Quartile],
    MATCH(1,
      (Table13[[#This Row],[OrgName]]=Table13[OrgName]) *
      (Table13[[#This Row],[Month Number]]-1=Table13[Month Number]),
    0)
  ),
"")</f>
        <v>SecondQuartile</v>
      </c>
      <c r="H783" s="9">
        <f>IF(Table13[[#This Row],[Previous Quartile]]="TopQuartile", 1,
 IF(Table13[[#This Row],[Previous Quartile]]="SecondQuartile", 2,
 IF(Table13[[#This Row],[Previous Quartile]]="ThirdQuartile", 3,
 IF(Table13[[#This Row],[Previous Quartile]]="FourthQuartile", 4, ""))))</f>
        <v>2</v>
      </c>
      <c r="I783" s="9" t="str">
        <f>IF(Table13[[#This Row],[Previous Quartile Value]]="", "",
   IF(Table13[[#This Row],[Quartile Value]] &lt; Table13[[#This Row],[Previous Quartile Value]], "Improved",
   IF(Table13[[#This Row],[Quartile Value]] &gt; Table13[[#This Row],[Previous Quartile Value]], "Dropped", "Same")))</f>
        <v>Same</v>
      </c>
      <c r="J783" s="10" t="s">
        <v>14</v>
      </c>
      <c r="K783" s="7" t="str">
        <f>VLOOKUP(J783,Introduction!$B$6:$C$14,2)</f>
        <v>South West</v>
      </c>
      <c r="L783" s="11">
        <v>471</v>
      </c>
      <c r="M783" s="12" t="s">
        <v>530</v>
      </c>
    </row>
    <row r="784" spans="1:13" ht="19.95" customHeight="1" x14ac:dyDescent="0.25">
      <c r="A784" s="41">
        <v>45413</v>
      </c>
      <c r="B784" s="47">
        <f>MONTH(Table13[[#This Row],[YearMonth]])</f>
        <v>5</v>
      </c>
      <c r="C784" s="9" t="s">
        <v>139</v>
      </c>
      <c r="D784" s="6" t="s">
        <v>338</v>
      </c>
      <c r="E784" s="6">
        <f>IF(Table13[[#This Row],[Quartile]]="TopQuartile", 1,
 IF(Table13[[#This Row],[Quartile]]="SecondQuartile", 2,
 IF(Table13[[#This Row],[Quartile]]="ThirdQuartile", 3,
 IF(Table13[[#This Row],[Quartile]]="FourthQuartile", 4, ""))))</f>
        <v>2</v>
      </c>
      <c r="F784" s="9" t="s">
        <v>550</v>
      </c>
      <c r="G784" s="9" t="str" cm="1">
        <f t="array" ref="G784">IFERROR(
  INDEX(Table13[Quartile],
    MATCH(1,
      (Table13[[#This Row],[OrgName]]=Table13[OrgName]) *
      (Table13[[#This Row],[Month Number]]-1=Table13[Month Number]),
    0)
  ),
"")</f>
        <v>SecondQuartile</v>
      </c>
      <c r="H784" s="9">
        <f>IF(Table13[[#This Row],[Previous Quartile]]="TopQuartile", 1,
 IF(Table13[[#This Row],[Previous Quartile]]="SecondQuartile", 2,
 IF(Table13[[#This Row],[Previous Quartile]]="ThirdQuartile", 3,
 IF(Table13[[#This Row],[Previous Quartile]]="FourthQuartile", 4, ""))))</f>
        <v>2</v>
      </c>
      <c r="I784" s="9" t="str">
        <f>IF(Table13[[#This Row],[Previous Quartile Value]]="", "",
   IF(Table13[[#This Row],[Quartile Value]] &lt; Table13[[#This Row],[Previous Quartile Value]], "Improved",
   IF(Table13[[#This Row],[Quartile Value]] &gt; Table13[[#This Row],[Previous Quartile Value]], "Dropped", "Same")))</f>
        <v>Same</v>
      </c>
      <c r="J784" s="10" t="s">
        <v>18</v>
      </c>
      <c r="K784" s="7" t="str">
        <f>VLOOKUP(J784,Introduction!$B$6:$C$14,2)</f>
        <v>Midlands</v>
      </c>
      <c r="L784" s="11">
        <v>529</v>
      </c>
      <c r="M784" s="12" t="s">
        <v>530</v>
      </c>
    </row>
    <row r="785" spans="1:13" ht="19.95" customHeight="1" x14ac:dyDescent="0.25">
      <c r="A785" s="41">
        <v>45413</v>
      </c>
      <c r="B785" s="47">
        <f>MONTH(Table13[[#This Row],[YearMonth]])</f>
        <v>5</v>
      </c>
      <c r="C785" s="9" t="s">
        <v>166</v>
      </c>
      <c r="D785" s="6" t="s">
        <v>338</v>
      </c>
      <c r="E785" s="6">
        <f>IF(Table13[[#This Row],[Quartile]]="TopQuartile", 1,
 IF(Table13[[#This Row],[Quartile]]="SecondQuartile", 2,
 IF(Table13[[#This Row],[Quartile]]="ThirdQuartile", 3,
 IF(Table13[[#This Row],[Quartile]]="FourthQuartile", 4, ""))))</f>
        <v>2</v>
      </c>
      <c r="F785" s="9" t="s">
        <v>554</v>
      </c>
      <c r="G785" s="9" t="str" cm="1">
        <f t="array" ref="G785">IFERROR(
  INDEX(Table13[Quartile],
    MATCH(1,
      (Table13[[#This Row],[OrgName]]=Table13[OrgName]) *
      (Table13[[#This Row],[Month Number]]-1=Table13[Month Number]),
    0)
  ),
"")</f>
        <v>SecondQuartile</v>
      </c>
      <c r="H785" s="9">
        <f>IF(Table13[[#This Row],[Previous Quartile]]="TopQuartile", 1,
 IF(Table13[[#This Row],[Previous Quartile]]="SecondQuartile", 2,
 IF(Table13[[#This Row],[Previous Quartile]]="ThirdQuartile", 3,
 IF(Table13[[#This Row],[Previous Quartile]]="FourthQuartile", 4, ""))))</f>
        <v>2</v>
      </c>
      <c r="I785" s="9" t="str">
        <f>IF(Table13[[#This Row],[Previous Quartile Value]]="", "",
   IF(Table13[[#This Row],[Quartile Value]] &lt; Table13[[#This Row],[Previous Quartile Value]], "Improved",
   IF(Table13[[#This Row],[Quartile Value]] &gt; Table13[[#This Row],[Previous Quartile Value]], "Dropped", "Same")))</f>
        <v>Same</v>
      </c>
      <c r="J785" s="10" t="s">
        <v>18</v>
      </c>
      <c r="K785" s="7" t="str">
        <f>VLOOKUP(J785,Introduction!$B$6:$C$14,2)</f>
        <v>Midlands</v>
      </c>
      <c r="L785" s="11">
        <v>996</v>
      </c>
      <c r="M785" s="12" t="s">
        <v>530</v>
      </c>
    </row>
    <row r="786" spans="1:13" ht="19.95" customHeight="1" x14ac:dyDescent="0.25">
      <c r="A786" s="41">
        <v>45413</v>
      </c>
      <c r="B786" s="47">
        <f>MONTH(Table13[[#This Row],[YearMonth]])</f>
        <v>5</v>
      </c>
      <c r="C786" s="9" t="s">
        <v>115</v>
      </c>
      <c r="D786" s="6" t="s">
        <v>341</v>
      </c>
      <c r="E786" s="6">
        <f>IF(Table13[[#This Row],[Quartile]]="TopQuartile", 1,
 IF(Table13[[#This Row],[Quartile]]="SecondQuartile", 2,
 IF(Table13[[#This Row],[Quartile]]="ThirdQuartile", 3,
 IF(Table13[[#This Row],[Quartile]]="FourthQuartile", 4, ""))))</f>
        <v>3</v>
      </c>
      <c r="F786" s="9" t="s">
        <v>546</v>
      </c>
      <c r="G786" s="9" t="str" cm="1">
        <f t="array" ref="G786">IFERROR(
  INDEX(Table13[Quartile],
    MATCH(1,
      (Table13[[#This Row],[OrgName]]=Table13[OrgName]) *
      (Table13[[#This Row],[Month Number]]-1=Table13[Month Number]),
    0)
  ),
"")</f>
        <v>ThirdQuartile</v>
      </c>
      <c r="H786" s="9">
        <f>IF(Table13[[#This Row],[Previous Quartile]]="TopQuartile", 1,
 IF(Table13[[#This Row],[Previous Quartile]]="SecondQuartile", 2,
 IF(Table13[[#This Row],[Previous Quartile]]="ThirdQuartile", 3,
 IF(Table13[[#This Row],[Previous Quartile]]="FourthQuartile", 4, ""))))</f>
        <v>3</v>
      </c>
      <c r="I786" s="9" t="str">
        <f>IF(Table13[[#This Row],[Previous Quartile Value]]="", "",
   IF(Table13[[#This Row],[Quartile Value]] &lt; Table13[[#This Row],[Previous Quartile Value]], "Improved",
   IF(Table13[[#This Row],[Quartile Value]] &gt; Table13[[#This Row],[Previous Quartile Value]], "Dropped", "Same")))</f>
        <v>Same</v>
      </c>
      <c r="J786" s="10" t="s">
        <v>18</v>
      </c>
      <c r="K786" s="7" t="str">
        <f>VLOOKUP(J786,Introduction!$B$6:$C$14,2)</f>
        <v>Midlands</v>
      </c>
      <c r="L786" s="11">
        <v>942</v>
      </c>
      <c r="M786" s="12" t="s">
        <v>530</v>
      </c>
    </row>
    <row r="787" spans="1:13" ht="19.95" customHeight="1" x14ac:dyDescent="0.25">
      <c r="A787" s="41">
        <v>45413</v>
      </c>
      <c r="B787" s="47">
        <f>MONTH(Table13[[#This Row],[YearMonth]])</f>
        <v>5</v>
      </c>
      <c r="C787" s="9" t="s">
        <v>231</v>
      </c>
      <c r="D787" s="6" t="s">
        <v>341</v>
      </c>
      <c r="E787" s="6">
        <f>IF(Table13[[#This Row],[Quartile]]="TopQuartile", 1,
 IF(Table13[[#This Row],[Quartile]]="SecondQuartile", 2,
 IF(Table13[[#This Row],[Quartile]]="ThirdQuartile", 3,
 IF(Table13[[#This Row],[Quartile]]="FourthQuartile", 4, ""))))</f>
        <v>3</v>
      </c>
      <c r="F787" s="9" t="s">
        <v>558</v>
      </c>
      <c r="G787" s="9" t="str" cm="1">
        <f t="array" ref="G787">IFERROR(
  INDEX(Table13[Quartile],
    MATCH(1,
      (Table13[[#This Row],[OrgName]]=Table13[OrgName]) *
      (Table13[[#This Row],[Month Number]]-1=Table13[Month Number]),
    0)
  ),
"")</f>
        <v>ThirdQuartile</v>
      </c>
      <c r="H787" s="9">
        <f>IF(Table13[[#This Row],[Previous Quartile]]="TopQuartile", 1,
 IF(Table13[[#This Row],[Previous Quartile]]="SecondQuartile", 2,
 IF(Table13[[#This Row],[Previous Quartile]]="ThirdQuartile", 3,
 IF(Table13[[#This Row],[Previous Quartile]]="FourthQuartile", 4, ""))))</f>
        <v>3</v>
      </c>
      <c r="I787" s="9" t="str">
        <f>IF(Table13[[#This Row],[Previous Quartile Value]]="", "",
   IF(Table13[[#This Row],[Quartile Value]] &lt; Table13[[#This Row],[Previous Quartile Value]], "Improved",
   IF(Table13[[#This Row],[Quartile Value]] &gt; Table13[[#This Row],[Previous Quartile Value]], "Dropped", "Same")))</f>
        <v>Same</v>
      </c>
      <c r="J787" s="10" t="s">
        <v>12</v>
      </c>
      <c r="K787" s="7" t="str">
        <f>VLOOKUP(J787,Introduction!$B$6:$C$14,2)</f>
        <v>London</v>
      </c>
      <c r="L787" s="11">
        <v>491</v>
      </c>
      <c r="M787" s="12" t="s">
        <v>530</v>
      </c>
    </row>
    <row r="788" spans="1:13" ht="19.95" customHeight="1" x14ac:dyDescent="0.25">
      <c r="A788" s="41">
        <v>45413</v>
      </c>
      <c r="B788" s="47">
        <f>MONTH(Table13[[#This Row],[YearMonth]])</f>
        <v>5</v>
      </c>
      <c r="C788" s="9" t="s">
        <v>206</v>
      </c>
      <c r="D788" s="6" t="s">
        <v>341</v>
      </c>
      <c r="E788" s="6">
        <f>IF(Table13[[#This Row],[Quartile]]="TopQuartile", 1,
 IF(Table13[[#This Row],[Quartile]]="SecondQuartile", 2,
 IF(Table13[[#This Row],[Quartile]]="ThirdQuartile", 3,
 IF(Table13[[#This Row],[Quartile]]="FourthQuartile", 4, ""))))</f>
        <v>3</v>
      </c>
      <c r="F788" s="9" t="s">
        <v>555</v>
      </c>
      <c r="G788" s="9" t="str" cm="1">
        <f t="array" ref="G788">IFERROR(
  INDEX(Table13[Quartile],
    MATCH(1,
      (Table13[[#This Row],[OrgName]]=Table13[OrgName]) *
      (Table13[[#This Row],[Month Number]]-1=Table13[Month Number]),
    0)
  ),
"")</f>
        <v>ThirdQuartile</v>
      </c>
      <c r="H788" s="9">
        <f>IF(Table13[[#This Row],[Previous Quartile]]="TopQuartile", 1,
 IF(Table13[[#This Row],[Previous Quartile]]="SecondQuartile", 2,
 IF(Table13[[#This Row],[Previous Quartile]]="ThirdQuartile", 3,
 IF(Table13[[#This Row],[Previous Quartile]]="FourthQuartile", 4, ""))))</f>
        <v>3</v>
      </c>
      <c r="I788" s="9" t="str">
        <f>IF(Table13[[#This Row],[Previous Quartile Value]]="", "",
   IF(Table13[[#This Row],[Quartile Value]] &lt; Table13[[#This Row],[Previous Quartile Value]], "Improved",
   IF(Table13[[#This Row],[Quartile Value]] &gt; Table13[[#This Row],[Previous Quartile Value]], "Dropped", "Same")))</f>
        <v>Same</v>
      </c>
      <c r="J788" s="10" t="s">
        <v>12</v>
      </c>
      <c r="K788" s="7" t="str">
        <f>VLOOKUP(J788,Introduction!$B$6:$C$14,2)</f>
        <v>London</v>
      </c>
      <c r="L788" s="11">
        <v>807</v>
      </c>
      <c r="M788" s="12" t="s">
        <v>530</v>
      </c>
    </row>
    <row r="789" spans="1:13" ht="19.95" customHeight="1" x14ac:dyDescent="0.25">
      <c r="A789" s="41">
        <v>45413</v>
      </c>
      <c r="B789" s="47">
        <f>MONTH(Table13[[#This Row],[YearMonth]])</f>
        <v>5</v>
      </c>
      <c r="C789" s="9" t="s">
        <v>216</v>
      </c>
      <c r="D789" s="6" t="s">
        <v>341</v>
      </c>
      <c r="E789" s="6">
        <f>IF(Table13[[#This Row],[Quartile]]="TopQuartile", 1,
 IF(Table13[[#This Row],[Quartile]]="SecondQuartile", 2,
 IF(Table13[[#This Row],[Quartile]]="ThirdQuartile", 3,
 IF(Table13[[#This Row],[Quartile]]="FourthQuartile", 4, ""))))</f>
        <v>3</v>
      </c>
      <c r="F789" s="9" t="s">
        <v>556</v>
      </c>
      <c r="G789" s="9" t="str" cm="1">
        <f t="array" ref="G789">IFERROR(
  INDEX(Table13[Quartile],
    MATCH(1,
      (Table13[[#This Row],[OrgName]]=Table13[OrgName]) *
      (Table13[[#This Row],[Month Number]]-1=Table13[Month Number]),
    0)
  ),
"")</f>
        <v>FourthQuartile</v>
      </c>
      <c r="H789" s="9">
        <f>IF(Table13[[#This Row],[Previous Quartile]]="TopQuartile", 1,
 IF(Table13[[#This Row],[Previous Quartile]]="SecondQuartile", 2,
 IF(Table13[[#This Row],[Previous Quartile]]="ThirdQuartile", 3,
 IF(Table13[[#This Row],[Previous Quartile]]="FourthQuartile", 4, ""))))</f>
        <v>4</v>
      </c>
      <c r="I789" s="9" t="str">
        <f>IF(Table13[[#This Row],[Previous Quartile Value]]="", "",
   IF(Table13[[#This Row],[Quartile Value]] &lt; Table13[[#This Row],[Previous Quartile Value]], "Improved",
   IF(Table13[[#This Row],[Quartile Value]] &gt; Table13[[#This Row],[Previous Quartile Value]], "Dropped", "Same")))</f>
        <v>Improved</v>
      </c>
      <c r="J789" s="10" t="s">
        <v>12</v>
      </c>
      <c r="K789" s="7" t="str">
        <f>VLOOKUP(J789,Introduction!$B$6:$C$14,2)</f>
        <v>London</v>
      </c>
      <c r="L789" s="11">
        <v>985</v>
      </c>
      <c r="M789" s="12" t="s">
        <v>530</v>
      </c>
    </row>
    <row r="790" spans="1:13" ht="19.95" customHeight="1" x14ac:dyDescent="0.25">
      <c r="A790" s="41">
        <v>45413</v>
      </c>
      <c r="B790" s="47">
        <f>MONTH(Table13[[#This Row],[YearMonth]])</f>
        <v>5</v>
      </c>
      <c r="C790" s="9" t="s">
        <v>221</v>
      </c>
      <c r="D790" s="6" t="s">
        <v>350</v>
      </c>
      <c r="E790" s="6">
        <f>IF(Table13[[#This Row],[Quartile]]="TopQuartile", 1,
 IF(Table13[[#This Row],[Quartile]]="SecondQuartile", 2,
 IF(Table13[[#This Row],[Quartile]]="ThirdQuartile", 3,
 IF(Table13[[#This Row],[Quartile]]="FourthQuartile", 4, ""))))</f>
        <v>4</v>
      </c>
      <c r="F790" s="9" t="s">
        <v>557</v>
      </c>
      <c r="G790" s="9" t="str" cm="1">
        <f t="array" ref="G790">IFERROR(
  INDEX(Table13[Quartile],
    MATCH(1,
      (Table13[[#This Row],[OrgName]]=Table13[OrgName]) *
      (Table13[[#This Row],[Month Number]]-1=Table13[Month Number]),
    0)
  ),
"")</f>
        <v>FourthQuartile</v>
      </c>
      <c r="H790" s="9">
        <f>IF(Table13[[#This Row],[Previous Quartile]]="TopQuartile", 1,
 IF(Table13[[#This Row],[Previous Quartile]]="SecondQuartile", 2,
 IF(Table13[[#This Row],[Previous Quartile]]="ThirdQuartile", 3,
 IF(Table13[[#This Row],[Previous Quartile]]="FourthQuartile", 4, ""))))</f>
        <v>4</v>
      </c>
      <c r="I790" s="9" t="str">
        <f>IF(Table13[[#This Row],[Previous Quartile Value]]="", "",
   IF(Table13[[#This Row],[Quartile Value]] &lt; Table13[[#This Row],[Previous Quartile Value]], "Improved",
   IF(Table13[[#This Row],[Quartile Value]] &gt; Table13[[#This Row],[Previous Quartile Value]], "Dropped", "Same")))</f>
        <v>Same</v>
      </c>
      <c r="J790" s="10" t="s">
        <v>16</v>
      </c>
      <c r="K790" s="7" t="str">
        <f>VLOOKUP(J790,Introduction!$B$6:$C$14,2)</f>
        <v>South East</v>
      </c>
      <c r="L790" s="11">
        <v>95</v>
      </c>
      <c r="M790" s="12" t="s">
        <v>530</v>
      </c>
    </row>
    <row r="791" spans="1:13" ht="19.95" customHeight="1" x14ac:dyDescent="0.25">
      <c r="A791" s="41">
        <v>45413</v>
      </c>
      <c r="B791" s="47">
        <f>MONTH(Table13[[#This Row],[YearMonth]])</f>
        <v>5</v>
      </c>
      <c r="C791" s="9" t="s">
        <v>234</v>
      </c>
      <c r="D791" s="6" t="s">
        <v>350</v>
      </c>
      <c r="E791" s="6">
        <f>IF(Table13[[#This Row],[Quartile]]="TopQuartile", 1,
 IF(Table13[[#This Row],[Quartile]]="SecondQuartile", 2,
 IF(Table13[[#This Row],[Quartile]]="ThirdQuartile", 3,
 IF(Table13[[#This Row],[Quartile]]="FourthQuartile", 4, ""))))</f>
        <v>4</v>
      </c>
      <c r="F791" s="9" t="s">
        <v>559</v>
      </c>
      <c r="G791" s="9" t="str" cm="1">
        <f t="array" ref="G791">IFERROR(
  INDEX(Table13[Quartile],
    MATCH(1,
      (Table13[[#This Row],[OrgName]]=Table13[OrgName]) *
      (Table13[[#This Row],[Month Number]]-1=Table13[Month Number]),
    0)
  ),
"")</f>
        <v>FourthQuartile</v>
      </c>
      <c r="H791" s="9">
        <f>IF(Table13[[#This Row],[Previous Quartile]]="TopQuartile", 1,
 IF(Table13[[#This Row],[Previous Quartile]]="SecondQuartile", 2,
 IF(Table13[[#This Row],[Previous Quartile]]="ThirdQuartile", 3,
 IF(Table13[[#This Row],[Previous Quartile]]="FourthQuartile", 4, ""))))</f>
        <v>4</v>
      </c>
      <c r="I791" s="9" t="str">
        <f>IF(Table13[[#This Row],[Previous Quartile Value]]="", "",
   IF(Table13[[#This Row],[Quartile Value]] &lt; Table13[[#This Row],[Previous Quartile Value]], "Improved",
   IF(Table13[[#This Row],[Quartile Value]] &gt; Table13[[#This Row],[Previous Quartile Value]], "Dropped", "Same")))</f>
        <v>Same</v>
      </c>
      <c r="J791" s="10" t="s">
        <v>22</v>
      </c>
      <c r="K791" s="7" t="str">
        <f>VLOOKUP(J791,Introduction!$B$6:$C$14,2)</f>
        <v>North West</v>
      </c>
      <c r="L791" s="11">
        <v>125</v>
      </c>
      <c r="M791" s="12" t="s">
        <v>530</v>
      </c>
    </row>
    <row r="792" spans="1:13" ht="19.95" customHeight="1" x14ac:dyDescent="0.25">
      <c r="A792" s="41">
        <v>45413</v>
      </c>
      <c r="B792" s="47">
        <f>MONTH(Table13[[#This Row],[YearMonth]])</f>
        <v>5</v>
      </c>
      <c r="C792" s="9" t="s">
        <v>272</v>
      </c>
      <c r="D792" s="6" t="s">
        <v>350</v>
      </c>
      <c r="E792" s="6">
        <f>IF(Table13[[#This Row],[Quartile]]="TopQuartile", 1,
 IF(Table13[[#This Row],[Quartile]]="SecondQuartile", 2,
 IF(Table13[[#This Row],[Quartile]]="ThirdQuartile", 3,
 IF(Table13[[#This Row],[Quartile]]="FourthQuartile", 4, ""))))</f>
        <v>4</v>
      </c>
      <c r="F792" s="9" t="s">
        <v>564</v>
      </c>
      <c r="G792" s="9" t="str" cm="1">
        <f t="array" ref="G792">IFERROR(
  INDEX(Table13[Quartile],
    MATCH(1,
      (Table13[[#This Row],[OrgName]]=Table13[OrgName]) *
      (Table13[[#This Row],[Month Number]]-1=Table13[Month Number]),
    0)
  ),
"")</f>
        <v>ThirdQuartile</v>
      </c>
      <c r="H792" s="9">
        <f>IF(Table13[[#This Row],[Previous Quartile]]="TopQuartile", 1,
 IF(Table13[[#This Row],[Previous Quartile]]="SecondQuartile", 2,
 IF(Table13[[#This Row],[Previous Quartile]]="ThirdQuartile", 3,
 IF(Table13[[#This Row],[Previous Quartile]]="FourthQuartile", 4, ""))))</f>
        <v>3</v>
      </c>
      <c r="I792" s="9" t="str">
        <f>IF(Table13[[#This Row],[Previous Quartile Value]]="", "",
   IF(Table13[[#This Row],[Quartile Value]] &lt; Table13[[#This Row],[Previous Quartile Value]], "Improved",
   IF(Table13[[#This Row],[Quartile Value]] &gt; Table13[[#This Row],[Previous Quartile Value]], "Dropped", "Same")))</f>
        <v>Dropped</v>
      </c>
      <c r="J792" s="10" t="s">
        <v>20</v>
      </c>
      <c r="K792" s="7" t="str">
        <f>VLOOKUP(J792,Introduction!$B$6:$C$14,2)</f>
        <v>East of England</v>
      </c>
      <c r="L792" s="11">
        <v>708</v>
      </c>
      <c r="M792" s="12" t="s">
        <v>530</v>
      </c>
    </row>
    <row r="793" spans="1:13" ht="19.95" customHeight="1" x14ac:dyDescent="0.25">
      <c r="A793" s="41">
        <v>45413</v>
      </c>
      <c r="B793" s="47">
        <f>MONTH(Table13[[#This Row],[YearMonth]])</f>
        <v>5</v>
      </c>
      <c r="C793" s="9" t="s">
        <v>265</v>
      </c>
      <c r="D793" s="6" t="s">
        <v>350</v>
      </c>
      <c r="E793" s="6">
        <f>IF(Table13[[#This Row],[Quartile]]="TopQuartile", 1,
 IF(Table13[[#This Row],[Quartile]]="SecondQuartile", 2,
 IF(Table13[[#This Row],[Quartile]]="ThirdQuartile", 3,
 IF(Table13[[#This Row],[Quartile]]="FourthQuartile", 4, ""))))</f>
        <v>4</v>
      </c>
      <c r="F793" s="9" t="s">
        <v>562</v>
      </c>
      <c r="G793" s="9" t="str" cm="1">
        <f t="array" ref="G793">IFERROR(
  INDEX(Table13[Quartile],
    MATCH(1,
      (Table13[[#This Row],[OrgName]]=Table13[OrgName]) *
      (Table13[[#This Row],[Month Number]]-1=Table13[Month Number]),
    0)
  ),
"")</f>
        <v>FourthQuartile</v>
      </c>
      <c r="H793" s="9">
        <f>IF(Table13[[#This Row],[Previous Quartile]]="TopQuartile", 1,
 IF(Table13[[#This Row],[Previous Quartile]]="SecondQuartile", 2,
 IF(Table13[[#This Row],[Previous Quartile]]="ThirdQuartile", 3,
 IF(Table13[[#This Row],[Previous Quartile]]="FourthQuartile", 4, ""))))</f>
        <v>4</v>
      </c>
      <c r="I793" s="9" t="str">
        <f>IF(Table13[[#This Row],[Previous Quartile Value]]="", "",
   IF(Table13[[#This Row],[Quartile Value]] &lt; Table13[[#This Row],[Previous Quartile Value]], "Improved",
   IF(Table13[[#This Row],[Quartile Value]] &gt; Table13[[#This Row],[Previous Quartile Value]], "Dropped", "Same")))</f>
        <v>Same</v>
      </c>
      <c r="J793" s="10" t="s">
        <v>16</v>
      </c>
      <c r="K793" s="7" t="str">
        <f>VLOOKUP(J793,Introduction!$B$6:$C$14,2)</f>
        <v>South East</v>
      </c>
      <c r="L793" s="11">
        <v>256</v>
      </c>
      <c r="M793" s="12" t="s">
        <v>530</v>
      </c>
    </row>
    <row r="794" spans="1:13" ht="19.95" customHeight="1" x14ac:dyDescent="0.25">
      <c r="A794" s="41">
        <v>45413</v>
      </c>
      <c r="B794" s="47">
        <f>MONTH(Table13[[#This Row],[YearMonth]])</f>
        <v>5</v>
      </c>
      <c r="C794" s="9" t="s">
        <v>266</v>
      </c>
      <c r="D794" s="6" t="s">
        <v>350</v>
      </c>
      <c r="E794" s="6">
        <f>IF(Table13[[#This Row],[Quartile]]="TopQuartile", 1,
 IF(Table13[[#This Row],[Quartile]]="SecondQuartile", 2,
 IF(Table13[[#This Row],[Quartile]]="ThirdQuartile", 3,
 IF(Table13[[#This Row],[Quartile]]="FourthQuartile", 4, ""))))</f>
        <v>4</v>
      </c>
      <c r="F794" s="9" t="s">
        <v>563</v>
      </c>
      <c r="G794" s="9" t="str" cm="1">
        <f t="array" ref="G794">IFERROR(
  INDEX(Table13[Quartile],
    MATCH(1,
      (Table13[[#This Row],[OrgName]]=Table13[OrgName]) *
      (Table13[[#This Row],[Month Number]]-1=Table13[Month Number]),
    0)
  ),
"")</f>
        <v>FourthQuartile</v>
      </c>
      <c r="H794" s="9">
        <f>IF(Table13[[#This Row],[Previous Quartile]]="TopQuartile", 1,
 IF(Table13[[#This Row],[Previous Quartile]]="SecondQuartile", 2,
 IF(Table13[[#This Row],[Previous Quartile]]="ThirdQuartile", 3,
 IF(Table13[[#This Row],[Previous Quartile]]="FourthQuartile", 4, ""))))</f>
        <v>4</v>
      </c>
      <c r="I794" s="9" t="str">
        <f>IF(Table13[[#This Row],[Previous Quartile Value]]="", "",
   IF(Table13[[#This Row],[Quartile Value]] &lt; Table13[[#This Row],[Previous Quartile Value]], "Improved",
   IF(Table13[[#This Row],[Quartile Value]] &gt; Table13[[#This Row],[Previous Quartile Value]], "Dropped", "Same")))</f>
        <v>Same</v>
      </c>
      <c r="J794" s="10" t="s">
        <v>12</v>
      </c>
      <c r="K794" s="7" t="str">
        <f>VLOOKUP(J794,Introduction!$B$6:$C$14,2)</f>
        <v>London</v>
      </c>
      <c r="L794" s="11">
        <v>161</v>
      </c>
      <c r="M794" s="12" t="s">
        <v>530</v>
      </c>
    </row>
    <row r="795" spans="1:13" ht="19.95" customHeight="1" x14ac:dyDescent="0.25">
      <c r="A795" s="41">
        <v>45413</v>
      </c>
      <c r="B795" s="47">
        <f>MONTH(Table13[[#This Row],[YearMonth]])</f>
        <v>5</v>
      </c>
      <c r="C795" s="9" t="s">
        <v>275</v>
      </c>
      <c r="D795" s="6" t="s">
        <v>350</v>
      </c>
      <c r="E795" s="6">
        <f>IF(Table13[[#This Row],[Quartile]]="TopQuartile", 1,
 IF(Table13[[#This Row],[Quartile]]="SecondQuartile", 2,
 IF(Table13[[#This Row],[Quartile]]="ThirdQuartile", 3,
 IF(Table13[[#This Row],[Quartile]]="FourthQuartile", 4, ""))))</f>
        <v>4</v>
      </c>
      <c r="F795" s="9" t="s">
        <v>565</v>
      </c>
      <c r="G795" s="9" t="str" cm="1">
        <f t="array" ref="G795">IFERROR(
  INDEX(Table13[Quartile],
    MATCH(1,
      (Table13[[#This Row],[OrgName]]=Table13[OrgName]) *
      (Table13[[#This Row],[Month Number]]-1=Table13[Month Number]),
    0)
  ),
"")</f>
        <v>FourthQuartile</v>
      </c>
      <c r="H795" s="9">
        <f>IF(Table13[[#This Row],[Previous Quartile]]="TopQuartile", 1,
 IF(Table13[[#This Row],[Previous Quartile]]="SecondQuartile", 2,
 IF(Table13[[#This Row],[Previous Quartile]]="ThirdQuartile", 3,
 IF(Table13[[#This Row],[Previous Quartile]]="FourthQuartile", 4, ""))))</f>
        <v>4</v>
      </c>
      <c r="I795" s="9" t="str">
        <f>IF(Table13[[#This Row],[Previous Quartile Value]]="", "",
   IF(Table13[[#This Row],[Quartile Value]] &lt; Table13[[#This Row],[Previous Quartile Value]], "Improved",
   IF(Table13[[#This Row],[Quartile Value]] &gt; Table13[[#This Row],[Previous Quartile Value]], "Dropped", "Same")))</f>
        <v>Same</v>
      </c>
      <c r="J795" s="10" t="s">
        <v>18</v>
      </c>
      <c r="K795" s="7" t="str">
        <f>VLOOKUP(J795,Introduction!$B$6:$C$14,2)</f>
        <v>Midlands</v>
      </c>
      <c r="L795" s="11">
        <v>118</v>
      </c>
      <c r="M795" s="12" t="s">
        <v>530</v>
      </c>
    </row>
    <row r="796" spans="1:13" ht="19.95" customHeight="1" x14ac:dyDescent="0.25">
      <c r="A796" s="41">
        <v>45413</v>
      </c>
      <c r="B796" s="47">
        <f>MONTH(Table13[[#This Row],[YearMonth]])</f>
        <v>5</v>
      </c>
      <c r="C796" s="9" t="s">
        <v>284</v>
      </c>
      <c r="D796" s="6" t="s">
        <v>350</v>
      </c>
      <c r="E796" s="6">
        <f>IF(Table13[[#This Row],[Quartile]]="TopQuartile", 1,
 IF(Table13[[#This Row],[Quartile]]="SecondQuartile", 2,
 IF(Table13[[#This Row],[Quartile]]="ThirdQuartile", 3,
 IF(Table13[[#This Row],[Quartile]]="FourthQuartile", 4, ""))))</f>
        <v>4</v>
      </c>
      <c r="F796" s="9" t="s">
        <v>566</v>
      </c>
      <c r="G796" s="9" t="str" cm="1">
        <f t="array" ref="G796">IFERROR(
  INDEX(Table13[Quartile],
    MATCH(1,
      (Table13[[#This Row],[OrgName]]=Table13[OrgName]) *
      (Table13[[#This Row],[Month Number]]-1=Table13[Month Number]),
    0)
  ),
"")</f>
        <v>FourthQuartile</v>
      </c>
      <c r="H796" s="9">
        <f>IF(Table13[[#This Row],[Previous Quartile]]="TopQuartile", 1,
 IF(Table13[[#This Row],[Previous Quartile]]="SecondQuartile", 2,
 IF(Table13[[#This Row],[Previous Quartile]]="ThirdQuartile", 3,
 IF(Table13[[#This Row],[Previous Quartile]]="FourthQuartile", 4, ""))))</f>
        <v>4</v>
      </c>
      <c r="I796" s="9" t="str">
        <f>IF(Table13[[#This Row],[Previous Quartile Value]]="", "",
   IF(Table13[[#This Row],[Quartile Value]] &lt; Table13[[#This Row],[Previous Quartile Value]], "Improved",
   IF(Table13[[#This Row],[Quartile Value]] &gt; Table13[[#This Row],[Previous Quartile Value]], "Dropped", "Same")))</f>
        <v>Same</v>
      </c>
      <c r="J796" s="10" t="s">
        <v>20</v>
      </c>
      <c r="K796" s="7" t="str">
        <f>VLOOKUP(J796,Introduction!$B$6:$C$14,2)</f>
        <v>East of England</v>
      </c>
      <c r="L796" s="11">
        <v>468</v>
      </c>
      <c r="M796" s="12" t="s">
        <v>530</v>
      </c>
    </row>
    <row r="797" spans="1:13" ht="19.95" customHeight="1" x14ac:dyDescent="0.25">
      <c r="A797" s="41">
        <v>45413</v>
      </c>
      <c r="B797" s="47">
        <f>MONTH(Table13[[#This Row],[YearMonth]])</f>
        <v>5</v>
      </c>
      <c r="C797" s="9" t="s">
        <v>262</v>
      </c>
      <c r="D797" s="6" t="s">
        <v>350</v>
      </c>
      <c r="E797" s="6">
        <f>IF(Table13[[#This Row],[Quartile]]="TopQuartile", 1,
 IF(Table13[[#This Row],[Quartile]]="SecondQuartile", 2,
 IF(Table13[[#This Row],[Quartile]]="ThirdQuartile", 3,
 IF(Table13[[#This Row],[Quartile]]="FourthQuartile", 4, ""))))</f>
        <v>4</v>
      </c>
      <c r="F797" s="9" t="s">
        <v>561</v>
      </c>
      <c r="G797" s="9" t="str" cm="1">
        <f t="array" ref="G797">IFERROR(
  INDEX(Table13[Quartile],
    MATCH(1,
      (Table13[[#This Row],[OrgName]]=Table13[OrgName]) *
      (Table13[[#This Row],[Month Number]]-1=Table13[Month Number]),
    0)
  ),
"")</f>
        <v>FourthQuartile</v>
      </c>
      <c r="H797" s="9">
        <f>IF(Table13[[#This Row],[Previous Quartile]]="TopQuartile", 1,
 IF(Table13[[#This Row],[Previous Quartile]]="SecondQuartile", 2,
 IF(Table13[[#This Row],[Previous Quartile]]="ThirdQuartile", 3,
 IF(Table13[[#This Row],[Previous Quartile]]="FourthQuartile", 4, ""))))</f>
        <v>4</v>
      </c>
      <c r="I797" s="9" t="str">
        <f>IF(Table13[[#This Row],[Previous Quartile Value]]="", "",
   IF(Table13[[#This Row],[Quartile Value]] &lt; Table13[[#This Row],[Previous Quartile Value]], "Improved",
   IF(Table13[[#This Row],[Quartile Value]] &gt; Table13[[#This Row],[Previous Quartile Value]], "Dropped", "Same")))</f>
        <v>Same</v>
      </c>
      <c r="J797" s="10" t="s">
        <v>22</v>
      </c>
      <c r="K797" s="7" t="str">
        <f>VLOOKUP(J797,Introduction!$B$6:$C$14,2)</f>
        <v>North West</v>
      </c>
      <c r="L797" s="11">
        <v>896</v>
      </c>
      <c r="M797" s="12" t="s">
        <v>530</v>
      </c>
    </row>
    <row r="798" spans="1:13" ht="19.95" customHeight="1" x14ac:dyDescent="0.25">
      <c r="A798" s="41">
        <v>45413</v>
      </c>
      <c r="B798" s="47">
        <f>MONTH(Table13[[#This Row],[YearMonth]])</f>
        <v>5</v>
      </c>
      <c r="C798" s="9" t="s">
        <v>247</v>
      </c>
      <c r="D798" s="6" t="s">
        <v>350</v>
      </c>
      <c r="E798" s="6">
        <f>IF(Table13[[#This Row],[Quartile]]="TopQuartile", 1,
 IF(Table13[[#This Row],[Quartile]]="SecondQuartile", 2,
 IF(Table13[[#This Row],[Quartile]]="ThirdQuartile", 3,
 IF(Table13[[#This Row],[Quartile]]="FourthQuartile", 4, ""))))</f>
        <v>4</v>
      </c>
      <c r="F798" s="9" t="s">
        <v>560</v>
      </c>
      <c r="G798" s="9" t="str" cm="1">
        <f t="array" ref="G798">IFERROR(
  INDEX(Table13[Quartile],
    MATCH(1,
      (Table13[[#This Row],[OrgName]]=Table13[OrgName]) *
      (Table13[[#This Row],[Month Number]]-1=Table13[Month Number]),
    0)
  ),
"")</f>
        <v>FourthQuartile</v>
      </c>
      <c r="H798" s="9">
        <f>IF(Table13[[#This Row],[Previous Quartile]]="TopQuartile", 1,
 IF(Table13[[#This Row],[Previous Quartile]]="SecondQuartile", 2,
 IF(Table13[[#This Row],[Previous Quartile]]="ThirdQuartile", 3,
 IF(Table13[[#This Row],[Previous Quartile]]="FourthQuartile", 4, ""))))</f>
        <v>4</v>
      </c>
      <c r="I798" s="9" t="str">
        <f>IF(Table13[[#This Row],[Previous Quartile Value]]="", "",
   IF(Table13[[#This Row],[Quartile Value]] &lt; Table13[[#This Row],[Previous Quartile Value]], "Improved",
   IF(Table13[[#This Row],[Quartile Value]] &gt; Table13[[#This Row],[Previous Quartile Value]], "Dropped", "Same")))</f>
        <v>Same</v>
      </c>
      <c r="J798" s="10" t="s">
        <v>24</v>
      </c>
      <c r="K798" s="7" t="str">
        <f>VLOOKUP(J798,Introduction!$B$6:$C$14,2)</f>
        <v>North East and Yorkshire</v>
      </c>
      <c r="L798" s="11">
        <v>134</v>
      </c>
      <c r="M798" s="12" t="s">
        <v>530</v>
      </c>
    </row>
    <row r="799" spans="1:13" ht="19.95" customHeight="1" x14ac:dyDescent="0.25">
      <c r="A799" s="41">
        <v>45413</v>
      </c>
      <c r="B799" s="47">
        <f>MONTH(Table13[[#This Row],[YearMonth]])</f>
        <v>5</v>
      </c>
      <c r="C799" s="9" t="s">
        <v>303</v>
      </c>
      <c r="D799" s="6" t="s">
        <v>350</v>
      </c>
      <c r="E799" s="6">
        <f>IF(Table13[[#This Row],[Quartile]]="TopQuartile", 1,
 IF(Table13[[#This Row],[Quartile]]="SecondQuartile", 2,
 IF(Table13[[#This Row],[Quartile]]="ThirdQuartile", 3,
 IF(Table13[[#This Row],[Quartile]]="FourthQuartile", 4, ""))))</f>
        <v>4</v>
      </c>
      <c r="F799" s="9" t="s">
        <v>568</v>
      </c>
      <c r="G799" s="9" t="str" cm="1">
        <f t="array" ref="G799">IFERROR(
  INDEX(Table13[Quartile],
    MATCH(1,
      (Table13[[#This Row],[OrgName]]=Table13[OrgName]) *
      (Table13[[#This Row],[Month Number]]-1=Table13[Month Number]),
    0)
  ),
"")</f>
        <v>FourthQuartile</v>
      </c>
      <c r="H799" s="9">
        <f>IF(Table13[[#This Row],[Previous Quartile]]="TopQuartile", 1,
 IF(Table13[[#This Row],[Previous Quartile]]="SecondQuartile", 2,
 IF(Table13[[#This Row],[Previous Quartile]]="ThirdQuartile", 3,
 IF(Table13[[#This Row],[Previous Quartile]]="FourthQuartile", 4, ""))))</f>
        <v>4</v>
      </c>
      <c r="I799" s="9" t="str">
        <f>IF(Table13[[#This Row],[Previous Quartile Value]]="", "",
   IF(Table13[[#This Row],[Quartile Value]] &lt; Table13[[#This Row],[Previous Quartile Value]], "Improved",
   IF(Table13[[#This Row],[Quartile Value]] &gt; Table13[[#This Row],[Previous Quartile Value]], "Dropped", "Same")))</f>
        <v>Same</v>
      </c>
      <c r="J799" s="10" t="s">
        <v>14</v>
      </c>
      <c r="K799" s="7" t="str">
        <f>VLOOKUP(J799,Introduction!$B$6:$C$14,2)</f>
        <v>South West</v>
      </c>
      <c r="L799" s="11">
        <v>467</v>
      </c>
      <c r="M799" s="12" t="s">
        <v>530</v>
      </c>
    </row>
    <row r="800" spans="1:13" ht="19.95" customHeight="1" x14ac:dyDescent="0.25">
      <c r="A800" s="41">
        <v>45413</v>
      </c>
      <c r="B800" s="47">
        <f>MONTH(Table13[[#This Row],[YearMonth]])</f>
        <v>5</v>
      </c>
      <c r="C800" s="9" t="s">
        <v>302</v>
      </c>
      <c r="D800" s="6" t="s">
        <v>350</v>
      </c>
      <c r="E800" s="6">
        <f>IF(Table13[[#This Row],[Quartile]]="TopQuartile", 1,
 IF(Table13[[#This Row],[Quartile]]="SecondQuartile", 2,
 IF(Table13[[#This Row],[Quartile]]="ThirdQuartile", 3,
 IF(Table13[[#This Row],[Quartile]]="FourthQuartile", 4, ""))))</f>
        <v>4</v>
      </c>
      <c r="F800" s="9" t="s">
        <v>567</v>
      </c>
      <c r="G800" s="9" t="str" cm="1">
        <f t="array" ref="G800">IFERROR(
  INDEX(Table13[Quartile],
    MATCH(1,
      (Table13[[#This Row],[OrgName]]=Table13[OrgName]) *
      (Table13[[#This Row],[Month Number]]-1=Table13[Month Number]),
    0)
  ),
"")</f>
        <v>FourthQuartile</v>
      </c>
      <c r="H800" s="9">
        <f>IF(Table13[[#This Row],[Previous Quartile]]="TopQuartile", 1,
 IF(Table13[[#This Row],[Previous Quartile]]="SecondQuartile", 2,
 IF(Table13[[#This Row],[Previous Quartile]]="ThirdQuartile", 3,
 IF(Table13[[#This Row],[Previous Quartile]]="FourthQuartile", 4, ""))))</f>
        <v>4</v>
      </c>
      <c r="I800" s="9" t="str">
        <f>IF(Table13[[#This Row],[Previous Quartile Value]]="", "",
   IF(Table13[[#This Row],[Quartile Value]] &lt; Table13[[#This Row],[Previous Quartile Value]], "Improved",
   IF(Table13[[#This Row],[Quartile Value]] &gt; Table13[[#This Row],[Previous Quartile Value]], "Dropped", "Same")))</f>
        <v>Same</v>
      </c>
      <c r="J800" s="10" t="s">
        <v>24</v>
      </c>
      <c r="K800" s="7" t="str">
        <f>VLOOKUP(J800,Introduction!$B$6:$C$14,2)</f>
        <v>North East and Yorkshire</v>
      </c>
      <c r="L800" s="11">
        <v>475</v>
      </c>
      <c r="M800" s="12" t="s">
        <v>530</v>
      </c>
    </row>
    <row r="801" spans="1:13" ht="19.95" customHeight="1" x14ac:dyDescent="0.25">
      <c r="A801" s="41">
        <v>45413</v>
      </c>
      <c r="B801" s="47">
        <f>MONTH(Table13[[#This Row],[YearMonth]])</f>
        <v>5</v>
      </c>
      <c r="C801" s="9" t="s">
        <v>304</v>
      </c>
      <c r="D801" s="6" t="s">
        <v>350</v>
      </c>
      <c r="E801" s="6">
        <f>IF(Table13[[#This Row],[Quartile]]="TopQuartile", 1,
 IF(Table13[[#This Row],[Quartile]]="SecondQuartile", 2,
 IF(Table13[[#This Row],[Quartile]]="ThirdQuartile", 3,
 IF(Table13[[#This Row],[Quartile]]="FourthQuartile", 4, ""))))</f>
        <v>4</v>
      </c>
      <c r="F801" s="9" t="s">
        <v>569</v>
      </c>
      <c r="G801" s="9" t="str" cm="1">
        <f t="array" ref="G801">IFERROR(
  INDEX(Table13[Quartile],
    MATCH(1,
      (Table13[[#This Row],[OrgName]]=Table13[OrgName]) *
      (Table13[[#This Row],[Month Number]]-1=Table13[Month Number]),
    0)
  ),
"")</f>
        <v>FourthQuartile</v>
      </c>
      <c r="H801" s="9">
        <f>IF(Table13[[#This Row],[Previous Quartile]]="TopQuartile", 1,
 IF(Table13[[#This Row],[Previous Quartile]]="SecondQuartile", 2,
 IF(Table13[[#This Row],[Previous Quartile]]="ThirdQuartile", 3,
 IF(Table13[[#This Row],[Previous Quartile]]="FourthQuartile", 4, ""))))</f>
        <v>4</v>
      </c>
      <c r="I801" s="9" t="str">
        <f>IF(Table13[[#This Row],[Previous Quartile Value]]="", "",
   IF(Table13[[#This Row],[Quartile Value]] &lt; Table13[[#This Row],[Previous Quartile Value]], "Improved",
   IF(Table13[[#This Row],[Quartile Value]] &gt; Table13[[#This Row],[Previous Quartile Value]], "Dropped", "Same")))</f>
        <v>Same</v>
      </c>
      <c r="J801" s="10" t="s">
        <v>20</v>
      </c>
      <c r="K801" s="7" t="str">
        <f>VLOOKUP(J801,Introduction!$B$6:$C$14,2)</f>
        <v>East of England</v>
      </c>
      <c r="L801" s="11">
        <v>710</v>
      </c>
      <c r="M801" s="12" t="s">
        <v>530</v>
      </c>
    </row>
    <row r="802" spans="1:13" ht="19.95" customHeight="1" x14ac:dyDescent="0.25">
      <c r="A802" s="41">
        <v>45413</v>
      </c>
      <c r="B802" s="47">
        <f>MONTH(Table13[[#This Row],[YearMonth]])</f>
        <v>5</v>
      </c>
      <c r="C802" s="9" t="s">
        <v>311</v>
      </c>
      <c r="D802" s="6" t="s">
        <v>350</v>
      </c>
      <c r="E802" s="6">
        <f>IF(Table13[[#This Row],[Quartile]]="TopQuartile", 1,
 IF(Table13[[#This Row],[Quartile]]="SecondQuartile", 2,
 IF(Table13[[#This Row],[Quartile]]="ThirdQuartile", 3,
 IF(Table13[[#This Row],[Quartile]]="FourthQuartile", 4, ""))))</f>
        <v>4</v>
      </c>
      <c r="F802" s="9" t="s">
        <v>570</v>
      </c>
      <c r="G802" s="9" t="str" cm="1">
        <f t="array" ref="G802">IFERROR(
  INDEX(Table13[Quartile],
    MATCH(1,
      (Table13[[#This Row],[OrgName]]=Table13[OrgName]) *
      (Table13[[#This Row],[Month Number]]-1=Table13[Month Number]),
    0)
  ),
"")</f>
        <v>FourthQuartile</v>
      </c>
      <c r="H802" s="9">
        <f>IF(Table13[[#This Row],[Previous Quartile]]="TopQuartile", 1,
 IF(Table13[[#This Row],[Previous Quartile]]="SecondQuartile", 2,
 IF(Table13[[#This Row],[Previous Quartile]]="ThirdQuartile", 3,
 IF(Table13[[#This Row],[Previous Quartile]]="FourthQuartile", 4, ""))))</f>
        <v>4</v>
      </c>
      <c r="I802" s="9" t="str">
        <f>IF(Table13[[#This Row],[Previous Quartile Value]]="", "",
   IF(Table13[[#This Row],[Quartile Value]] &lt; Table13[[#This Row],[Previous Quartile Value]], "Improved",
   IF(Table13[[#This Row],[Quartile Value]] &gt; Table13[[#This Row],[Previous Quartile Value]], "Dropped", "Same")))</f>
        <v>Same</v>
      </c>
      <c r="J802" s="10" t="s">
        <v>24</v>
      </c>
      <c r="K802" s="7" t="str">
        <f>VLOOKUP(J802,Introduction!$B$6:$C$14,2)</f>
        <v>North East and Yorkshire</v>
      </c>
      <c r="L802" s="11">
        <v>857</v>
      </c>
      <c r="M802" s="12" t="s">
        <v>530</v>
      </c>
    </row>
    <row r="803" spans="1:13" ht="19.95" customHeight="1" x14ac:dyDescent="0.25">
      <c r="A803" s="41">
        <v>45413</v>
      </c>
      <c r="B803" s="47">
        <f>MONTH(Table13[[#This Row],[YearMonth]])</f>
        <v>5</v>
      </c>
      <c r="C803" s="9" t="s">
        <v>312</v>
      </c>
      <c r="D803" s="6" t="s">
        <v>350</v>
      </c>
      <c r="E803" s="6">
        <f>IF(Table13[[#This Row],[Quartile]]="TopQuartile", 1,
 IF(Table13[[#This Row],[Quartile]]="SecondQuartile", 2,
 IF(Table13[[#This Row],[Quartile]]="ThirdQuartile", 3,
 IF(Table13[[#This Row],[Quartile]]="FourthQuartile", 4, ""))))</f>
        <v>4</v>
      </c>
      <c r="F803" s="9" t="s">
        <v>571</v>
      </c>
      <c r="G803" s="9" t="str" cm="1">
        <f t="array" ref="G803">IFERROR(
  INDEX(Table13[Quartile],
    MATCH(1,
      (Table13[[#This Row],[OrgName]]=Table13[OrgName]) *
      (Table13[[#This Row],[Month Number]]-1=Table13[Month Number]),
    0)
  ),
"")</f>
        <v>FourthQuartile</v>
      </c>
      <c r="H803" s="9">
        <f>IF(Table13[[#This Row],[Previous Quartile]]="TopQuartile", 1,
 IF(Table13[[#This Row],[Previous Quartile]]="SecondQuartile", 2,
 IF(Table13[[#This Row],[Previous Quartile]]="ThirdQuartile", 3,
 IF(Table13[[#This Row],[Previous Quartile]]="FourthQuartile", 4, ""))))</f>
        <v>4</v>
      </c>
      <c r="I803" s="9" t="str">
        <f>IF(Table13[[#This Row],[Previous Quartile Value]]="", "",
   IF(Table13[[#This Row],[Quartile Value]] &lt; Table13[[#This Row],[Previous Quartile Value]], "Improved",
   IF(Table13[[#This Row],[Quartile Value]] &gt; Table13[[#This Row],[Previous Quartile Value]], "Dropped", "Same")))</f>
        <v>Same</v>
      </c>
      <c r="J803" s="10" t="s">
        <v>20</v>
      </c>
      <c r="K803" s="7" t="str">
        <f>VLOOKUP(J803,Introduction!$B$6:$C$14,2)</f>
        <v>East of England</v>
      </c>
      <c r="L803" s="11">
        <v>644</v>
      </c>
      <c r="M803" s="12" t="s">
        <v>530</v>
      </c>
    </row>
    <row r="804" spans="1:13" ht="19.95" customHeight="1" x14ac:dyDescent="0.25">
      <c r="A804" s="41">
        <v>45413</v>
      </c>
      <c r="B804" s="47">
        <f>MONTH(Table13[[#This Row],[YearMonth]])</f>
        <v>5</v>
      </c>
      <c r="C804" s="9" t="s">
        <v>34</v>
      </c>
      <c r="D804" s="6" t="s">
        <v>330</v>
      </c>
      <c r="E804" s="6">
        <f>IF(Table13[[#This Row],[Quartile]]="TopQuartile", 1,
 IF(Table13[[#This Row],[Quartile]]="SecondQuartile", 2,
 IF(Table13[[#This Row],[Quartile]]="ThirdQuartile", 3,
 IF(Table13[[#This Row],[Quartile]]="FourthQuartile", 4, ""))))</f>
        <v>1</v>
      </c>
      <c r="F804" s="9" t="s">
        <v>572</v>
      </c>
      <c r="G804" s="9" t="str" cm="1">
        <f t="array" ref="G804">IFERROR(
  INDEX(Table13[Quartile],
    MATCH(1,
      (Table13[[#This Row],[OrgName]]=Table13[OrgName]) *
      (Table13[[#This Row],[Month Number]]-1=Table13[Month Number]),
    0)
  ),
"")</f>
        <v>TopQuartile</v>
      </c>
      <c r="H804" s="9">
        <f>IF(Table13[[#This Row],[Previous Quartile]]="TopQuartile", 1,
 IF(Table13[[#This Row],[Previous Quartile]]="SecondQuartile", 2,
 IF(Table13[[#This Row],[Previous Quartile]]="ThirdQuartile", 3,
 IF(Table13[[#This Row],[Previous Quartile]]="FourthQuartile", 4, ""))))</f>
        <v>1</v>
      </c>
      <c r="I804" s="9" t="str">
        <f>IF(Table13[[#This Row],[Previous Quartile Value]]="", "",
   IF(Table13[[#This Row],[Quartile Value]] &lt; Table13[[#This Row],[Previous Quartile Value]], "Improved",
   IF(Table13[[#This Row],[Quartile Value]] &gt; Table13[[#This Row],[Previous Quartile Value]], "Dropped", "Same")))</f>
        <v>Same</v>
      </c>
      <c r="J804" s="10" t="s">
        <v>14</v>
      </c>
      <c r="K804" s="7" t="str">
        <f>VLOOKUP(J804,Introduction!$B$6:$C$14,2)</f>
        <v>South West</v>
      </c>
      <c r="L804" s="11">
        <v>201</v>
      </c>
      <c r="M804" s="12" t="s">
        <v>573</v>
      </c>
    </row>
    <row r="805" spans="1:13" ht="19.95" customHeight="1" x14ac:dyDescent="0.25">
      <c r="A805" s="41">
        <v>45413</v>
      </c>
      <c r="B805" s="47">
        <f>MONTH(Table13[[#This Row],[YearMonth]])</f>
        <v>5</v>
      </c>
      <c r="C805" s="9" t="s">
        <v>36</v>
      </c>
      <c r="D805" s="6" t="s">
        <v>330</v>
      </c>
      <c r="E805" s="6">
        <f>IF(Table13[[#This Row],[Quartile]]="TopQuartile", 1,
 IF(Table13[[#This Row],[Quartile]]="SecondQuartile", 2,
 IF(Table13[[#This Row],[Quartile]]="ThirdQuartile", 3,
 IF(Table13[[#This Row],[Quartile]]="FourthQuartile", 4, ""))))</f>
        <v>1</v>
      </c>
      <c r="F805" s="9" t="s">
        <v>574</v>
      </c>
      <c r="G805" s="9" t="str" cm="1">
        <f t="array" ref="G805">IFERROR(
  INDEX(Table13[Quartile],
    MATCH(1,
      (Table13[[#This Row],[OrgName]]=Table13[OrgName]) *
      (Table13[[#This Row],[Month Number]]-1=Table13[Month Number]),
    0)
  ),
"")</f>
        <v>TopQuartile</v>
      </c>
      <c r="H805" s="9">
        <f>IF(Table13[[#This Row],[Previous Quartile]]="TopQuartile", 1,
 IF(Table13[[#This Row],[Previous Quartile]]="SecondQuartile", 2,
 IF(Table13[[#This Row],[Previous Quartile]]="ThirdQuartile", 3,
 IF(Table13[[#This Row],[Previous Quartile]]="FourthQuartile", 4, ""))))</f>
        <v>1</v>
      </c>
      <c r="I805" s="9" t="str">
        <f>IF(Table13[[#This Row],[Previous Quartile Value]]="", "",
   IF(Table13[[#This Row],[Quartile Value]] &lt; Table13[[#This Row],[Previous Quartile Value]], "Improved",
   IF(Table13[[#This Row],[Quartile Value]] &gt; Table13[[#This Row],[Previous Quartile Value]], "Dropped", "Same")))</f>
        <v>Same</v>
      </c>
      <c r="J805" s="10" t="s">
        <v>18</v>
      </c>
      <c r="K805" s="7" t="str">
        <f>VLOOKUP(J805,Introduction!$B$6:$C$14,2)</f>
        <v>Midlands</v>
      </c>
      <c r="L805" s="11">
        <v>274</v>
      </c>
      <c r="M805" s="12" t="s">
        <v>573</v>
      </c>
    </row>
    <row r="806" spans="1:13" ht="19.95" customHeight="1" x14ac:dyDescent="0.25">
      <c r="A806" s="41">
        <v>45413</v>
      </c>
      <c r="B806" s="47">
        <f>MONTH(Table13[[#This Row],[YearMonth]])</f>
        <v>5</v>
      </c>
      <c r="C806" s="9" t="s">
        <v>77</v>
      </c>
      <c r="D806" s="6" t="s">
        <v>330</v>
      </c>
      <c r="E806" s="6">
        <f>IF(Table13[[#This Row],[Quartile]]="TopQuartile", 1,
 IF(Table13[[#This Row],[Quartile]]="SecondQuartile", 2,
 IF(Table13[[#This Row],[Quartile]]="ThirdQuartile", 3,
 IF(Table13[[#This Row],[Quartile]]="FourthQuartile", 4, ""))))</f>
        <v>1</v>
      </c>
      <c r="F806" s="9" t="s">
        <v>584</v>
      </c>
      <c r="G806" s="9" t="str" cm="1">
        <f t="array" ref="G806">IFERROR(
  INDEX(Table13[Quartile],
    MATCH(1,
      (Table13[[#This Row],[OrgName]]=Table13[OrgName]) *
      (Table13[[#This Row],[Month Number]]-1=Table13[Month Number]),
    0)
  ),
"")</f>
        <v>SecondQuartile</v>
      </c>
      <c r="H806" s="9">
        <f>IF(Table13[[#This Row],[Previous Quartile]]="TopQuartile", 1,
 IF(Table13[[#This Row],[Previous Quartile]]="SecondQuartile", 2,
 IF(Table13[[#This Row],[Previous Quartile]]="ThirdQuartile", 3,
 IF(Table13[[#This Row],[Previous Quartile]]="FourthQuartile", 4, ""))))</f>
        <v>2</v>
      </c>
      <c r="I806" s="9" t="str">
        <f>IF(Table13[[#This Row],[Previous Quartile Value]]="", "",
   IF(Table13[[#This Row],[Quartile Value]] &lt; Table13[[#This Row],[Previous Quartile Value]], "Improved",
   IF(Table13[[#This Row],[Quartile Value]] &gt; Table13[[#This Row],[Previous Quartile Value]], "Dropped", "Same")))</f>
        <v>Improved</v>
      </c>
      <c r="J806" s="10" t="s">
        <v>14</v>
      </c>
      <c r="K806" s="7" t="str">
        <f>VLOOKUP(J806,Introduction!$B$6:$C$14,2)</f>
        <v>South West</v>
      </c>
      <c r="L806" s="11">
        <v>327</v>
      </c>
      <c r="M806" s="12" t="s">
        <v>573</v>
      </c>
    </row>
    <row r="807" spans="1:13" ht="19.95" customHeight="1" x14ac:dyDescent="0.25">
      <c r="A807" s="41">
        <v>45413</v>
      </c>
      <c r="B807" s="47">
        <f>MONTH(Table13[[#This Row],[YearMonth]])</f>
        <v>5</v>
      </c>
      <c r="C807" s="9" t="s">
        <v>38</v>
      </c>
      <c r="D807" s="6" t="s">
        <v>330</v>
      </c>
      <c r="E807" s="6">
        <f>IF(Table13[[#This Row],[Quartile]]="TopQuartile", 1,
 IF(Table13[[#This Row],[Quartile]]="SecondQuartile", 2,
 IF(Table13[[#This Row],[Quartile]]="ThirdQuartile", 3,
 IF(Table13[[#This Row],[Quartile]]="FourthQuartile", 4, ""))))</f>
        <v>1</v>
      </c>
      <c r="F807" s="9" t="s">
        <v>575</v>
      </c>
      <c r="G807" s="9" t="str" cm="1">
        <f t="array" ref="G807">IFERROR(
  INDEX(Table13[Quartile],
    MATCH(1,
      (Table13[[#This Row],[OrgName]]=Table13[OrgName]) *
      (Table13[[#This Row],[Month Number]]-1=Table13[Month Number]),
    0)
  ),
"")</f>
        <v>TopQuartile</v>
      </c>
      <c r="H807" s="9">
        <f>IF(Table13[[#This Row],[Previous Quartile]]="TopQuartile", 1,
 IF(Table13[[#This Row],[Previous Quartile]]="SecondQuartile", 2,
 IF(Table13[[#This Row],[Previous Quartile]]="ThirdQuartile", 3,
 IF(Table13[[#This Row],[Previous Quartile]]="FourthQuartile", 4, ""))))</f>
        <v>1</v>
      </c>
      <c r="I807" s="9" t="str">
        <f>IF(Table13[[#This Row],[Previous Quartile Value]]="", "",
   IF(Table13[[#This Row],[Quartile Value]] &lt; Table13[[#This Row],[Previous Quartile Value]], "Improved",
   IF(Table13[[#This Row],[Quartile Value]] &gt; Table13[[#This Row],[Previous Quartile Value]], "Dropped", "Same")))</f>
        <v>Same</v>
      </c>
      <c r="J807" s="10" t="s">
        <v>16</v>
      </c>
      <c r="K807" s="7" t="str">
        <f>VLOOKUP(J807,Introduction!$B$6:$C$14,2)</f>
        <v>South East</v>
      </c>
      <c r="L807" s="11">
        <v>354</v>
      </c>
      <c r="M807" s="12" t="s">
        <v>573</v>
      </c>
    </row>
    <row r="808" spans="1:13" ht="19.95" customHeight="1" x14ac:dyDescent="0.25">
      <c r="A808" s="41">
        <v>45413</v>
      </c>
      <c r="B808" s="47">
        <f>MONTH(Table13[[#This Row],[YearMonth]])</f>
        <v>5</v>
      </c>
      <c r="C808" s="9" t="s">
        <v>44</v>
      </c>
      <c r="D808" s="6" t="s">
        <v>330</v>
      </c>
      <c r="E808" s="6">
        <f>IF(Table13[[#This Row],[Quartile]]="TopQuartile", 1,
 IF(Table13[[#This Row],[Quartile]]="SecondQuartile", 2,
 IF(Table13[[#This Row],[Quartile]]="ThirdQuartile", 3,
 IF(Table13[[#This Row],[Quartile]]="FourthQuartile", 4, ""))))</f>
        <v>1</v>
      </c>
      <c r="F808" s="9" t="s">
        <v>576</v>
      </c>
      <c r="G808" s="9" t="str" cm="1">
        <f t="array" ref="G808">IFERROR(
  INDEX(Table13[Quartile],
    MATCH(1,
      (Table13[[#This Row],[OrgName]]=Table13[OrgName]) *
      (Table13[[#This Row],[Month Number]]-1=Table13[Month Number]),
    0)
  ),
"")</f>
        <v>TopQuartile</v>
      </c>
      <c r="H808" s="9">
        <f>IF(Table13[[#This Row],[Previous Quartile]]="TopQuartile", 1,
 IF(Table13[[#This Row],[Previous Quartile]]="SecondQuartile", 2,
 IF(Table13[[#This Row],[Previous Quartile]]="ThirdQuartile", 3,
 IF(Table13[[#This Row],[Previous Quartile]]="FourthQuartile", 4, ""))))</f>
        <v>1</v>
      </c>
      <c r="I808" s="9" t="str">
        <f>IF(Table13[[#This Row],[Previous Quartile Value]]="", "",
   IF(Table13[[#This Row],[Quartile Value]] &lt; Table13[[#This Row],[Previous Quartile Value]], "Improved",
   IF(Table13[[#This Row],[Quartile Value]] &gt; Table13[[#This Row],[Previous Quartile Value]], "Dropped", "Same")))</f>
        <v>Same</v>
      </c>
      <c r="J808" s="10" t="s">
        <v>24</v>
      </c>
      <c r="K808" s="7" t="str">
        <f>VLOOKUP(J808,Introduction!$B$6:$C$14,2)</f>
        <v>North East and Yorkshire</v>
      </c>
      <c r="L808" s="11">
        <v>173</v>
      </c>
      <c r="M808" s="12" t="s">
        <v>573</v>
      </c>
    </row>
    <row r="809" spans="1:13" ht="19.95" customHeight="1" x14ac:dyDescent="0.25">
      <c r="A809" s="41">
        <v>45413</v>
      </c>
      <c r="B809" s="47">
        <f>MONTH(Table13[[#This Row],[YearMonth]])</f>
        <v>5</v>
      </c>
      <c r="C809" s="9" t="s">
        <v>49</v>
      </c>
      <c r="D809" s="6" t="s">
        <v>330</v>
      </c>
      <c r="E809" s="6">
        <f>IF(Table13[[#This Row],[Quartile]]="TopQuartile", 1,
 IF(Table13[[#This Row],[Quartile]]="SecondQuartile", 2,
 IF(Table13[[#This Row],[Quartile]]="ThirdQuartile", 3,
 IF(Table13[[#This Row],[Quartile]]="FourthQuartile", 4, ""))))</f>
        <v>1</v>
      </c>
      <c r="F809" s="9" t="s">
        <v>577</v>
      </c>
      <c r="G809" s="9" t="str" cm="1">
        <f t="array" ref="G809">IFERROR(
  INDEX(Table13[Quartile],
    MATCH(1,
      (Table13[[#This Row],[OrgName]]=Table13[OrgName]) *
      (Table13[[#This Row],[Month Number]]-1=Table13[Month Number]),
    0)
  ),
"")</f>
        <v>TopQuartile</v>
      </c>
      <c r="H809" s="9">
        <f>IF(Table13[[#This Row],[Previous Quartile]]="TopQuartile", 1,
 IF(Table13[[#This Row],[Previous Quartile]]="SecondQuartile", 2,
 IF(Table13[[#This Row],[Previous Quartile]]="ThirdQuartile", 3,
 IF(Table13[[#This Row],[Previous Quartile]]="FourthQuartile", 4, ""))))</f>
        <v>1</v>
      </c>
      <c r="I809" s="9" t="str">
        <f>IF(Table13[[#This Row],[Previous Quartile Value]]="", "",
   IF(Table13[[#This Row],[Quartile Value]] &lt; Table13[[#This Row],[Previous Quartile Value]], "Improved",
   IF(Table13[[#This Row],[Quartile Value]] &gt; Table13[[#This Row],[Previous Quartile Value]], "Dropped", "Same")))</f>
        <v>Same</v>
      </c>
      <c r="J809" s="10" t="s">
        <v>24</v>
      </c>
      <c r="K809" s="7" t="str">
        <f>VLOOKUP(J809,Introduction!$B$6:$C$14,2)</f>
        <v>North East and Yorkshire</v>
      </c>
      <c r="L809" s="11">
        <v>263</v>
      </c>
      <c r="M809" s="12" t="s">
        <v>573</v>
      </c>
    </row>
    <row r="810" spans="1:13" ht="19.95" customHeight="1" x14ac:dyDescent="0.25">
      <c r="A810" s="41">
        <v>45413</v>
      </c>
      <c r="B810" s="47">
        <f>MONTH(Table13[[#This Row],[YearMonth]])</f>
        <v>5</v>
      </c>
      <c r="C810" s="9" t="s">
        <v>67</v>
      </c>
      <c r="D810" s="6" t="s">
        <v>330</v>
      </c>
      <c r="E810" s="6">
        <f>IF(Table13[[#This Row],[Quartile]]="TopQuartile", 1,
 IF(Table13[[#This Row],[Quartile]]="SecondQuartile", 2,
 IF(Table13[[#This Row],[Quartile]]="ThirdQuartile", 3,
 IF(Table13[[#This Row],[Quartile]]="FourthQuartile", 4, ""))))</f>
        <v>1</v>
      </c>
      <c r="F810" s="9" t="s">
        <v>580</v>
      </c>
      <c r="G810" s="9" t="str" cm="1">
        <f t="array" ref="G810">IFERROR(
  INDEX(Table13[Quartile],
    MATCH(1,
      (Table13[[#This Row],[OrgName]]=Table13[OrgName]) *
      (Table13[[#This Row],[Month Number]]-1=Table13[Month Number]),
    0)
  ),
"")</f>
        <v>ThirdQuartile</v>
      </c>
      <c r="H810" s="9">
        <f>IF(Table13[[#This Row],[Previous Quartile]]="TopQuartile", 1,
 IF(Table13[[#This Row],[Previous Quartile]]="SecondQuartile", 2,
 IF(Table13[[#This Row],[Previous Quartile]]="ThirdQuartile", 3,
 IF(Table13[[#This Row],[Previous Quartile]]="FourthQuartile", 4, ""))))</f>
        <v>3</v>
      </c>
      <c r="I810" s="9" t="str">
        <f>IF(Table13[[#This Row],[Previous Quartile Value]]="", "",
   IF(Table13[[#This Row],[Quartile Value]] &lt; Table13[[#This Row],[Previous Quartile Value]], "Improved",
   IF(Table13[[#This Row],[Quartile Value]] &gt; Table13[[#This Row],[Previous Quartile Value]], "Dropped", "Same")))</f>
        <v>Improved</v>
      </c>
      <c r="J810" s="10" t="s">
        <v>22</v>
      </c>
      <c r="K810" s="7" t="str">
        <f>VLOOKUP(J810,Introduction!$B$6:$C$14,2)</f>
        <v>North West</v>
      </c>
      <c r="L810" s="11">
        <v>311</v>
      </c>
      <c r="M810" s="12" t="s">
        <v>573</v>
      </c>
    </row>
    <row r="811" spans="1:13" ht="19.95" customHeight="1" x14ac:dyDescent="0.25">
      <c r="A811" s="41">
        <v>45413</v>
      </c>
      <c r="B811" s="47">
        <f>MONTH(Table13[[#This Row],[YearMonth]])</f>
        <v>5</v>
      </c>
      <c r="C811" s="9" t="s">
        <v>58</v>
      </c>
      <c r="D811" s="6" t="s">
        <v>330</v>
      </c>
      <c r="E811" s="6">
        <f>IF(Table13[[#This Row],[Quartile]]="TopQuartile", 1,
 IF(Table13[[#This Row],[Quartile]]="SecondQuartile", 2,
 IF(Table13[[#This Row],[Quartile]]="ThirdQuartile", 3,
 IF(Table13[[#This Row],[Quartile]]="FourthQuartile", 4, ""))))</f>
        <v>1</v>
      </c>
      <c r="F811" s="9" t="s">
        <v>578</v>
      </c>
      <c r="G811" s="9" t="str" cm="1">
        <f t="array" ref="G811">IFERROR(
  INDEX(Table13[Quartile],
    MATCH(1,
      (Table13[[#This Row],[OrgName]]=Table13[OrgName]) *
      (Table13[[#This Row],[Month Number]]-1=Table13[Month Number]),
    0)
  ),
"")</f>
        <v>TopQuartile</v>
      </c>
      <c r="H811" s="9">
        <f>IF(Table13[[#This Row],[Previous Quartile]]="TopQuartile", 1,
 IF(Table13[[#This Row],[Previous Quartile]]="SecondQuartile", 2,
 IF(Table13[[#This Row],[Previous Quartile]]="ThirdQuartile", 3,
 IF(Table13[[#This Row],[Previous Quartile]]="FourthQuartile", 4, ""))))</f>
        <v>1</v>
      </c>
      <c r="I811" s="9" t="str">
        <f>IF(Table13[[#This Row],[Previous Quartile Value]]="", "",
   IF(Table13[[#This Row],[Quartile Value]] &lt; Table13[[#This Row],[Previous Quartile Value]], "Improved",
   IF(Table13[[#This Row],[Quartile Value]] &gt; Table13[[#This Row],[Previous Quartile Value]], "Dropped", "Same")))</f>
        <v>Same</v>
      </c>
      <c r="J811" s="10" t="s">
        <v>24</v>
      </c>
      <c r="K811" s="7" t="str">
        <f>VLOOKUP(J811,Introduction!$B$6:$C$14,2)</f>
        <v>North East and Yorkshire</v>
      </c>
      <c r="L811" s="11">
        <v>376</v>
      </c>
      <c r="M811" s="12" t="s">
        <v>573</v>
      </c>
    </row>
    <row r="812" spans="1:13" ht="19.95" customHeight="1" x14ac:dyDescent="0.25">
      <c r="A812" s="41">
        <v>45413</v>
      </c>
      <c r="B812" s="47">
        <f>MONTH(Table13[[#This Row],[YearMonth]])</f>
        <v>5</v>
      </c>
      <c r="C812" s="9" t="s">
        <v>70</v>
      </c>
      <c r="D812" s="6" t="s">
        <v>330</v>
      </c>
      <c r="E812" s="6">
        <f>IF(Table13[[#This Row],[Quartile]]="TopQuartile", 1,
 IF(Table13[[#This Row],[Quartile]]="SecondQuartile", 2,
 IF(Table13[[#This Row],[Quartile]]="ThirdQuartile", 3,
 IF(Table13[[#This Row],[Quartile]]="FourthQuartile", 4, ""))))</f>
        <v>1</v>
      </c>
      <c r="F812" s="9" t="s">
        <v>581</v>
      </c>
      <c r="G812" s="9" t="str" cm="1">
        <f t="array" ref="G812">IFERROR(
  INDEX(Table13[Quartile],
    MATCH(1,
      (Table13[[#This Row],[OrgName]]=Table13[OrgName]) *
      (Table13[[#This Row],[Month Number]]-1=Table13[Month Number]),
    0)
  ),
"")</f>
        <v>TopQuartile</v>
      </c>
      <c r="H812" s="9">
        <f>IF(Table13[[#This Row],[Previous Quartile]]="TopQuartile", 1,
 IF(Table13[[#This Row],[Previous Quartile]]="SecondQuartile", 2,
 IF(Table13[[#This Row],[Previous Quartile]]="ThirdQuartile", 3,
 IF(Table13[[#This Row],[Previous Quartile]]="FourthQuartile", 4, ""))))</f>
        <v>1</v>
      </c>
      <c r="I812" s="9" t="str">
        <f>IF(Table13[[#This Row],[Previous Quartile Value]]="", "",
   IF(Table13[[#This Row],[Quartile Value]] &lt; Table13[[#This Row],[Previous Quartile Value]], "Improved",
   IF(Table13[[#This Row],[Quartile Value]] &gt; Table13[[#This Row],[Previous Quartile Value]], "Dropped", "Same")))</f>
        <v>Same</v>
      </c>
      <c r="J812" s="10" t="s">
        <v>14</v>
      </c>
      <c r="K812" s="7" t="str">
        <f>VLOOKUP(J812,Introduction!$B$6:$C$14,2)</f>
        <v>South West</v>
      </c>
      <c r="L812" s="11">
        <v>369</v>
      </c>
      <c r="M812" s="12" t="s">
        <v>573</v>
      </c>
    </row>
    <row r="813" spans="1:13" ht="19.95" customHeight="1" x14ac:dyDescent="0.25">
      <c r="A813" s="41">
        <v>45413</v>
      </c>
      <c r="B813" s="47">
        <f>MONTH(Table13[[#This Row],[YearMonth]])</f>
        <v>5</v>
      </c>
      <c r="C813" s="9" t="s">
        <v>62</v>
      </c>
      <c r="D813" s="6" t="s">
        <v>330</v>
      </c>
      <c r="E813" s="6">
        <f>IF(Table13[[#This Row],[Quartile]]="TopQuartile", 1,
 IF(Table13[[#This Row],[Quartile]]="SecondQuartile", 2,
 IF(Table13[[#This Row],[Quartile]]="ThirdQuartile", 3,
 IF(Table13[[#This Row],[Quartile]]="FourthQuartile", 4, ""))))</f>
        <v>1</v>
      </c>
      <c r="F813" s="9" t="s">
        <v>579</v>
      </c>
      <c r="G813" s="9" t="str" cm="1">
        <f t="array" ref="G813">IFERROR(
  INDEX(Table13[Quartile],
    MATCH(1,
      (Table13[[#This Row],[OrgName]]=Table13[OrgName]) *
      (Table13[[#This Row],[Month Number]]-1=Table13[Month Number]),
    0)
  ),
"")</f>
        <v>TopQuartile</v>
      </c>
      <c r="H813" s="9">
        <f>IF(Table13[[#This Row],[Previous Quartile]]="TopQuartile", 1,
 IF(Table13[[#This Row],[Previous Quartile]]="SecondQuartile", 2,
 IF(Table13[[#This Row],[Previous Quartile]]="ThirdQuartile", 3,
 IF(Table13[[#This Row],[Previous Quartile]]="FourthQuartile", 4, ""))))</f>
        <v>1</v>
      </c>
      <c r="I813" s="9" t="str">
        <f>IF(Table13[[#This Row],[Previous Quartile Value]]="", "",
   IF(Table13[[#This Row],[Quartile Value]] &lt; Table13[[#This Row],[Previous Quartile Value]], "Improved",
   IF(Table13[[#This Row],[Quartile Value]] &gt; Table13[[#This Row],[Previous Quartile Value]], "Dropped", "Same")))</f>
        <v>Same</v>
      </c>
      <c r="J813" s="10" t="s">
        <v>22</v>
      </c>
      <c r="K813" s="7" t="str">
        <f>VLOOKUP(J813,Introduction!$B$6:$C$14,2)</f>
        <v>North West</v>
      </c>
      <c r="L813" s="11">
        <v>373</v>
      </c>
      <c r="M813" s="12" t="s">
        <v>573</v>
      </c>
    </row>
    <row r="814" spans="1:13" ht="19.95" customHeight="1" x14ac:dyDescent="0.25">
      <c r="A814" s="41">
        <v>45413</v>
      </c>
      <c r="B814" s="47">
        <f>MONTH(Table13[[#This Row],[YearMonth]])</f>
        <v>5</v>
      </c>
      <c r="C814" s="9" t="s">
        <v>109</v>
      </c>
      <c r="D814" s="6" t="s">
        <v>330</v>
      </c>
      <c r="E814" s="6">
        <f>IF(Table13[[#This Row],[Quartile]]="TopQuartile", 1,
 IF(Table13[[#This Row],[Quartile]]="SecondQuartile", 2,
 IF(Table13[[#This Row],[Quartile]]="ThirdQuartile", 3,
 IF(Table13[[#This Row],[Quartile]]="FourthQuartile", 4, ""))))</f>
        <v>1</v>
      </c>
      <c r="F814" s="9" t="s">
        <v>589</v>
      </c>
      <c r="G814" s="9" t="str" cm="1">
        <f t="array" ref="G814">IFERROR(
  INDEX(Table13[Quartile],
    MATCH(1,
      (Table13[[#This Row],[OrgName]]=Table13[OrgName]) *
      (Table13[[#This Row],[Month Number]]-1=Table13[Month Number]),
    0)
  ),
"")</f>
        <v>TopQuartile</v>
      </c>
      <c r="H814" s="9">
        <f>IF(Table13[[#This Row],[Previous Quartile]]="TopQuartile", 1,
 IF(Table13[[#This Row],[Previous Quartile]]="SecondQuartile", 2,
 IF(Table13[[#This Row],[Previous Quartile]]="ThirdQuartile", 3,
 IF(Table13[[#This Row],[Previous Quartile]]="FourthQuartile", 4, ""))))</f>
        <v>1</v>
      </c>
      <c r="I814" s="9" t="str">
        <f>IF(Table13[[#This Row],[Previous Quartile Value]]="", "",
   IF(Table13[[#This Row],[Quartile Value]] &lt; Table13[[#This Row],[Previous Quartile Value]], "Improved",
   IF(Table13[[#This Row],[Quartile Value]] &gt; Table13[[#This Row],[Previous Quartile Value]], "Dropped", "Same")))</f>
        <v>Same</v>
      </c>
      <c r="J814" s="10" t="s">
        <v>12</v>
      </c>
      <c r="K814" s="7" t="str">
        <f>VLOOKUP(J814,Introduction!$B$6:$C$14,2)</f>
        <v>London</v>
      </c>
      <c r="L814" s="11">
        <v>333</v>
      </c>
      <c r="M814" s="12" t="s">
        <v>573</v>
      </c>
    </row>
    <row r="815" spans="1:13" ht="19.95" customHeight="1" x14ac:dyDescent="0.25">
      <c r="A815" s="41">
        <v>45413</v>
      </c>
      <c r="B815" s="47">
        <f>MONTH(Table13[[#This Row],[YearMonth]])</f>
        <v>5</v>
      </c>
      <c r="C815" s="9" t="s">
        <v>74</v>
      </c>
      <c r="D815" s="6" t="s">
        <v>330</v>
      </c>
      <c r="E815" s="6">
        <f>IF(Table13[[#This Row],[Quartile]]="TopQuartile", 1,
 IF(Table13[[#This Row],[Quartile]]="SecondQuartile", 2,
 IF(Table13[[#This Row],[Quartile]]="ThirdQuartile", 3,
 IF(Table13[[#This Row],[Quartile]]="FourthQuartile", 4, ""))))</f>
        <v>1</v>
      </c>
      <c r="F815" s="9" t="s">
        <v>583</v>
      </c>
      <c r="G815" s="9" t="str" cm="1">
        <f t="array" ref="G815">IFERROR(
  INDEX(Table13[Quartile],
    MATCH(1,
      (Table13[[#This Row],[OrgName]]=Table13[OrgName]) *
      (Table13[[#This Row],[Month Number]]-1=Table13[Month Number]),
    0)
  ),
"")</f>
        <v>TopQuartile</v>
      </c>
      <c r="H815" s="9">
        <f>IF(Table13[[#This Row],[Previous Quartile]]="TopQuartile", 1,
 IF(Table13[[#This Row],[Previous Quartile]]="SecondQuartile", 2,
 IF(Table13[[#This Row],[Previous Quartile]]="ThirdQuartile", 3,
 IF(Table13[[#This Row],[Previous Quartile]]="FourthQuartile", 4, ""))))</f>
        <v>1</v>
      </c>
      <c r="I815" s="9" t="str">
        <f>IF(Table13[[#This Row],[Previous Quartile Value]]="", "",
   IF(Table13[[#This Row],[Quartile Value]] &lt; Table13[[#This Row],[Previous Quartile Value]], "Improved",
   IF(Table13[[#This Row],[Quartile Value]] &gt; Table13[[#This Row],[Previous Quartile Value]], "Dropped", "Same")))</f>
        <v>Same</v>
      </c>
      <c r="J815" s="10" t="s">
        <v>24</v>
      </c>
      <c r="K815" s="7" t="str">
        <f>VLOOKUP(J815,Introduction!$B$6:$C$14,2)</f>
        <v>North East and Yorkshire</v>
      </c>
      <c r="L815" s="11">
        <v>378</v>
      </c>
      <c r="M815" s="12" t="s">
        <v>573</v>
      </c>
    </row>
    <row r="816" spans="1:13" ht="19.95" customHeight="1" x14ac:dyDescent="0.25">
      <c r="A816" s="41">
        <v>45413</v>
      </c>
      <c r="B816" s="47">
        <f>MONTH(Table13[[#This Row],[YearMonth]])</f>
        <v>5</v>
      </c>
      <c r="C816" s="9" t="s">
        <v>71</v>
      </c>
      <c r="D816" s="6" t="s">
        <v>330</v>
      </c>
      <c r="E816" s="6">
        <f>IF(Table13[[#This Row],[Quartile]]="TopQuartile", 1,
 IF(Table13[[#This Row],[Quartile]]="SecondQuartile", 2,
 IF(Table13[[#This Row],[Quartile]]="ThirdQuartile", 3,
 IF(Table13[[#This Row],[Quartile]]="FourthQuartile", 4, ""))))</f>
        <v>1</v>
      </c>
      <c r="F816" s="9" t="s">
        <v>582</v>
      </c>
      <c r="G816" s="9" t="str" cm="1">
        <f t="array" ref="G816">IFERROR(
  INDEX(Table13[Quartile],
    MATCH(1,
      (Table13[[#This Row],[OrgName]]=Table13[OrgName]) *
      (Table13[[#This Row],[Month Number]]-1=Table13[Month Number]),
    0)
  ),
"")</f>
        <v>TopQuartile</v>
      </c>
      <c r="H816" s="9">
        <f>IF(Table13[[#This Row],[Previous Quartile]]="TopQuartile", 1,
 IF(Table13[[#This Row],[Previous Quartile]]="SecondQuartile", 2,
 IF(Table13[[#This Row],[Previous Quartile]]="ThirdQuartile", 3,
 IF(Table13[[#This Row],[Previous Quartile]]="FourthQuartile", 4, ""))))</f>
        <v>1</v>
      </c>
      <c r="I816" s="9" t="str">
        <f>IF(Table13[[#This Row],[Previous Quartile Value]]="", "",
   IF(Table13[[#This Row],[Quartile Value]] &lt; Table13[[#This Row],[Previous Quartile Value]], "Improved",
   IF(Table13[[#This Row],[Quartile Value]] &gt; Table13[[#This Row],[Previous Quartile Value]], "Dropped", "Same")))</f>
        <v>Same</v>
      </c>
      <c r="J816" s="10" t="s">
        <v>14</v>
      </c>
      <c r="K816" s="7" t="str">
        <f>VLOOKUP(J816,Introduction!$B$6:$C$14,2)</f>
        <v>South West</v>
      </c>
      <c r="L816" s="11">
        <v>342</v>
      </c>
      <c r="M816" s="12" t="s">
        <v>573</v>
      </c>
    </row>
    <row r="817" spans="1:13" ht="19.95" customHeight="1" x14ac:dyDescent="0.25">
      <c r="A817" s="41">
        <v>45413</v>
      </c>
      <c r="B817" s="47">
        <f>MONTH(Table13[[#This Row],[YearMonth]])</f>
        <v>5</v>
      </c>
      <c r="C817" s="9" t="s">
        <v>92</v>
      </c>
      <c r="D817" s="6" t="s">
        <v>330</v>
      </c>
      <c r="E817" s="6">
        <f>IF(Table13[[#This Row],[Quartile]]="TopQuartile", 1,
 IF(Table13[[#This Row],[Quartile]]="SecondQuartile", 2,
 IF(Table13[[#This Row],[Quartile]]="ThirdQuartile", 3,
 IF(Table13[[#This Row],[Quartile]]="FourthQuartile", 4, ""))))</f>
        <v>1</v>
      </c>
      <c r="F817" s="9" t="s">
        <v>586</v>
      </c>
      <c r="G817" s="9" t="str" cm="1">
        <f t="array" ref="G817">IFERROR(
  INDEX(Table13[Quartile],
    MATCH(1,
      (Table13[[#This Row],[OrgName]]=Table13[OrgName]) *
      (Table13[[#This Row],[Month Number]]-1=Table13[Month Number]),
    0)
  ),
"")</f>
        <v>TopQuartile</v>
      </c>
      <c r="H817" s="9">
        <f>IF(Table13[[#This Row],[Previous Quartile]]="TopQuartile", 1,
 IF(Table13[[#This Row],[Previous Quartile]]="SecondQuartile", 2,
 IF(Table13[[#This Row],[Previous Quartile]]="ThirdQuartile", 3,
 IF(Table13[[#This Row],[Previous Quartile]]="FourthQuartile", 4, ""))))</f>
        <v>1</v>
      </c>
      <c r="I817" s="9" t="str">
        <f>IF(Table13[[#This Row],[Previous Quartile Value]]="", "",
   IF(Table13[[#This Row],[Quartile Value]] &lt; Table13[[#This Row],[Previous Quartile Value]], "Improved",
   IF(Table13[[#This Row],[Quartile Value]] &gt; Table13[[#This Row],[Previous Quartile Value]], "Dropped", "Same")))</f>
        <v>Same</v>
      </c>
      <c r="J817" s="10" t="s">
        <v>24</v>
      </c>
      <c r="K817" s="7" t="str">
        <f>VLOOKUP(J817,Introduction!$B$6:$C$14,2)</f>
        <v>North East and Yorkshire</v>
      </c>
      <c r="L817" s="11">
        <v>338</v>
      </c>
      <c r="M817" s="12" t="s">
        <v>573</v>
      </c>
    </row>
    <row r="818" spans="1:13" ht="19.95" customHeight="1" x14ac:dyDescent="0.25">
      <c r="A818" s="41">
        <v>45413</v>
      </c>
      <c r="B818" s="47">
        <f>MONTH(Table13[[#This Row],[YearMonth]])</f>
        <v>5</v>
      </c>
      <c r="C818" s="9" t="s">
        <v>101</v>
      </c>
      <c r="D818" s="6" t="s">
        <v>330</v>
      </c>
      <c r="E818" s="6">
        <f>IF(Table13[[#This Row],[Quartile]]="TopQuartile", 1,
 IF(Table13[[#This Row],[Quartile]]="SecondQuartile", 2,
 IF(Table13[[#This Row],[Quartile]]="ThirdQuartile", 3,
 IF(Table13[[#This Row],[Quartile]]="FourthQuartile", 4, ""))))</f>
        <v>1</v>
      </c>
      <c r="F818" s="9" t="s">
        <v>587</v>
      </c>
      <c r="G818" s="9" t="str" cm="1">
        <f t="array" ref="G818">IFERROR(
  INDEX(Table13[Quartile],
    MATCH(1,
      (Table13[[#This Row],[OrgName]]=Table13[OrgName]) *
      (Table13[[#This Row],[Month Number]]-1=Table13[Month Number]),
    0)
  ),
"")</f>
        <v>TopQuartile</v>
      </c>
      <c r="H818" s="9">
        <f>IF(Table13[[#This Row],[Previous Quartile]]="TopQuartile", 1,
 IF(Table13[[#This Row],[Previous Quartile]]="SecondQuartile", 2,
 IF(Table13[[#This Row],[Previous Quartile]]="ThirdQuartile", 3,
 IF(Table13[[#This Row],[Previous Quartile]]="FourthQuartile", 4, ""))))</f>
        <v>1</v>
      </c>
      <c r="I818" s="9" t="str">
        <f>IF(Table13[[#This Row],[Previous Quartile Value]]="", "",
   IF(Table13[[#This Row],[Quartile Value]] &lt; Table13[[#This Row],[Previous Quartile Value]], "Improved",
   IF(Table13[[#This Row],[Quartile Value]] &gt; Table13[[#This Row],[Previous Quartile Value]], "Dropped", "Same")))</f>
        <v>Same</v>
      </c>
      <c r="J818" s="10" t="s">
        <v>22</v>
      </c>
      <c r="K818" s="7" t="str">
        <f>VLOOKUP(J818,Introduction!$B$6:$C$14,2)</f>
        <v>North West</v>
      </c>
      <c r="L818" s="11">
        <v>350</v>
      </c>
      <c r="M818" s="12" t="s">
        <v>573</v>
      </c>
    </row>
    <row r="819" spans="1:13" ht="19.95" customHeight="1" x14ac:dyDescent="0.25">
      <c r="A819" s="41">
        <v>45413</v>
      </c>
      <c r="B819" s="47">
        <f>MONTH(Table13[[#This Row],[YearMonth]])</f>
        <v>5</v>
      </c>
      <c r="C819" s="9" t="s">
        <v>107</v>
      </c>
      <c r="D819" s="6" t="s">
        <v>330</v>
      </c>
      <c r="E819" s="6">
        <f>IF(Table13[[#This Row],[Quartile]]="TopQuartile", 1,
 IF(Table13[[#This Row],[Quartile]]="SecondQuartile", 2,
 IF(Table13[[#This Row],[Quartile]]="ThirdQuartile", 3,
 IF(Table13[[#This Row],[Quartile]]="FourthQuartile", 4, ""))))</f>
        <v>1</v>
      </c>
      <c r="F819" s="9" t="s">
        <v>588</v>
      </c>
      <c r="G819" s="9" t="str" cm="1">
        <f t="array" ref="G819">IFERROR(
  INDEX(Table13[Quartile],
    MATCH(1,
      (Table13[[#This Row],[OrgName]]=Table13[OrgName]) *
      (Table13[[#This Row],[Month Number]]-1=Table13[Month Number]),
    0)
  ),
"")</f>
        <v>TopQuartile</v>
      </c>
      <c r="H819" s="9">
        <f>IF(Table13[[#This Row],[Previous Quartile]]="TopQuartile", 1,
 IF(Table13[[#This Row],[Previous Quartile]]="SecondQuartile", 2,
 IF(Table13[[#This Row],[Previous Quartile]]="ThirdQuartile", 3,
 IF(Table13[[#This Row],[Previous Quartile]]="FourthQuartile", 4, ""))))</f>
        <v>1</v>
      </c>
      <c r="I819" s="9" t="str">
        <f>IF(Table13[[#This Row],[Previous Quartile Value]]="", "",
   IF(Table13[[#This Row],[Quartile Value]] &lt; Table13[[#This Row],[Previous Quartile Value]], "Improved",
   IF(Table13[[#This Row],[Quartile Value]] &gt; Table13[[#This Row],[Previous Quartile Value]], "Dropped", "Same")))</f>
        <v>Same</v>
      </c>
      <c r="J819" s="10" t="s">
        <v>12</v>
      </c>
      <c r="K819" s="7" t="str">
        <f>VLOOKUP(J819,Introduction!$B$6:$C$14,2)</f>
        <v>London</v>
      </c>
      <c r="L819" s="11">
        <v>294</v>
      </c>
      <c r="M819" s="12" t="s">
        <v>573</v>
      </c>
    </row>
    <row r="820" spans="1:13" ht="19.95" customHeight="1" x14ac:dyDescent="0.25">
      <c r="A820" s="41">
        <v>45413</v>
      </c>
      <c r="B820" s="47">
        <f>MONTH(Table13[[#This Row],[YearMonth]])</f>
        <v>5</v>
      </c>
      <c r="C820" s="9" t="s">
        <v>116</v>
      </c>
      <c r="D820" s="6" t="s">
        <v>338</v>
      </c>
      <c r="E820" s="6">
        <f>IF(Table13[[#This Row],[Quartile]]="TopQuartile", 1,
 IF(Table13[[#This Row],[Quartile]]="SecondQuartile", 2,
 IF(Table13[[#This Row],[Quartile]]="ThirdQuartile", 3,
 IF(Table13[[#This Row],[Quartile]]="FourthQuartile", 4, ""))))</f>
        <v>2</v>
      </c>
      <c r="F820" s="9" t="s">
        <v>591</v>
      </c>
      <c r="G820" s="9" t="str" cm="1">
        <f t="array" ref="G820">IFERROR(
  INDEX(Table13[Quartile],
    MATCH(1,
      (Table13[[#This Row],[OrgName]]=Table13[OrgName]) *
      (Table13[[#This Row],[Month Number]]-1=Table13[Month Number]),
    0)
  ),
"")</f>
        <v>SecondQuartile</v>
      </c>
      <c r="H820" s="9">
        <f>IF(Table13[[#This Row],[Previous Quartile]]="TopQuartile", 1,
 IF(Table13[[#This Row],[Previous Quartile]]="SecondQuartile", 2,
 IF(Table13[[#This Row],[Previous Quartile]]="ThirdQuartile", 3,
 IF(Table13[[#This Row],[Previous Quartile]]="FourthQuartile", 4, ""))))</f>
        <v>2</v>
      </c>
      <c r="I820" s="9" t="str">
        <f>IF(Table13[[#This Row],[Previous Quartile Value]]="", "",
   IF(Table13[[#This Row],[Quartile Value]] &lt; Table13[[#This Row],[Previous Quartile Value]], "Improved",
   IF(Table13[[#This Row],[Quartile Value]] &gt; Table13[[#This Row],[Previous Quartile Value]], "Dropped", "Same")))</f>
        <v>Same</v>
      </c>
      <c r="J820" s="10" t="s">
        <v>14</v>
      </c>
      <c r="K820" s="7" t="str">
        <f>VLOOKUP(J820,Introduction!$B$6:$C$14,2)</f>
        <v>South West</v>
      </c>
      <c r="L820" s="11">
        <v>152</v>
      </c>
      <c r="M820" s="12" t="s">
        <v>573</v>
      </c>
    </row>
    <row r="821" spans="1:13" ht="19.95" customHeight="1" x14ac:dyDescent="0.25">
      <c r="A821" s="41">
        <v>45413</v>
      </c>
      <c r="B821" s="47">
        <f>MONTH(Table13[[#This Row],[YearMonth]])</f>
        <v>5</v>
      </c>
      <c r="C821" s="9" t="s">
        <v>213</v>
      </c>
      <c r="D821" s="6" t="s">
        <v>338</v>
      </c>
      <c r="E821" s="6">
        <f>IF(Table13[[#This Row],[Quartile]]="TopQuartile", 1,
 IF(Table13[[#This Row],[Quartile]]="SecondQuartile", 2,
 IF(Table13[[#This Row],[Quartile]]="ThirdQuartile", 3,
 IF(Table13[[#This Row],[Quartile]]="FourthQuartile", 4, ""))))</f>
        <v>2</v>
      </c>
      <c r="F821" s="9" t="s">
        <v>604</v>
      </c>
      <c r="G821" s="9" t="str" cm="1">
        <f t="array" ref="G821">IFERROR(
  INDEX(Table13[Quartile],
    MATCH(1,
      (Table13[[#This Row],[OrgName]]=Table13[OrgName]) *
      (Table13[[#This Row],[Month Number]]-1=Table13[Month Number]),
    0)
  ),
"")</f>
        <v>SecondQuartile</v>
      </c>
      <c r="H821" s="9">
        <f>IF(Table13[[#This Row],[Previous Quartile]]="TopQuartile", 1,
 IF(Table13[[#This Row],[Previous Quartile]]="SecondQuartile", 2,
 IF(Table13[[#This Row],[Previous Quartile]]="ThirdQuartile", 3,
 IF(Table13[[#This Row],[Previous Quartile]]="FourthQuartile", 4, ""))))</f>
        <v>2</v>
      </c>
      <c r="I821" s="9" t="str">
        <f>IF(Table13[[#This Row],[Previous Quartile Value]]="", "",
   IF(Table13[[#This Row],[Quartile Value]] &lt; Table13[[#This Row],[Previous Quartile Value]], "Improved",
   IF(Table13[[#This Row],[Quartile Value]] &gt; Table13[[#This Row],[Previous Quartile Value]], "Dropped", "Same")))</f>
        <v>Same</v>
      </c>
      <c r="J821" s="10" t="s">
        <v>12</v>
      </c>
      <c r="K821" s="7" t="str">
        <f>VLOOKUP(J821,Introduction!$B$6:$C$14,2)</f>
        <v>London</v>
      </c>
      <c r="L821" s="11">
        <v>363</v>
      </c>
      <c r="M821" s="12" t="s">
        <v>573</v>
      </c>
    </row>
    <row r="822" spans="1:13" ht="19.95" customHeight="1" x14ac:dyDescent="0.25">
      <c r="A822" s="41">
        <v>45413</v>
      </c>
      <c r="B822" s="47">
        <f>MONTH(Table13[[#This Row],[YearMonth]])</f>
        <v>5</v>
      </c>
      <c r="C822" s="9" t="s">
        <v>208</v>
      </c>
      <c r="D822" s="6" t="s">
        <v>338</v>
      </c>
      <c r="E822" s="6">
        <f>IF(Table13[[#This Row],[Quartile]]="TopQuartile", 1,
 IF(Table13[[#This Row],[Quartile]]="SecondQuartile", 2,
 IF(Table13[[#This Row],[Quartile]]="ThirdQuartile", 3,
 IF(Table13[[#This Row],[Quartile]]="FourthQuartile", 4, ""))))</f>
        <v>2</v>
      </c>
      <c r="F822" s="9" t="s">
        <v>603</v>
      </c>
      <c r="G822" s="9" t="str" cm="1">
        <f t="array" ref="G822">IFERROR(
  INDEX(Table13[Quartile],
    MATCH(1,
      (Table13[[#This Row],[OrgName]]=Table13[OrgName]) *
      (Table13[[#This Row],[Month Number]]-1=Table13[Month Number]),
    0)
  ),
"")</f>
        <v>SecondQuartile</v>
      </c>
      <c r="H822" s="9">
        <f>IF(Table13[[#This Row],[Previous Quartile]]="TopQuartile", 1,
 IF(Table13[[#This Row],[Previous Quartile]]="SecondQuartile", 2,
 IF(Table13[[#This Row],[Previous Quartile]]="ThirdQuartile", 3,
 IF(Table13[[#This Row],[Previous Quartile]]="FourthQuartile", 4, ""))))</f>
        <v>2</v>
      </c>
      <c r="I822" s="9" t="str">
        <f>IF(Table13[[#This Row],[Previous Quartile Value]]="", "",
   IF(Table13[[#This Row],[Quartile Value]] &lt; Table13[[#This Row],[Previous Quartile Value]], "Improved",
   IF(Table13[[#This Row],[Quartile Value]] &gt; Table13[[#This Row],[Previous Quartile Value]], "Dropped", "Same")))</f>
        <v>Same</v>
      </c>
      <c r="J822" s="10" t="s">
        <v>20</v>
      </c>
      <c r="K822" s="7" t="str">
        <f>VLOOKUP(J822,Introduction!$B$6:$C$14,2)</f>
        <v>East of England</v>
      </c>
      <c r="L822" s="11">
        <v>246</v>
      </c>
      <c r="M822" s="12" t="s">
        <v>573</v>
      </c>
    </row>
    <row r="823" spans="1:13" ht="19.95" customHeight="1" x14ac:dyDescent="0.25">
      <c r="A823" s="41">
        <v>45413</v>
      </c>
      <c r="B823" s="47">
        <f>MONTH(Table13[[#This Row],[YearMonth]])</f>
        <v>5</v>
      </c>
      <c r="C823" s="9" t="s">
        <v>78</v>
      </c>
      <c r="D823" s="6" t="s">
        <v>338</v>
      </c>
      <c r="E823" s="6">
        <f>IF(Table13[[#This Row],[Quartile]]="TopQuartile", 1,
 IF(Table13[[#This Row],[Quartile]]="SecondQuartile", 2,
 IF(Table13[[#This Row],[Quartile]]="ThirdQuartile", 3,
 IF(Table13[[#This Row],[Quartile]]="FourthQuartile", 4, ""))))</f>
        <v>2</v>
      </c>
      <c r="F823" s="9" t="s">
        <v>585</v>
      </c>
      <c r="G823" s="9" t="str" cm="1">
        <f t="array" ref="G823">IFERROR(
  INDEX(Table13[Quartile],
    MATCH(1,
      (Table13[[#This Row],[OrgName]]=Table13[OrgName]) *
      (Table13[[#This Row],[Month Number]]-1=Table13[Month Number]),
    0)
  ),
"")</f>
        <v>SecondQuartile</v>
      </c>
      <c r="H823" s="9">
        <f>IF(Table13[[#This Row],[Previous Quartile]]="TopQuartile", 1,
 IF(Table13[[#This Row],[Previous Quartile]]="SecondQuartile", 2,
 IF(Table13[[#This Row],[Previous Quartile]]="ThirdQuartile", 3,
 IF(Table13[[#This Row],[Previous Quartile]]="FourthQuartile", 4, ""))))</f>
        <v>2</v>
      </c>
      <c r="I823" s="9" t="str">
        <f>IF(Table13[[#This Row],[Previous Quartile Value]]="", "",
   IF(Table13[[#This Row],[Quartile Value]] &lt; Table13[[#This Row],[Previous Quartile Value]], "Improved",
   IF(Table13[[#This Row],[Quartile Value]] &gt; Table13[[#This Row],[Previous Quartile Value]], "Dropped", "Same")))</f>
        <v>Same</v>
      </c>
      <c r="J823" s="10" t="s">
        <v>24</v>
      </c>
      <c r="K823" s="7" t="str">
        <f>VLOOKUP(J823,Introduction!$B$6:$C$14,2)</f>
        <v>North East and Yorkshire</v>
      </c>
      <c r="L823" s="11">
        <v>346</v>
      </c>
      <c r="M823" s="12" t="s">
        <v>573</v>
      </c>
    </row>
    <row r="824" spans="1:13" ht="19.95" customHeight="1" x14ac:dyDescent="0.25">
      <c r="A824" s="41">
        <v>45413</v>
      </c>
      <c r="B824" s="47">
        <f>MONTH(Table13[[#This Row],[YearMonth]])</f>
        <v>5</v>
      </c>
      <c r="C824" s="9" t="s">
        <v>114</v>
      </c>
      <c r="D824" s="6" t="s">
        <v>338</v>
      </c>
      <c r="E824" s="6">
        <f>IF(Table13[[#This Row],[Quartile]]="TopQuartile", 1,
 IF(Table13[[#This Row],[Quartile]]="SecondQuartile", 2,
 IF(Table13[[#This Row],[Quartile]]="ThirdQuartile", 3,
 IF(Table13[[#This Row],[Quartile]]="FourthQuartile", 4, ""))))</f>
        <v>2</v>
      </c>
      <c r="F824" s="9" t="s">
        <v>590</v>
      </c>
      <c r="G824" s="9" t="str" cm="1">
        <f t="array" ref="G824">IFERROR(
  INDEX(Table13[Quartile],
    MATCH(1,
      (Table13[[#This Row],[OrgName]]=Table13[OrgName]) *
      (Table13[[#This Row],[Month Number]]-1=Table13[Month Number]),
    0)
  ),
"")</f>
        <v>SecondQuartile</v>
      </c>
      <c r="H824" s="9">
        <f>IF(Table13[[#This Row],[Previous Quartile]]="TopQuartile", 1,
 IF(Table13[[#This Row],[Previous Quartile]]="SecondQuartile", 2,
 IF(Table13[[#This Row],[Previous Quartile]]="ThirdQuartile", 3,
 IF(Table13[[#This Row],[Previous Quartile]]="FourthQuartile", 4, ""))))</f>
        <v>2</v>
      </c>
      <c r="I824" s="9" t="str">
        <f>IF(Table13[[#This Row],[Previous Quartile Value]]="", "",
   IF(Table13[[#This Row],[Quartile Value]] &lt; Table13[[#This Row],[Previous Quartile Value]], "Improved",
   IF(Table13[[#This Row],[Quartile Value]] &gt; Table13[[#This Row],[Previous Quartile Value]], "Dropped", "Same")))</f>
        <v>Same</v>
      </c>
      <c r="J824" s="10" t="s">
        <v>20</v>
      </c>
      <c r="K824" s="7" t="str">
        <f>VLOOKUP(J824,Introduction!$B$6:$C$14,2)</f>
        <v>East of England</v>
      </c>
      <c r="L824" s="11">
        <v>367</v>
      </c>
      <c r="M824" s="12" t="s">
        <v>573</v>
      </c>
    </row>
    <row r="825" spans="1:13" ht="19.95" customHeight="1" x14ac:dyDescent="0.25">
      <c r="A825" s="41">
        <v>45413</v>
      </c>
      <c r="B825" s="47">
        <f>MONTH(Table13[[#This Row],[YearMonth]])</f>
        <v>5</v>
      </c>
      <c r="C825" s="9" t="s">
        <v>123</v>
      </c>
      <c r="D825" s="6" t="s">
        <v>338</v>
      </c>
      <c r="E825" s="6">
        <f>IF(Table13[[#This Row],[Quartile]]="TopQuartile", 1,
 IF(Table13[[#This Row],[Quartile]]="SecondQuartile", 2,
 IF(Table13[[#This Row],[Quartile]]="ThirdQuartile", 3,
 IF(Table13[[#This Row],[Quartile]]="FourthQuartile", 4, ""))))</f>
        <v>2</v>
      </c>
      <c r="F825" s="9" t="s">
        <v>593</v>
      </c>
      <c r="G825" s="9" t="str" cm="1">
        <f t="array" ref="G825">IFERROR(
  INDEX(Table13[Quartile],
    MATCH(1,
      (Table13[[#This Row],[OrgName]]=Table13[OrgName]) *
      (Table13[[#This Row],[Month Number]]-1=Table13[Month Number]),
    0)
  ),
"")</f>
        <v>SecondQuartile</v>
      </c>
      <c r="H825" s="9">
        <f>IF(Table13[[#This Row],[Previous Quartile]]="TopQuartile", 1,
 IF(Table13[[#This Row],[Previous Quartile]]="SecondQuartile", 2,
 IF(Table13[[#This Row],[Previous Quartile]]="ThirdQuartile", 3,
 IF(Table13[[#This Row],[Previous Quartile]]="FourthQuartile", 4, ""))))</f>
        <v>2</v>
      </c>
      <c r="I825" s="9" t="str">
        <f>IF(Table13[[#This Row],[Previous Quartile Value]]="", "",
   IF(Table13[[#This Row],[Quartile Value]] &lt; Table13[[#This Row],[Previous Quartile Value]], "Improved",
   IF(Table13[[#This Row],[Quartile Value]] &gt; Table13[[#This Row],[Previous Quartile Value]], "Dropped", "Same")))</f>
        <v>Same</v>
      </c>
      <c r="J825" s="10" t="s">
        <v>20</v>
      </c>
      <c r="K825" s="7" t="str">
        <f>VLOOKUP(J825,Introduction!$B$6:$C$14,2)</f>
        <v>East of England</v>
      </c>
      <c r="L825" s="11">
        <v>364</v>
      </c>
      <c r="M825" s="12" t="s">
        <v>573</v>
      </c>
    </row>
    <row r="826" spans="1:13" ht="19.95" customHeight="1" x14ac:dyDescent="0.25">
      <c r="A826" s="41">
        <v>45413</v>
      </c>
      <c r="B826" s="47">
        <f>MONTH(Table13[[#This Row],[YearMonth]])</f>
        <v>5</v>
      </c>
      <c r="C826" s="9" t="s">
        <v>141</v>
      </c>
      <c r="D826" s="6" t="s">
        <v>338</v>
      </c>
      <c r="E826" s="6">
        <f>IF(Table13[[#This Row],[Quartile]]="TopQuartile", 1,
 IF(Table13[[#This Row],[Quartile]]="SecondQuartile", 2,
 IF(Table13[[#This Row],[Quartile]]="ThirdQuartile", 3,
 IF(Table13[[#This Row],[Quartile]]="FourthQuartile", 4, ""))))</f>
        <v>2</v>
      </c>
      <c r="F826" s="9" t="s">
        <v>594</v>
      </c>
      <c r="G826" s="9" t="str" cm="1">
        <f t="array" ref="G826">IFERROR(
  INDEX(Table13[Quartile],
    MATCH(1,
      (Table13[[#This Row],[OrgName]]=Table13[OrgName]) *
      (Table13[[#This Row],[Month Number]]-1=Table13[Month Number]),
    0)
  ),
"")</f>
        <v>SecondQuartile</v>
      </c>
      <c r="H826" s="9">
        <f>IF(Table13[[#This Row],[Previous Quartile]]="TopQuartile", 1,
 IF(Table13[[#This Row],[Previous Quartile]]="SecondQuartile", 2,
 IF(Table13[[#This Row],[Previous Quartile]]="ThirdQuartile", 3,
 IF(Table13[[#This Row],[Previous Quartile]]="FourthQuartile", 4, ""))))</f>
        <v>2</v>
      </c>
      <c r="I826" s="9" t="str">
        <f>IF(Table13[[#This Row],[Previous Quartile Value]]="", "",
   IF(Table13[[#This Row],[Quartile Value]] &lt; Table13[[#This Row],[Previous Quartile Value]], "Improved",
   IF(Table13[[#This Row],[Quartile Value]] &gt; Table13[[#This Row],[Previous Quartile Value]], "Dropped", "Same")))</f>
        <v>Same</v>
      </c>
      <c r="J826" s="10" t="s">
        <v>12</v>
      </c>
      <c r="K826" s="7" t="str">
        <f>VLOOKUP(J826,Introduction!$B$6:$C$14,2)</f>
        <v>London</v>
      </c>
      <c r="L826" s="11">
        <v>306</v>
      </c>
      <c r="M826" s="12" t="s">
        <v>573</v>
      </c>
    </row>
    <row r="827" spans="1:13" ht="19.95" customHeight="1" x14ac:dyDescent="0.25">
      <c r="A827" s="41">
        <v>45413</v>
      </c>
      <c r="B827" s="47">
        <f>MONTH(Table13[[#This Row],[YearMonth]])</f>
        <v>5</v>
      </c>
      <c r="C827" s="9" t="s">
        <v>146</v>
      </c>
      <c r="D827" s="6" t="s">
        <v>338</v>
      </c>
      <c r="E827" s="6">
        <f>IF(Table13[[#This Row],[Quartile]]="TopQuartile", 1,
 IF(Table13[[#This Row],[Quartile]]="SecondQuartile", 2,
 IF(Table13[[#This Row],[Quartile]]="ThirdQuartile", 3,
 IF(Table13[[#This Row],[Quartile]]="FourthQuartile", 4, ""))))</f>
        <v>2</v>
      </c>
      <c r="F827" s="9" t="s">
        <v>595</v>
      </c>
      <c r="G827" s="9" t="str" cm="1">
        <f t="array" ref="G827">IFERROR(
  INDEX(Table13[Quartile],
    MATCH(1,
      (Table13[[#This Row],[OrgName]]=Table13[OrgName]) *
      (Table13[[#This Row],[Month Number]]-1=Table13[Month Number]),
    0)
  ),
"")</f>
        <v>SecondQuartile</v>
      </c>
      <c r="H827" s="9">
        <f>IF(Table13[[#This Row],[Previous Quartile]]="TopQuartile", 1,
 IF(Table13[[#This Row],[Previous Quartile]]="SecondQuartile", 2,
 IF(Table13[[#This Row],[Previous Quartile]]="ThirdQuartile", 3,
 IF(Table13[[#This Row],[Previous Quartile]]="FourthQuartile", 4, ""))))</f>
        <v>2</v>
      </c>
      <c r="I827" s="9" t="str">
        <f>IF(Table13[[#This Row],[Previous Quartile Value]]="", "",
   IF(Table13[[#This Row],[Quartile Value]] &lt; Table13[[#This Row],[Previous Quartile Value]], "Improved",
   IF(Table13[[#This Row],[Quartile Value]] &gt; Table13[[#This Row],[Previous Quartile Value]], "Dropped", "Same")))</f>
        <v>Same</v>
      </c>
      <c r="J827" s="10" t="s">
        <v>22</v>
      </c>
      <c r="K827" s="7" t="str">
        <f>VLOOKUP(J827,Introduction!$B$6:$C$14,2)</f>
        <v>North West</v>
      </c>
      <c r="L827" s="11">
        <v>437</v>
      </c>
      <c r="M827" s="12" t="s">
        <v>573</v>
      </c>
    </row>
    <row r="828" spans="1:13" ht="19.95" customHeight="1" x14ac:dyDescent="0.25">
      <c r="A828" s="41">
        <v>45413</v>
      </c>
      <c r="B828" s="47">
        <f>MONTH(Table13[[#This Row],[YearMonth]])</f>
        <v>5</v>
      </c>
      <c r="C828" s="9" t="s">
        <v>152</v>
      </c>
      <c r="D828" s="6" t="s">
        <v>338</v>
      </c>
      <c r="E828" s="6">
        <f>IF(Table13[[#This Row],[Quartile]]="TopQuartile", 1,
 IF(Table13[[#This Row],[Quartile]]="SecondQuartile", 2,
 IF(Table13[[#This Row],[Quartile]]="ThirdQuartile", 3,
 IF(Table13[[#This Row],[Quartile]]="FourthQuartile", 4, ""))))</f>
        <v>2</v>
      </c>
      <c r="F828" s="9" t="s">
        <v>596</v>
      </c>
      <c r="G828" s="9" t="str" cm="1">
        <f t="array" ref="G828">IFERROR(
  INDEX(Table13[Quartile],
    MATCH(1,
      (Table13[[#This Row],[OrgName]]=Table13[OrgName]) *
      (Table13[[#This Row],[Month Number]]-1=Table13[Month Number]),
    0)
  ),
"")</f>
        <v>SecondQuartile</v>
      </c>
      <c r="H828" s="9">
        <f>IF(Table13[[#This Row],[Previous Quartile]]="TopQuartile", 1,
 IF(Table13[[#This Row],[Previous Quartile]]="SecondQuartile", 2,
 IF(Table13[[#This Row],[Previous Quartile]]="ThirdQuartile", 3,
 IF(Table13[[#This Row],[Previous Quartile]]="FourthQuartile", 4, ""))))</f>
        <v>2</v>
      </c>
      <c r="I828" s="9" t="str">
        <f>IF(Table13[[#This Row],[Previous Quartile Value]]="", "",
   IF(Table13[[#This Row],[Quartile Value]] &lt; Table13[[#This Row],[Previous Quartile Value]], "Improved",
   IF(Table13[[#This Row],[Quartile Value]] &gt; Table13[[#This Row],[Previous Quartile Value]], "Dropped", "Same")))</f>
        <v>Same</v>
      </c>
      <c r="J828" s="10" t="s">
        <v>12</v>
      </c>
      <c r="K828" s="7" t="str">
        <f>VLOOKUP(J828,Introduction!$B$6:$C$14,2)</f>
        <v>London</v>
      </c>
      <c r="L828" s="11">
        <v>222</v>
      </c>
      <c r="M828" s="12" t="s">
        <v>573</v>
      </c>
    </row>
    <row r="829" spans="1:13" ht="19.95" customHeight="1" x14ac:dyDescent="0.25">
      <c r="A829" s="41">
        <v>45413</v>
      </c>
      <c r="B829" s="47">
        <f>MONTH(Table13[[#This Row],[YearMonth]])</f>
        <v>5</v>
      </c>
      <c r="C829" s="9" t="s">
        <v>167</v>
      </c>
      <c r="D829" s="6" t="s">
        <v>338</v>
      </c>
      <c r="E829" s="6">
        <f>IF(Table13[[#This Row],[Quartile]]="TopQuartile", 1,
 IF(Table13[[#This Row],[Quartile]]="SecondQuartile", 2,
 IF(Table13[[#This Row],[Quartile]]="ThirdQuartile", 3,
 IF(Table13[[#This Row],[Quartile]]="FourthQuartile", 4, ""))))</f>
        <v>2</v>
      </c>
      <c r="F829" s="9" t="s">
        <v>597</v>
      </c>
      <c r="G829" s="9" t="str" cm="1">
        <f t="array" ref="G829">IFERROR(
  INDEX(Table13[Quartile],
    MATCH(1,
      (Table13[[#This Row],[OrgName]]=Table13[OrgName]) *
      (Table13[[#This Row],[Month Number]]-1=Table13[Month Number]),
    0)
  ),
"")</f>
        <v>ThirdQuartile</v>
      </c>
      <c r="H829" s="9">
        <f>IF(Table13[[#This Row],[Previous Quartile]]="TopQuartile", 1,
 IF(Table13[[#This Row],[Previous Quartile]]="SecondQuartile", 2,
 IF(Table13[[#This Row],[Previous Quartile]]="ThirdQuartile", 3,
 IF(Table13[[#This Row],[Previous Quartile]]="FourthQuartile", 4, ""))))</f>
        <v>3</v>
      </c>
      <c r="I829" s="9" t="str">
        <f>IF(Table13[[#This Row],[Previous Quartile Value]]="", "",
   IF(Table13[[#This Row],[Quartile Value]] &lt; Table13[[#This Row],[Previous Quartile Value]], "Improved",
   IF(Table13[[#This Row],[Quartile Value]] &gt; Table13[[#This Row],[Previous Quartile Value]], "Dropped", "Same")))</f>
        <v>Improved</v>
      </c>
      <c r="J829" s="10" t="s">
        <v>18</v>
      </c>
      <c r="K829" s="7" t="str">
        <f>VLOOKUP(J829,Introduction!$B$6:$C$14,2)</f>
        <v>Midlands</v>
      </c>
      <c r="L829" s="11">
        <v>301</v>
      </c>
      <c r="M829" s="12" t="s">
        <v>573</v>
      </c>
    </row>
    <row r="830" spans="1:13" ht="19.95" customHeight="1" x14ac:dyDescent="0.25">
      <c r="A830" s="41">
        <v>45413</v>
      </c>
      <c r="B830" s="47">
        <f>MONTH(Table13[[#This Row],[YearMonth]])</f>
        <v>5</v>
      </c>
      <c r="C830" s="9" t="s">
        <v>172</v>
      </c>
      <c r="D830" s="6" t="s">
        <v>338</v>
      </c>
      <c r="E830" s="6">
        <f>IF(Table13[[#This Row],[Quartile]]="TopQuartile", 1,
 IF(Table13[[#This Row],[Quartile]]="SecondQuartile", 2,
 IF(Table13[[#This Row],[Quartile]]="ThirdQuartile", 3,
 IF(Table13[[#This Row],[Quartile]]="FourthQuartile", 4, ""))))</f>
        <v>2</v>
      </c>
      <c r="F830" s="9" t="s">
        <v>598</v>
      </c>
      <c r="G830" s="9" t="str" cm="1">
        <f t="array" ref="G830">IFERROR(
  INDEX(Table13[Quartile],
    MATCH(1,
      (Table13[[#This Row],[OrgName]]=Table13[OrgName]) *
      (Table13[[#This Row],[Month Number]]-1=Table13[Month Number]),
    0)
  ),
"")</f>
        <v>SecondQuartile</v>
      </c>
      <c r="H830" s="9">
        <f>IF(Table13[[#This Row],[Previous Quartile]]="TopQuartile", 1,
 IF(Table13[[#This Row],[Previous Quartile]]="SecondQuartile", 2,
 IF(Table13[[#This Row],[Previous Quartile]]="ThirdQuartile", 3,
 IF(Table13[[#This Row],[Previous Quartile]]="FourthQuartile", 4, ""))))</f>
        <v>2</v>
      </c>
      <c r="I830" s="9" t="str">
        <f>IF(Table13[[#This Row],[Previous Quartile Value]]="", "",
   IF(Table13[[#This Row],[Quartile Value]] &lt; Table13[[#This Row],[Previous Quartile Value]], "Improved",
   IF(Table13[[#This Row],[Quartile Value]] &gt; Table13[[#This Row],[Previous Quartile Value]], "Dropped", "Same")))</f>
        <v>Same</v>
      </c>
      <c r="J830" s="10" t="s">
        <v>18</v>
      </c>
      <c r="K830" s="7" t="str">
        <f>VLOOKUP(J830,Introduction!$B$6:$C$14,2)</f>
        <v>Midlands</v>
      </c>
      <c r="L830" s="11">
        <v>232</v>
      </c>
      <c r="M830" s="12" t="s">
        <v>573</v>
      </c>
    </row>
    <row r="831" spans="1:13" ht="19.95" customHeight="1" x14ac:dyDescent="0.25">
      <c r="A831" s="41">
        <v>45413</v>
      </c>
      <c r="B831" s="47">
        <f>MONTH(Table13[[#This Row],[YearMonth]])</f>
        <v>5</v>
      </c>
      <c r="C831" s="9" t="s">
        <v>178</v>
      </c>
      <c r="D831" s="6" t="s">
        <v>341</v>
      </c>
      <c r="E831" s="6">
        <f>IF(Table13[[#This Row],[Quartile]]="TopQuartile", 1,
 IF(Table13[[#This Row],[Quartile]]="SecondQuartile", 2,
 IF(Table13[[#This Row],[Quartile]]="ThirdQuartile", 3,
 IF(Table13[[#This Row],[Quartile]]="FourthQuartile", 4, ""))))</f>
        <v>3</v>
      </c>
      <c r="F831" s="9" t="s">
        <v>599</v>
      </c>
      <c r="G831" s="9" t="str" cm="1">
        <f t="array" ref="G831">IFERROR(
  INDEX(Table13[Quartile],
    MATCH(1,
      (Table13[[#This Row],[OrgName]]=Table13[OrgName]) *
      (Table13[[#This Row],[Month Number]]-1=Table13[Month Number]),
    0)
  ),
"")</f>
        <v>SecondQuartile</v>
      </c>
      <c r="H831" s="9">
        <f>IF(Table13[[#This Row],[Previous Quartile]]="TopQuartile", 1,
 IF(Table13[[#This Row],[Previous Quartile]]="SecondQuartile", 2,
 IF(Table13[[#This Row],[Previous Quartile]]="ThirdQuartile", 3,
 IF(Table13[[#This Row],[Previous Quartile]]="FourthQuartile", 4, ""))))</f>
        <v>2</v>
      </c>
      <c r="I831" s="9" t="str">
        <f>IF(Table13[[#This Row],[Previous Quartile Value]]="", "",
   IF(Table13[[#This Row],[Quartile Value]] &lt; Table13[[#This Row],[Previous Quartile Value]], "Improved",
   IF(Table13[[#This Row],[Quartile Value]] &gt; Table13[[#This Row],[Previous Quartile Value]], "Dropped", "Same")))</f>
        <v>Dropped</v>
      </c>
      <c r="J831" s="10" t="s">
        <v>16</v>
      </c>
      <c r="K831" s="7" t="str">
        <f>VLOOKUP(J831,Introduction!$B$6:$C$14,2)</f>
        <v>South East</v>
      </c>
      <c r="L831" s="11">
        <v>348</v>
      </c>
      <c r="M831" s="12" t="s">
        <v>573</v>
      </c>
    </row>
    <row r="832" spans="1:13" ht="19.95" customHeight="1" x14ac:dyDescent="0.25">
      <c r="A832" s="41">
        <v>45413</v>
      </c>
      <c r="B832" s="47">
        <f>MONTH(Table13[[#This Row],[YearMonth]])</f>
        <v>5</v>
      </c>
      <c r="C832" s="9" t="s">
        <v>182</v>
      </c>
      <c r="D832" s="6" t="s">
        <v>341</v>
      </c>
      <c r="E832" s="6">
        <f>IF(Table13[[#This Row],[Quartile]]="TopQuartile", 1,
 IF(Table13[[#This Row],[Quartile]]="SecondQuartile", 2,
 IF(Table13[[#This Row],[Quartile]]="ThirdQuartile", 3,
 IF(Table13[[#This Row],[Quartile]]="FourthQuartile", 4, ""))))</f>
        <v>3</v>
      </c>
      <c r="F832" s="9" t="s">
        <v>600</v>
      </c>
      <c r="G832" s="9" t="str" cm="1">
        <f t="array" ref="G832">IFERROR(
  INDEX(Table13[Quartile],
    MATCH(1,
      (Table13[[#This Row],[OrgName]]=Table13[OrgName]) *
      (Table13[[#This Row],[Month Number]]-1=Table13[Month Number]),
    0)
  ),
"")</f>
        <v>ThirdQuartile</v>
      </c>
      <c r="H832" s="9">
        <f>IF(Table13[[#This Row],[Previous Quartile]]="TopQuartile", 1,
 IF(Table13[[#This Row],[Previous Quartile]]="SecondQuartile", 2,
 IF(Table13[[#This Row],[Previous Quartile]]="ThirdQuartile", 3,
 IF(Table13[[#This Row],[Previous Quartile]]="FourthQuartile", 4, ""))))</f>
        <v>3</v>
      </c>
      <c r="I832" s="9" t="str">
        <f>IF(Table13[[#This Row],[Previous Quartile Value]]="", "",
   IF(Table13[[#This Row],[Quartile Value]] &lt; Table13[[#This Row],[Previous Quartile Value]], "Improved",
   IF(Table13[[#This Row],[Quartile Value]] &gt; Table13[[#This Row],[Previous Quartile Value]], "Dropped", "Same")))</f>
        <v>Same</v>
      </c>
      <c r="J832" s="10" t="s">
        <v>18</v>
      </c>
      <c r="K832" s="7" t="str">
        <f>VLOOKUP(J832,Introduction!$B$6:$C$14,2)</f>
        <v>Midlands</v>
      </c>
      <c r="L832" s="11">
        <v>270</v>
      </c>
      <c r="M832" s="12" t="s">
        <v>573</v>
      </c>
    </row>
    <row r="833" spans="1:13" ht="19.95" customHeight="1" x14ac:dyDescent="0.25">
      <c r="A833" s="41">
        <v>45413</v>
      </c>
      <c r="B833" s="47">
        <f>MONTH(Table13[[#This Row],[YearMonth]])</f>
        <v>5</v>
      </c>
      <c r="C833" s="9" t="s">
        <v>186</v>
      </c>
      <c r="D833" s="6" t="s">
        <v>341</v>
      </c>
      <c r="E833" s="6">
        <f>IF(Table13[[#This Row],[Quartile]]="TopQuartile", 1,
 IF(Table13[[#This Row],[Quartile]]="SecondQuartile", 2,
 IF(Table13[[#This Row],[Quartile]]="ThirdQuartile", 3,
 IF(Table13[[#This Row],[Quartile]]="FourthQuartile", 4, ""))))</f>
        <v>3</v>
      </c>
      <c r="F833" s="9" t="s">
        <v>601</v>
      </c>
      <c r="G833" s="9" t="str" cm="1">
        <f t="array" ref="G833">IFERROR(
  INDEX(Table13[Quartile],
    MATCH(1,
      (Table13[[#This Row],[OrgName]]=Table13[OrgName]) *
      (Table13[[#This Row],[Month Number]]-1=Table13[Month Number]),
    0)
  ),
"")</f>
        <v>ThirdQuartile</v>
      </c>
      <c r="H833" s="9">
        <f>IF(Table13[[#This Row],[Previous Quartile]]="TopQuartile", 1,
 IF(Table13[[#This Row],[Previous Quartile]]="SecondQuartile", 2,
 IF(Table13[[#This Row],[Previous Quartile]]="ThirdQuartile", 3,
 IF(Table13[[#This Row],[Previous Quartile]]="FourthQuartile", 4, ""))))</f>
        <v>3</v>
      </c>
      <c r="I833" s="9" t="str">
        <f>IF(Table13[[#This Row],[Previous Quartile Value]]="", "",
   IF(Table13[[#This Row],[Quartile Value]] &lt; Table13[[#This Row],[Previous Quartile Value]], "Improved",
   IF(Table13[[#This Row],[Quartile Value]] &gt; Table13[[#This Row],[Previous Quartile Value]], "Dropped", "Same")))</f>
        <v>Same</v>
      </c>
      <c r="J833" s="10" t="s">
        <v>16</v>
      </c>
      <c r="K833" s="7" t="str">
        <f>VLOOKUP(J833,Introduction!$B$6:$C$14,2)</f>
        <v>South East</v>
      </c>
      <c r="L833" s="11">
        <v>371</v>
      </c>
      <c r="M833" s="12" t="s">
        <v>573</v>
      </c>
    </row>
    <row r="834" spans="1:13" ht="19.95" customHeight="1" x14ac:dyDescent="0.25">
      <c r="A834" s="41">
        <v>45413</v>
      </c>
      <c r="B834" s="47">
        <f>MONTH(Table13[[#This Row],[YearMonth]])</f>
        <v>5</v>
      </c>
      <c r="C834" s="9" t="s">
        <v>187</v>
      </c>
      <c r="D834" s="6" t="s">
        <v>341</v>
      </c>
      <c r="E834" s="6">
        <f>IF(Table13[[#This Row],[Quartile]]="TopQuartile", 1,
 IF(Table13[[#This Row],[Quartile]]="SecondQuartile", 2,
 IF(Table13[[#This Row],[Quartile]]="ThirdQuartile", 3,
 IF(Table13[[#This Row],[Quartile]]="FourthQuartile", 4, ""))))</f>
        <v>3</v>
      </c>
      <c r="F834" s="9" t="s">
        <v>602</v>
      </c>
      <c r="G834" s="9" t="str" cm="1">
        <f t="array" ref="G834">IFERROR(
  INDEX(Table13[Quartile],
    MATCH(1,
      (Table13[[#This Row],[OrgName]]=Table13[OrgName]) *
      (Table13[[#This Row],[Month Number]]-1=Table13[Month Number]),
    0)
  ),
"")</f>
        <v>ThirdQuartile</v>
      </c>
      <c r="H834" s="9">
        <f>IF(Table13[[#This Row],[Previous Quartile]]="TopQuartile", 1,
 IF(Table13[[#This Row],[Previous Quartile]]="SecondQuartile", 2,
 IF(Table13[[#This Row],[Previous Quartile]]="ThirdQuartile", 3,
 IF(Table13[[#This Row],[Previous Quartile]]="FourthQuartile", 4, ""))))</f>
        <v>3</v>
      </c>
      <c r="I834" s="9" t="str">
        <f>IF(Table13[[#This Row],[Previous Quartile Value]]="", "",
   IF(Table13[[#This Row],[Quartile Value]] &lt; Table13[[#This Row],[Previous Quartile Value]], "Improved",
   IF(Table13[[#This Row],[Quartile Value]] &gt; Table13[[#This Row],[Previous Quartile Value]], "Dropped", "Same")))</f>
        <v>Same</v>
      </c>
      <c r="J834" s="10" t="s">
        <v>18</v>
      </c>
      <c r="K834" s="7" t="str">
        <f>VLOOKUP(J834,Introduction!$B$6:$C$14,2)</f>
        <v>Midlands</v>
      </c>
      <c r="L834" s="11">
        <v>383</v>
      </c>
      <c r="M834" s="12" t="s">
        <v>573</v>
      </c>
    </row>
    <row r="835" spans="1:13" ht="19.95" customHeight="1" x14ac:dyDescent="0.25">
      <c r="A835" s="41">
        <v>45413</v>
      </c>
      <c r="B835" s="47">
        <f>MONTH(Table13[[#This Row],[YearMonth]])</f>
        <v>5</v>
      </c>
      <c r="C835" s="9" t="s">
        <v>118</v>
      </c>
      <c r="D835" s="6" t="s">
        <v>350</v>
      </c>
      <c r="E835" s="6">
        <f>IF(Table13[[#This Row],[Quartile]]="TopQuartile", 1,
 IF(Table13[[#This Row],[Quartile]]="SecondQuartile", 2,
 IF(Table13[[#This Row],[Quartile]]="ThirdQuartile", 3,
 IF(Table13[[#This Row],[Quartile]]="FourthQuartile", 4, ""))))</f>
        <v>4</v>
      </c>
      <c r="F835" s="9" t="s">
        <v>592</v>
      </c>
      <c r="G835" s="9" t="str" cm="1">
        <f t="array" ref="G835">IFERROR(
  INDEX(Table13[Quartile],
    MATCH(1,
      (Table13[[#This Row],[OrgName]]=Table13[OrgName]) *
      (Table13[[#This Row],[Month Number]]-1=Table13[Month Number]),
    0)
  ),
"")</f>
        <v>ThirdQuartile</v>
      </c>
      <c r="H835" s="9">
        <f>IF(Table13[[#This Row],[Previous Quartile]]="TopQuartile", 1,
 IF(Table13[[#This Row],[Previous Quartile]]="SecondQuartile", 2,
 IF(Table13[[#This Row],[Previous Quartile]]="ThirdQuartile", 3,
 IF(Table13[[#This Row],[Previous Quartile]]="FourthQuartile", 4, ""))))</f>
        <v>3</v>
      </c>
      <c r="I835" s="9" t="str">
        <f>IF(Table13[[#This Row],[Previous Quartile Value]]="", "",
   IF(Table13[[#This Row],[Quartile Value]] &lt; Table13[[#This Row],[Previous Quartile Value]], "Improved",
   IF(Table13[[#This Row],[Quartile Value]] &gt; Table13[[#This Row],[Previous Quartile Value]], "Dropped", "Same")))</f>
        <v>Dropped</v>
      </c>
      <c r="J835" s="10" t="s">
        <v>18</v>
      </c>
      <c r="K835" s="7" t="str">
        <f>VLOOKUP(J835,Introduction!$B$6:$C$14,2)</f>
        <v>Midlands</v>
      </c>
      <c r="L835" s="11">
        <v>186</v>
      </c>
      <c r="M835" s="12" t="s">
        <v>573</v>
      </c>
    </row>
    <row r="836" spans="1:13" ht="19.95" customHeight="1" x14ac:dyDescent="0.25">
      <c r="A836" s="41">
        <v>45413</v>
      </c>
      <c r="B836" s="47">
        <f>MONTH(Table13[[#This Row],[YearMonth]])</f>
        <v>5</v>
      </c>
      <c r="C836" s="9" t="s">
        <v>244</v>
      </c>
      <c r="D836" s="6" t="s">
        <v>350</v>
      </c>
      <c r="E836" s="6">
        <f>IF(Table13[[#This Row],[Quartile]]="TopQuartile", 1,
 IF(Table13[[#This Row],[Quartile]]="SecondQuartile", 2,
 IF(Table13[[#This Row],[Quartile]]="ThirdQuartile", 3,
 IF(Table13[[#This Row],[Quartile]]="FourthQuartile", 4, ""))))</f>
        <v>4</v>
      </c>
      <c r="F836" s="9" t="s">
        <v>606</v>
      </c>
      <c r="G836" s="9" t="str" cm="1">
        <f t="array" ref="G836">IFERROR(
  INDEX(Table13[Quartile],
    MATCH(1,
      (Table13[[#This Row],[OrgName]]=Table13[OrgName]) *
      (Table13[[#This Row],[Month Number]]-1=Table13[Month Number]),
    0)
  ),
"")</f>
        <v>SecondQuartile</v>
      </c>
      <c r="H836" s="9">
        <f>IF(Table13[[#This Row],[Previous Quartile]]="TopQuartile", 1,
 IF(Table13[[#This Row],[Previous Quartile]]="SecondQuartile", 2,
 IF(Table13[[#This Row],[Previous Quartile]]="ThirdQuartile", 3,
 IF(Table13[[#This Row],[Previous Quartile]]="FourthQuartile", 4, ""))))</f>
        <v>2</v>
      </c>
      <c r="I836" s="9" t="str">
        <f>IF(Table13[[#This Row],[Previous Quartile Value]]="", "",
   IF(Table13[[#This Row],[Quartile Value]] &lt; Table13[[#This Row],[Previous Quartile Value]], "Improved",
   IF(Table13[[#This Row],[Quartile Value]] &gt; Table13[[#This Row],[Previous Quartile Value]], "Dropped", "Same")))</f>
        <v>Dropped</v>
      </c>
      <c r="J836" s="10" t="s">
        <v>18</v>
      </c>
      <c r="K836" s="7" t="str">
        <f>VLOOKUP(J836,Introduction!$B$6:$C$14,2)</f>
        <v>Midlands</v>
      </c>
      <c r="L836" s="11">
        <v>313</v>
      </c>
      <c r="M836" s="12" t="s">
        <v>573</v>
      </c>
    </row>
    <row r="837" spans="1:13" ht="19.95" customHeight="1" x14ac:dyDescent="0.25">
      <c r="A837" s="41">
        <v>45413</v>
      </c>
      <c r="B837" s="47">
        <f>MONTH(Table13[[#This Row],[YearMonth]])</f>
        <v>5</v>
      </c>
      <c r="C837" s="9" t="s">
        <v>250</v>
      </c>
      <c r="D837" s="6" t="s">
        <v>350</v>
      </c>
      <c r="E837" s="6">
        <f>IF(Table13[[#This Row],[Quartile]]="TopQuartile", 1,
 IF(Table13[[#This Row],[Quartile]]="SecondQuartile", 2,
 IF(Table13[[#This Row],[Quartile]]="ThirdQuartile", 3,
 IF(Table13[[#This Row],[Quartile]]="FourthQuartile", 4, ""))))</f>
        <v>4</v>
      </c>
      <c r="F837" s="9" t="s">
        <v>607</v>
      </c>
      <c r="G837" s="9" t="str" cm="1">
        <f t="array" ref="G837">IFERROR(
  INDEX(Table13[Quartile],
    MATCH(1,
      (Table13[[#This Row],[OrgName]]=Table13[OrgName]) *
      (Table13[[#This Row],[Month Number]]-1=Table13[Month Number]),
    0)
  ),
"")</f>
        <v>FourthQuartile</v>
      </c>
      <c r="H837" s="9">
        <f>IF(Table13[[#This Row],[Previous Quartile]]="TopQuartile", 1,
 IF(Table13[[#This Row],[Previous Quartile]]="SecondQuartile", 2,
 IF(Table13[[#This Row],[Previous Quartile]]="ThirdQuartile", 3,
 IF(Table13[[#This Row],[Previous Quartile]]="FourthQuartile", 4, ""))))</f>
        <v>4</v>
      </c>
      <c r="I837" s="9" t="str">
        <f>IF(Table13[[#This Row],[Previous Quartile Value]]="", "",
   IF(Table13[[#This Row],[Quartile Value]] &lt; Table13[[#This Row],[Previous Quartile Value]], "Improved",
   IF(Table13[[#This Row],[Quartile Value]] &gt; Table13[[#This Row],[Previous Quartile Value]], "Dropped", "Same")))</f>
        <v>Same</v>
      </c>
      <c r="J837" s="10" t="s">
        <v>16</v>
      </c>
      <c r="K837" s="7" t="str">
        <f>VLOOKUP(J837,Introduction!$B$6:$C$14,2)</f>
        <v>South East</v>
      </c>
      <c r="L837" s="11">
        <v>380</v>
      </c>
      <c r="M837" s="12" t="s">
        <v>573</v>
      </c>
    </row>
    <row r="838" spans="1:13" ht="19.95" customHeight="1" x14ac:dyDescent="0.25">
      <c r="A838" s="41">
        <v>45413</v>
      </c>
      <c r="B838" s="47">
        <f>MONTH(Table13[[#This Row],[YearMonth]])</f>
        <v>5</v>
      </c>
      <c r="C838" s="9" t="s">
        <v>240</v>
      </c>
      <c r="D838" s="6" t="s">
        <v>350</v>
      </c>
      <c r="E838" s="6">
        <f>IF(Table13[[#This Row],[Quartile]]="TopQuartile", 1,
 IF(Table13[[#This Row],[Quartile]]="SecondQuartile", 2,
 IF(Table13[[#This Row],[Quartile]]="ThirdQuartile", 3,
 IF(Table13[[#This Row],[Quartile]]="FourthQuartile", 4, ""))))</f>
        <v>4</v>
      </c>
      <c r="F838" s="9" t="s">
        <v>605</v>
      </c>
      <c r="G838" s="9" t="str" cm="1">
        <f t="array" ref="G838">IFERROR(
  INDEX(Table13[Quartile],
    MATCH(1,
      (Table13[[#This Row],[OrgName]]=Table13[OrgName]) *
      (Table13[[#This Row],[Month Number]]-1=Table13[Month Number]),
    0)
  ),
"")</f>
        <v>FourthQuartile</v>
      </c>
      <c r="H838" s="9">
        <f>IF(Table13[[#This Row],[Previous Quartile]]="TopQuartile", 1,
 IF(Table13[[#This Row],[Previous Quartile]]="SecondQuartile", 2,
 IF(Table13[[#This Row],[Previous Quartile]]="ThirdQuartile", 3,
 IF(Table13[[#This Row],[Previous Quartile]]="FourthQuartile", 4, ""))))</f>
        <v>4</v>
      </c>
      <c r="I838" s="9" t="str">
        <f>IF(Table13[[#This Row],[Previous Quartile Value]]="", "",
   IF(Table13[[#This Row],[Quartile Value]] &lt; Table13[[#This Row],[Previous Quartile Value]], "Improved",
   IF(Table13[[#This Row],[Quartile Value]] &gt; Table13[[#This Row],[Previous Quartile Value]], "Dropped", "Same")))</f>
        <v>Same</v>
      </c>
      <c r="J838" s="10" t="s">
        <v>12</v>
      </c>
      <c r="K838" s="7" t="str">
        <f>VLOOKUP(J838,Introduction!$B$6:$C$14,2)</f>
        <v>London</v>
      </c>
      <c r="L838" s="11">
        <v>277</v>
      </c>
      <c r="M838" s="12" t="s">
        <v>573</v>
      </c>
    </row>
    <row r="839" spans="1:13" ht="19.95" customHeight="1" x14ac:dyDescent="0.25">
      <c r="A839" s="41">
        <v>45413</v>
      </c>
      <c r="B839" s="47">
        <f>MONTH(Table13[[#This Row],[YearMonth]])</f>
        <v>5</v>
      </c>
      <c r="C839" s="9" t="s">
        <v>255</v>
      </c>
      <c r="D839" s="6" t="s">
        <v>350</v>
      </c>
      <c r="E839" s="6">
        <f>IF(Table13[[#This Row],[Quartile]]="TopQuartile", 1,
 IF(Table13[[#This Row],[Quartile]]="SecondQuartile", 2,
 IF(Table13[[#This Row],[Quartile]]="ThirdQuartile", 3,
 IF(Table13[[#This Row],[Quartile]]="FourthQuartile", 4, ""))))</f>
        <v>4</v>
      </c>
      <c r="F839" s="9" t="s">
        <v>608</v>
      </c>
      <c r="G839" s="9" t="str" cm="1">
        <f t="array" ref="G839">IFERROR(
  INDEX(Table13[Quartile],
    MATCH(1,
      (Table13[[#This Row],[OrgName]]=Table13[OrgName]) *
      (Table13[[#This Row],[Month Number]]-1=Table13[Month Number]),
    0)
  ),
"")</f>
        <v>FourthQuartile</v>
      </c>
      <c r="H839" s="9">
        <f>IF(Table13[[#This Row],[Previous Quartile]]="TopQuartile", 1,
 IF(Table13[[#This Row],[Previous Quartile]]="SecondQuartile", 2,
 IF(Table13[[#This Row],[Previous Quartile]]="ThirdQuartile", 3,
 IF(Table13[[#This Row],[Previous Quartile]]="FourthQuartile", 4, ""))))</f>
        <v>4</v>
      </c>
      <c r="I839" s="9" t="str">
        <f>IF(Table13[[#This Row],[Previous Quartile Value]]="", "",
   IF(Table13[[#This Row],[Quartile Value]] &lt; Table13[[#This Row],[Previous Quartile Value]], "Improved",
   IF(Table13[[#This Row],[Quartile Value]] &gt; Table13[[#This Row],[Previous Quartile Value]], "Dropped", "Same")))</f>
        <v>Same</v>
      </c>
      <c r="J839" s="10" t="s">
        <v>20</v>
      </c>
      <c r="K839" s="7" t="str">
        <f>VLOOKUP(J839,Introduction!$B$6:$C$14,2)</f>
        <v>East of England</v>
      </c>
      <c r="L839" s="11">
        <v>310</v>
      </c>
      <c r="M839" s="12" t="s">
        <v>573</v>
      </c>
    </row>
    <row r="840" spans="1:13" ht="19.95" customHeight="1" x14ac:dyDescent="0.25">
      <c r="A840" s="41">
        <v>45413</v>
      </c>
      <c r="B840" s="47">
        <f>MONTH(Table13[[#This Row],[YearMonth]])</f>
        <v>5</v>
      </c>
      <c r="C840" s="9" t="s">
        <v>268</v>
      </c>
      <c r="D840" s="6" t="s">
        <v>350</v>
      </c>
      <c r="E840" s="6">
        <f>IF(Table13[[#This Row],[Quartile]]="TopQuartile", 1,
 IF(Table13[[#This Row],[Quartile]]="SecondQuartile", 2,
 IF(Table13[[#This Row],[Quartile]]="ThirdQuartile", 3,
 IF(Table13[[#This Row],[Quartile]]="FourthQuartile", 4, ""))))</f>
        <v>4</v>
      </c>
      <c r="F840" s="9" t="s">
        <v>610</v>
      </c>
      <c r="G840" s="9" t="str" cm="1">
        <f t="array" ref="G840">IFERROR(
  INDEX(Table13[Quartile],
    MATCH(1,
      (Table13[[#This Row],[OrgName]]=Table13[OrgName]) *
      (Table13[[#This Row],[Month Number]]-1=Table13[Month Number]),
    0)
  ),
"")</f>
        <v>FourthQuartile</v>
      </c>
      <c r="H840" s="9">
        <f>IF(Table13[[#This Row],[Previous Quartile]]="TopQuartile", 1,
 IF(Table13[[#This Row],[Previous Quartile]]="SecondQuartile", 2,
 IF(Table13[[#This Row],[Previous Quartile]]="ThirdQuartile", 3,
 IF(Table13[[#This Row],[Previous Quartile]]="FourthQuartile", 4, ""))))</f>
        <v>4</v>
      </c>
      <c r="I840" s="9" t="str">
        <f>IF(Table13[[#This Row],[Previous Quartile Value]]="", "",
   IF(Table13[[#This Row],[Quartile Value]] &lt; Table13[[#This Row],[Previous Quartile Value]], "Improved",
   IF(Table13[[#This Row],[Quartile Value]] &gt; Table13[[#This Row],[Previous Quartile Value]], "Dropped", "Same")))</f>
        <v>Same</v>
      </c>
      <c r="J840" s="10" t="s">
        <v>16</v>
      </c>
      <c r="K840" s="7" t="str">
        <f>VLOOKUP(J840,Introduction!$B$6:$C$14,2)</f>
        <v>South East</v>
      </c>
      <c r="L840" s="11">
        <v>325</v>
      </c>
      <c r="M840" s="12" t="s">
        <v>573</v>
      </c>
    </row>
    <row r="841" spans="1:13" ht="19.95" customHeight="1" x14ac:dyDescent="0.25">
      <c r="A841" s="41">
        <v>45413</v>
      </c>
      <c r="B841" s="47">
        <f>MONTH(Table13[[#This Row],[YearMonth]])</f>
        <v>5</v>
      </c>
      <c r="C841" s="9" t="s">
        <v>271</v>
      </c>
      <c r="D841" s="6" t="s">
        <v>350</v>
      </c>
      <c r="E841" s="6">
        <f>IF(Table13[[#This Row],[Quartile]]="TopQuartile", 1,
 IF(Table13[[#This Row],[Quartile]]="SecondQuartile", 2,
 IF(Table13[[#This Row],[Quartile]]="ThirdQuartile", 3,
 IF(Table13[[#This Row],[Quartile]]="FourthQuartile", 4, ""))))</f>
        <v>4</v>
      </c>
      <c r="F841" s="9" t="s">
        <v>611</v>
      </c>
      <c r="G841" s="9" t="str" cm="1">
        <f t="array" ref="G841">IFERROR(
  INDEX(Table13[Quartile],
    MATCH(1,
      (Table13[[#This Row],[OrgName]]=Table13[OrgName]) *
      (Table13[[#This Row],[Month Number]]-1=Table13[Month Number]),
    0)
  ),
"")</f>
        <v>FourthQuartile</v>
      </c>
      <c r="H841" s="9">
        <f>IF(Table13[[#This Row],[Previous Quartile]]="TopQuartile", 1,
 IF(Table13[[#This Row],[Previous Quartile]]="SecondQuartile", 2,
 IF(Table13[[#This Row],[Previous Quartile]]="ThirdQuartile", 3,
 IF(Table13[[#This Row],[Previous Quartile]]="FourthQuartile", 4, ""))))</f>
        <v>4</v>
      </c>
      <c r="I841" s="9" t="str">
        <f>IF(Table13[[#This Row],[Previous Quartile Value]]="", "",
   IF(Table13[[#This Row],[Quartile Value]] &lt; Table13[[#This Row],[Previous Quartile Value]], "Improved",
   IF(Table13[[#This Row],[Quartile Value]] &gt; Table13[[#This Row],[Previous Quartile Value]], "Dropped", "Same")))</f>
        <v>Same</v>
      </c>
      <c r="J841" s="10" t="s">
        <v>12</v>
      </c>
      <c r="K841" s="7" t="str">
        <f>VLOOKUP(J841,Introduction!$B$6:$C$14,2)</f>
        <v>London</v>
      </c>
      <c r="L841" s="11">
        <v>334</v>
      </c>
      <c r="M841" s="12" t="s">
        <v>573</v>
      </c>
    </row>
    <row r="842" spans="1:13" ht="19.95" customHeight="1" x14ac:dyDescent="0.25">
      <c r="A842" s="41">
        <v>45413</v>
      </c>
      <c r="B842" s="47">
        <f>MONTH(Table13[[#This Row],[YearMonth]])</f>
        <v>5</v>
      </c>
      <c r="C842" s="9" t="s">
        <v>264</v>
      </c>
      <c r="D842" s="6" t="s">
        <v>350</v>
      </c>
      <c r="E842" s="6">
        <f>IF(Table13[[#This Row],[Quartile]]="TopQuartile", 1,
 IF(Table13[[#This Row],[Quartile]]="SecondQuartile", 2,
 IF(Table13[[#This Row],[Quartile]]="ThirdQuartile", 3,
 IF(Table13[[#This Row],[Quartile]]="FourthQuartile", 4, ""))))</f>
        <v>4</v>
      </c>
      <c r="F842" s="9" t="s">
        <v>609</v>
      </c>
      <c r="G842" s="9" t="str" cm="1">
        <f t="array" ref="G842">IFERROR(
  INDEX(Table13[Quartile],
    MATCH(1,
      (Table13[[#This Row],[OrgName]]=Table13[OrgName]) *
      (Table13[[#This Row],[Month Number]]-1=Table13[Month Number]),
    0)
  ),
"")</f>
        <v>FourthQuartile</v>
      </c>
      <c r="H842" s="9">
        <f>IF(Table13[[#This Row],[Previous Quartile]]="TopQuartile", 1,
 IF(Table13[[#This Row],[Previous Quartile]]="SecondQuartile", 2,
 IF(Table13[[#This Row],[Previous Quartile]]="ThirdQuartile", 3,
 IF(Table13[[#This Row],[Previous Quartile]]="FourthQuartile", 4, ""))))</f>
        <v>4</v>
      </c>
      <c r="I842" s="9" t="str">
        <f>IF(Table13[[#This Row],[Previous Quartile Value]]="", "",
   IF(Table13[[#This Row],[Quartile Value]] &lt; Table13[[#This Row],[Previous Quartile Value]], "Improved",
   IF(Table13[[#This Row],[Quartile Value]] &gt; Table13[[#This Row],[Previous Quartile Value]], "Dropped", "Same")))</f>
        <v>Same</v>
      </c>
      <c r="J842" s="10" t="s">
        <v>16</v>
      </c>
      <c r="K842" s="7" t="str">
        <f>VLOOKUP(J842,Introduction!$B$6:$C$14,2)</f>
        <v>South East</v>
      </c>
      <c r="L842" s="11">
        <v>267</v>
      </c>
      <c r="M842" s="12" t="s">
        <v>573</v>
      </c>
    </row>
    <row r="843" spans="1:13" ht="19.95" customHeight="1" x14ac:dyDescent="0.25">
      <c r="A843" s="41">
        <v>45413</v>
      </c>
      <c r="B843" s="47">
        <f>MONTH(Table13[[#This Row],[YearMonth]])</f>
        <v>5</v>
      </c>
      <c r="C843" s="9" t="s">
        <v>280</v>
      </c>
      <c r="D843" s="6" t="s">
        <v>350</v>
      </c>
      <c r="E843" s="6">
        <f>IF(Table13[[#This Row],[Quartile]]="TopQuartile", 1,
 IF(Table13[[#This Row],[Quartile]]="SecondQuartile", 2,
 IF(Table13[[#This Row],[Quartile]]="ThirdQuartile", 3,
 IF(Table13[[#This Row],[Quartile]]="FourthQuartile", 4, ""))))</f>
        <v>4</v>
      </c>
      <c r="F843" s="9" t="s">
        <v>612</v>
      </c>
      <c r="G843" s="9" t="str" cm="1">
        <f t="array" ref="G843">IFERROR(
  INDEX(Table13[Quartile],
    MATCH(1,
      (Table13[[#This Row],[OrgName]]=Table13[OrgName]) *
      (Table13[[#This Row],[Month Number]]-1=Table13[Month Number]),
    0)
  ),
"")</f>
        <v>ThirdQuartile</v>
      </c>
      <c r="H843" s="9">
        <f>IF(Table13[[#This Row],[Previous Quartile]]="TopQuartile", 1,
 IF(Table13[[#This Row],[Previous Quartile]]="SecondQuartile", 2,
 IF(Table13[[#This Row],[Previous Quartile]]="ThirdQuartile", 3,
 IF(Table13[[#This Row],[Previous Quartile]]="FourthQuartile", 4, ""))))</f>
        <v>3</v>
      </c>
      <c r="I843" s="9" t="str">
        <f>IF(Table13[[#This Row],[Previous Quartile Value]]="", "",
   IF(Table13[[#This Row],[Quartile Value]] &lt; Table13[[#This Row],[Previous Quartile Value]], "Improved",
   IF(Table13[[#This Row],[Quartile Value]] &gt; Table13[[#This Row],[Previous Quartile Value]], "Dropped", "Same")))</f>
        <v>Dropped</v>
      </c>
      <c r="J843" s="10" t="s">
        <v>12</v>
      </c>
      <c r="K843" s="7" t="str">
        <f>VLOOKUP(J843,Introduction!$B$6:$C$14,2)</f>
        <v>London</v>
      </c>
      <c r="L843" s="11">
        <v>260</v>
      </c>
      <c r="M843" s="12" t="s">
        <v>573</v>
      </c>
    </row>
    <row r="844" spans="1:13" ht="19.95" customHeight="1" x14ac:dyDescent="0.25">
      <c r="A844" s="41">
        <v>45413</v>
      </c>
      <c r="B844" s="47">
        <f>MONTH(Table13[[#This Row],[YearMonth]])</f>
        <v>5</v>
      </c>
      <c r="C844" s="9" t="s">
        <v>286</v>
      </c>
      <c r="D844" s="6" t="s">
        <v>350</v>
      </c>
      <c r="E844" s="6">
        <f>IF(Table13[[#This Row],[Quartile]]="TopQuartile", 1,
 IF(Table13[[#This Row],[Quartile]]="SecondQuartile", 2,
 IF(Table13[[#This Row],[Quartile]]="ThirdQuartile", 3,
 IF(Table13[[#This Row],[Quartile]]="FourthQuartile", 4, ""))))</f>
        <v>4</v>
      </c>
      <c r="F844" s="9" t="s">
        <v>613</v>
      </c>
      <c r="G844" s="9" t="str" cm="1">
        <f t="array" ref="G844">IFERROR(
  INDEX(Table13[Quartile],
    MATCH(1,
      (Table13[[#This Row],[OrgName]]=Table13[OrgName]) *
      (Table13[[#This Row],[Month Number]]-1=Table13[Month Number]),
    0)
  ),
"")</f>
        <v>FourthQuartile</v>
      </c>
      <c r="H844" s="9">
        <f>IF(Table13[[#This Row],[Previous Quartile]]="TopQuartile", 1,
 IF(Table13[[#This Row],[Previous Quartile]]="SecondQuartile", 2,
 IF(Table13[[#This Row],[Previous Quartile]]="ThirdQuartile", 3,
 IF(Table13[[#This Row],[Previous Quartile]]="FourthQuartile", 4, ""))))</f>
        <v>4</v>
      </c>
      <c r="I844" s="9" t="str">
        <f>IF(Table13[[#This Row],[Previous Quartile Value]]="", "",
   IF(Table13[[#This Row],[Quartile Value]] &lt; Table13[[#This Row],[Previous Quartile Value]], "Improved",
   IF(Table13[[#This Row],[Quartile Value]] &gt; Table13[[#This Row],[Previous Quartile Value]], "Dropped", "Same")))</f>
        <v>Same</v>
      </c>
      <c r="J844" s="10" t="s">
        <v>12</v>
      </c>
      <c r="K844" s="7" t="str">
        <f>VLOOKUP(J844,Introduction!$B$6:$C$14,2)</f>
        <v>London</v>
      </c>
      <c r="L844" s="11">
        <v>395</v>
      </c>
      <c r="M844" s="12" t="s">
        <v>573</v>
      </c>
    </row>
    <row r="845" spans="1:13" ht="19.95" customHeight="1" x14ac:dyDescent="0.25">
      <c r="A845" s="41">
        <v>45413</v>
      </c>
      <c r="B845" s="47">
        <f>MONTH(Table13[[#This Row],[YearMonth]])</f>
        <v>5</v>
      </c>
      <c r="C845" s="9" t="s">
        <v>289</v>
      </c>
      <c r="D845" s="6" t="s">
        <v>350</v>
      </c>
      <c r="E845" s="6">
        <f>IF(Table13[[#This Row],[Quartile]]="TopQuartile", 1,
 IF(Table13[[#This Row],[Quartile]]="SecondQuartile", 2,
 IF(Table13[[#This Row],[Quartile]]="ThirdQuartile", 3,
 IF(Table13[[#This Row],[Quartile]]="FourthQuartile", 4, ""))))</f>
        <v>4</v>
      </c>
      <c r="F845" s="9" t="s">
        <v>614</v>
      </c>
      <c r="G845" s="9" t="str" cm="1">
        <f t="array" ref="G845">IFERROR(
  INDEX(Table13[Quartile],
    MATCH(1,
      (Table13[[#This Row],[OrgName]]=Table13[OrgName]) *
      (Table13[[#This Row],[Month Number]]-1=Table13[Month Number]),
    0)
  ),
"")</f>
        <v>FourthQuartile</v>
      </c>
      <c r="H845" s="9">
        <f>IF(Table13[[#This Row],[Previous Quartile]]="TopQuartile", 1,
 IF(Table13[[#This Row],[Previous Quartile]]="SecondQuartile", 2,
 IF(Table13[[#This Row],[Previous Quartile]]="ThirdQuartile", 3,
 IF(Table13[[#This Row],[Previous Quartile]]="FourthQuartile", 4, ""))))</f>
        <v>4</v>
      </c>
      <c r="I845" s="9" t="str">
        <f>IF(Table13[[#This Row],[Previous Quartile Value]]="", "",
   IF(Table13[[#This Row],[Quartile Value]] &lt; Table13[[#This Row],[Previous Quartile Value]], "Improved",
   IF(Table13[[#This Row],[Quartile Value]] &gt; Table13[[#This Row],[Previous Quartile Value]], "Dropped", "Same")))</f>
        <v>Same</v>
      </c>
      <c r="J845" s="10" t="s">
        <v>18</v>
      </c>
      <c r="K845" s="7" t="str">
        <f>VLOOKUP(J845,Introduction!$B$6:$C$14,2)</f>
        <v>Midlands</v>
      </c>
      <c r="L845" s="11">
        <v>285</v>
      </c>
      <c r="M845" s="12" t="s">
        <v>573</v>
      </c>
    </row>
    <row r="846" spans="1:13" ht="19.95" customHeight="1" x14ac:dyDescent="0.25">
      <c r="A846" s="41">
        <v>45413</v>
      </c>
      <c r="B846" s="47">
        <f>MONTH(Table13[[#This Row],[YearMonth]])</f>
        <v>5</v>
      </c>
      <c r="C846" s="9" t="s">
        <v>293</v>
      </c>
      <c r="D846" s="6" t="s">
        <v>350</v>
      </c>
      <c r="E846" s="6">
        <f>IF(Table13[[#This Row],[Quartile]]="TopQuartile", 1,
 IF(Table13[[#This Row],[Quartile]]="SecondQuartile", 2,
 IF(Table13[[#This Row],[Quartile]]="ThirdQuartile", 3,
 IF(Table13[[#This Row],[Quartile]]="FourthQuartile", 4, ""))))</f>
        <v>4</v>
      </c>
      <c r="F846" s="9" t="s">
        <v>615</v>
      </c>
      <c r="G846" s="9" t="str" cm="1">
        <f t="array" ref="G846">IFERROR(
  INDEX(Table13[Quartile],
    MATCH(1,
      (Table13[[#This Row],[OrgName]]=Table13[OrgName]) *
      (Table13[[#This Row],[Month Number]]-1=Table13[Month Number]),
    0)
  ),
"")</f>
        <v>FourthQuartile</v>
      </c>
      <c r="H846" s="9">
        <f>IF(Table13[[#This Row],[Previous Quartile]]="TopQuartile", 1,
 IF(Table13[[#This Row],[Previous Quartile]]="SecondQuartile", 2,
 IF(Table13[[#This Row],[Previous Quartile]]="ThirdQuartile", 3,
 IF(Table13[[#This Row],[Previous Quartile]]="FourthQuartile", 4, ""))))</f>
        <v>4</v>
      </c>
      <c r="I846" s="9" t="str">
        <f>IF(Table13[[#This Row],[Previous Quartile Value]]="", "",
   IF(Table13[[#This Row],[Quartile Value]] &lt; Table13[[#This Row],[Previous Quartile Value]], "Improved",
   IF(Table13[[#This Row],[Quartile Value]] &gt; Table13[[#This Row],[Previous Quartile Value]], "Dropped", "Same")))</f>
        <v>Same</v>
      </c>
      <c r="J846" s="10" t="s">
        <v>22</v>
      </c>
      <c r="K846" s="7" t="str">
        <f>VLOOKUP(J846,Introduction!$B$6:$C$14,2)</f>
        <v>North West</v>
      </c>
      <c r="L846" s="11">
        <v>351</v>
      </c>
      <c r="M846" s="12" t="s">
        <v>573</v>
      </c>
    </row>
    <row r="847" spans="1:13" ht="19.95" customHeight="1" x14ac:dyDescent="0.25">
      <c r="A847" s="41">
        <v>45413</v>
      </c>
      <c r="B847" s="47">
        <f>MONTH(Table13[[#This Row],[YearMonth]])</f>
        <v>5</v>
      </c>
      <c r="C847" s="9" t="s">
        <v>295</v>
      </c>
      <c r="D847" s="6" t="s">
        <v>350</v>
      </c>
      <c r="E847" s="6">
        <f>IF(Table13[[#This Row],[Quartile]]="TopQuartile", 1,
 IF(Table13[[#This Row],[Quartile]]="SecondQuartile", 2,
 IF(Table13[[#This Row],[Quartile]]="ThirdQuartile", 3,
 IF(Table13[[#This Row],[Quartile]]="FourthQuartile", 4, ""))))</f>
        <v>4</v>
      </c>
      <c r="F847" s="9" t="s">
        <v>616</v>
      </c>
      <c r="G847" s="9" t="str" cm="1">
        <f t="array" ref="G847">IFERROR(
  INDEX(Table13[Quartile],
    MATCH(1,
      (Table13[[#This Row],[OrgName]]=Table13[OrgName]) *
      (Table13[[#This Row],[Month Number]]-1=Table13[Month Number]),
    0)
  ),
"")</f>
        <v>FourthQuartile</v>
      </c>
      <c r="H847" s="9">
        <f>IF(Table13[[#This Row],[Previous Quartile]]="TopQuartile", 1,
 IF(Table13[[#This Row],[Previous Quartile]]="SecondQuartile", 2,
 IF(Table13[[#This Row],[Previous Quartile]]="ThirdQuartile", 3,
 IF(Table13[[#This Row],[Previous Quartile]]="FourthQuartile", 4, ""))))</f>
        <v>4</v>
      </c>
      <c r="I847" s="9" t="str">
        <f>IF(Table13[[#This Row],[Previous Quartile Value]]="", "",
   IF(Table13[[#This Row],[Quartile Value]] &lt; Table13[[#This Row],[Previous Quartile Value]], "Improved",
   IF(Table13[[#This Row],[Quartile Value]] &gt; Table13[[#This Row],[Previous Quartile Value]], "Dropped", "Same")))</f>
        <v>Same</v>
      </c>
      <c r="J847" s="10" t="s">
        <v>18</v>
      </c>
      <c r="K847" s="7" t="str">
        <f>VLOOKUP(J847,Introduction!$B$6:$C$14,2)</f>
        <v>Midlands</v>
      </c>
      <c r="L847" s="11">
        <v>444</v>
      </c>
      <c r="M847" s="12" t="s">
        <v>573</v>
      </c>
    </row>
    <row r="848" spans="1:13" ht="19.95" customHeight="1" x14ac:dyDescent="0.25">
      <c r="A848" s="41">
        <v>45413</v>
      </c>
      <c r="B848" s="47">
        <f>MONTH(Table13[[#This Row],[YearMonth]])</f>
        <v>5</v>
      </c>
      <c r="C848" s="9" t="s">
        <v>306</v>
      </c>
      <c r="D848" s="6" t="s">
        <v>350</v>
      </c>
      <c r="E848" s="6">
        <f>IF(Table13[[#This Row],[Quartile]]="TopQuartile", 1,
 IF(Table13[[#This Row],[Quartile]]="SecondQuartile", 2,
 IF(Table13[[#This Row],[Quartile]]="ThirdQuartile", 3,
 IF(Table13[[#This Row],[Quartile]]="FourthQuartile", 4, ""))))</f>
        <v>4</v>
      </c>
      <c r="F848" s="9" t="s">
        <v>617</v>
      </c>
      <c r="G848" s="9" t="str" cm="1">
        <f t="array" ref="G848">IFERROR(
  INDEX(Table13[Quartile],
    MATCH(1,
      (Table13[[#This Row],[OrgName]]=Table13[OrgName]) *
      (Table13[[#This Row],[Month Number]]-1=Table13[Month Number]),
    0)
  ),
"")</f>
        <v>FourthQuartile</v>
      </c>
      <c r="H848" s="9">
        <f>IF(Table13[[#This Row],[Previous Quartile]]="TopQuartile", 1,
 IF(Table13[[#This Row],[Previous Quartile]]="SecondQuartile", 2,
 IF(Table13[[#This Row],[Previous Quartile]]="ThirdQuartile", 3,
 IF(Table13[[#This Row],[Previous Quartile]]="FourthQuartile", 4, ""))))</f>
        <v>4</v>
      </c>
      <c r="I848" s="9" t="str">
        <f>IF(Table13[[#This Row],[Previous Quartile Value]]="", "",
   IF(Table13[[#This Row],[Quartile Value]] &lt; Table13[[#This Row],[Previous Quartile Value]], "Improved",
   IF(Table13[[#This Row],[Quartile Value]] &gt; Table13[[#This Row],[Previous Quartile Value]], "Dropped", "Same")))</f>
        <v>Same</v>
      </c>
      <c r="J848" s="10" t="s">
        <v>18</v>
      </c>
      <c r="K848" s="7" t="str">
        <f>VLOOKUP(J848,Introduction!$B$6:$C$14,2)</f>
        <v>Midlands</v>
      </c>
      <c r="L848" s="11">
        <v>436</v>
      </c>
      <c r="M848" s="12" t="s">
        <v>573</v>
      </c>
    </row>
    <row r="849" spans="1:13" ht="19.95" customHeight="1" x14ac:dyDescent="0.25">
      <c r="A849" s="41">
        <v>45413</v>
      </c>
      <c r="B849" s="47">
        <f>MONTH(Table13[[#This Row],[YearMonth]])</f>
        <v>5</v>
      </c>
      <c r="C849" s="9" t="s">
        <v>32</v>
      </c>
      <c r="D849" s="6" t="s">
        <v>330</v>
      </c>
      <c r="E849" s="6">
        <f>IF(Table13[[#This Row],[Quartile]]="TopQuartile", 1,
 IF(Table13[[#This Row],[Quartile]]="SecondQuartile", 2,
 IF(Table13[[#This Row],[Quartile]]="ThirdQuartile", 3,
 IF(Table13[[#This Row],[Quartile]]="FourthQuartile", 4, ""))))</f>
        <v>1</v>
      </c>
      <c r="F849" s="9" t="s">
        <v>618</v>
      </c>
      <c r="G849" s="9" t="str" cm="1">
        <f t="array" ref="G849">IFERROR(
  INDEX(Table13[Quartile],
    MATCH(1,
      (Table13[[#This Row],[OrgName]]=Table13[OrgName]) *
      (Table13[[#This Row],[Month Number]]-1=Table13[Month Number]),
    0)
  ),
"")</f>
        <v>SecondQuartile</v>
      </c>
      <c r="H849" s="9">
        <f>IF(Table13[[#This Row],[Previous Quartile]]="TopQuartile", 1,
 IF(Table13[[#This Row],[Previous Quartile]]="SecondQuartile", 2,
 IF(Table13[[#This Row],[Previous Quartile]]="ThirdQuartile", 3,
 IF(Table13[[#This Row],[Previous Quartile]]="FourthQuartile", 4, ""))))</f>
        <v>2</v>
      </c>
      <c r="I849" s="9" t="str">
        <f>IF(Table13[[#This Row],[Previous Quartile Value]]="", "",
   IF(Table13[[#This Row],[Quartile Value]] &lt; Table13[[#This Row],[Previous Quartile Value]], "Improved",
   IF(Table13[[#This Row],[Quartile Value]] &gt; Table13[[#This Row],[Previous Quartile Value]], "Dropped", "Same")))</f>
        <v>Improved</v>
      </c>
      <c r="J849" s="10" t="s">
        <v>10</v>
      </c>
      <c r="K849" s="7" t="str">
        <f>VLOOKUP(J849,Introduction!$B$6:$C$14,2)</f>
        <v>Special Health Authorities and other statutory bodies</v>
      </c>
      <c r="L849" s="11">
        <v>907</v>
      </c>
      <c r="M849" s="12" t="s">
        <v>33</v>
      </c>
    </row>
    <row r="850" spans="1:13" ht="19.95" customHeight="1" x14ac:dyDescent="0.25">
      <c r="A850" s="41">
        <v>45413</v>
      </c>
      <c r="B850" s="47">
        <f>MONTH(Table13[[#This Row],[YearMonth]])</f>
        <v>5</v>
      </c>
      <c r="C850" s="9" t="s">
        <v>120</v>
      </c>
      <c r="D850" s="6" t="s">
        <v>330</v>
      </c>
      <c r="E850" s="6">
        <f>IF(Table13[[#This Row],[Quartile]]="TopQuartile", 1,
 IF(Table13[[#This Row],[Quartile]]="SecondQuartile", 2,
 IF(Table13[[#This Row],[Quartile]]="ThirdQuartile", 3,
 IF(Table13[[#This Row],[Quartile]]="FourthQuartile", 4, ""))))</f>
        <v>1</v>
      </c>
      <c r="F850" s="9" t="s">
        <v>619</v>
      </c>
      <c r="G850" s="9" t="str" cm="1">
        <f t="array" ref="G850">IFERROR(
  INDEX(Table13[Quartile],
    MATCH(1,
      (Table13[[#This Row],[OrgName]]=Table13[OrgName]) *
      (Table13[[#This Row],[Month Number]]-1=Table13[Month Number]),
    0)
  ),
"")</f>
        <v>TopQuartile</v>
      </c>
      <c r="H850" s="9">
        <f>IF(Table13[[#This Row],[Previous Quartile]]="TopQuartile", 1,
 IF(Table13[[#This Row],[Previous Quartile]]="SecondQuartile", 2,
 IF(Table13[[#This Row],[Previous Quartile]]="ThirdQuartile", 3,
 IF(Table13[[#This Row],[Previous Quartile]]="FourthQuartile", 4, ""))))</f>
        <v>1</v>
      </c>
      <c r="I850" s="9" t="str">
        <f>IF(Table13[[#This Row],[Previous Quartile Value]]="", "",
   IF(Table13[[#This Row],[Quartile Value]] &lt; Table13[[#This Row],[Previous Quartile Value]], "Improved",
   IF(Table13[[#This Row],[Quartile Value]] &gt; Table13[[#This Row],[Previous Quartile Value]], "Dropped", "Same")))</f>
        <v>Same</v>
      </c>
      <c r="J850" s="10" t="s">
        <v>10</v>
      </c>
      <c r="K850" s="7" t="str">
        <f>VLOOKUP(J850,Introduction!$B$6:$C$14,2)</f>
        <v>Special Health Authorities and other statutory bodies</v>
      </c>
      <c r="L850" s="11">
        <v>980</v>
      </c>
      <c r="M850" s="12" t="s">
        <v>33</v>
      </c>
    </row>
    <row r="851" spans="1:13" ht="19.95" customHeight="1" x14ac:dyDescent="0.25">
      <c r="A851" s="41">
        <v>45413</v>
      </c>
      <c r="B851" s="47">
        <f>MONTH(Table13[[#This Row],[YearMonth]])</f>
        <v>5</v>
      </c>
      <c r="C851" s="9" t="s">
        <v>155</v>
      </c>
      <c r="D851" s="6" t="s">
        <v>338</v>
      </c>
      <c r="E851" s="6">
        <f>IF(Table13[[#This Row],[Quartile]]="TopQuartile", 1,
 IF(Table13[[#This Row],[Quartile]]="SecondQuartile", 2,
 IF(Table13[[#This Row],[Quartile]]="ThirdQuartile", 3,
 IF(Table13[[#This Row],[Quartile]]="FourthQuartile", 4, ""))))</f>
        <v>2</v>
      </c>
      <c r="F851" s="9" t="s">
        <v>620</v>
      </c>
      <c r="G851" s="9" t="str" cm="1">
        <f t="array" ref="G851">IFERROR(
  INDEX(Table13[Quartile],
    MATCH(1,
      (Table13[[#This Row],[OrgName]]=Table13[OrgName]) *
      (Table13[[#This Row],[Month Number]]-1=Table13[Month Number]),
    0)
  ),
"")</f>
        <v>SecondQuartile</v>
      </c>
      <c r="H851" s="9">
        <f>IF(Table13[[#This Row],[Previous Quartile]]="TopQuartile", 1,
 IF(Table13[[#This Row],[Previous Quartile]]="SecondQuartile", 2,
 IF(Table13[[#This Row],[Previous Quartile]]="ThirdQuartile", 3,
 IF(Table13[[#This Row],[Previous Quartile]]="FourthQuartile", 4, ""))))</f>
        <v>2</v>
      </c>
      <c r="I851" s="9" t="str">
        <f>IF(Table13[[#This Row],[Previous Quartile Value]]="", "",
   IF(Table13[[#This Row],[Quartile Value]] &lt; Table13[[#This Row],[Previous Quartile Value]], "Improved",
   IF(Table13[[#This Row],[Quartile Value]] &gt; Table13[[#This Row],[Previous Quartile Value]], "Dropped", "Same")))</f>
        <v>Same</v>
      </c>
      <c r="J851" s="10" t="s">
        <v>10</v>
      </c>
      <c r="K851" s="7" t="str">
        <f>VLOOKUP(J851,Introduction!$B$6:$C$14,2)</f>
        <v>Special Health Authorities and other statutory bodies</v>
      </c>
      <c r="L851" s="11">
        <v>918</v>
      </c>
      <c r="M851" s="12" t="s">
        <v>33</v>
      </c>
    </row>
    <row r="852" spans="1:13" ht="19.95" customHeight="1" x14ac:dyDescent="0.25">
      <c r="A852" s="41">
        <v>45413</v>
      </c>
      <c r="B852" s="47">
        <f>MONTH(Table13[[#This Row],[YearMonth]])</f>
        <v>5</v>
      </c>
      <c r="C852" s="9" t="s">
        <v>176</v>
      </c>
      <c r="D852" s="6" t="s">
        <v>338</v>
      </c>
      <c r="E852" s="6">
        <f>IF(Table13[[#This Row],[Quartile]]="TopQuartile", 1,
 IF(Table13[[#This Row],[Quartile]]="SecondQuartile", 2,
 IF(Table13[[#This Row],[Quartile]]="ThirdQuartile", 3,
 IF(Table13[[#This Row],[Quartile]]="FourthQuartile", 4, ""))))</f>
        <v>2</v>
      </c>
      <c r="F852" s="9" t="s">
        <v>622</v>
      </c>
      <c r="G852" s="9" t="str" cm="1">
        <f t="array" ref="G852">IFERROR(
  INDEX(Table13[Quartile],
    MATCH(1,
      (Table13[[#This Row],[OrgName]]=Table13[OrgName]) *
      (Table13[[#This Row],[Month Number]]-1=Table13[Month Number]),
    0)
  ),
"")</f>
        <v>SecondQuartile</v>
      </c>
      <c r="H852" s="9">
        <f>IF(Table13[[#This Row],[Previous Quartile]]="TopQuartile", 1,
 IF(Table13[[#This Row],[Previous Quartile]]="SecondQuartile", 2,
 IF(Table13[[#This Row],[Previous Quartile]]="ThirdQuartile", 3,
 IF(Table13[[#This Row],[Previous Quartile]]="FourthQuartile", 4, ""))))</f>
        <v>2</v>
      </c>
      <c r="I852" s="9" t="str">
        <f>IF(Table13[[#This Row],[Previous Quartile Value]]="", "",
   IF(Table13[[#This Row],[Quartile Value]] &lt; Table13[[#This Row],[Previous Quartile Value]], "Improved",
   IF(Table13[[#This Row],[Quartile Value]] &gt; Table13[[#This Row],[Previous Quartile Value]], "Dropped", "Same")))</f>
        <v>Same</v>
      </c>
      <c r="J852" s="10" t="s">
        <v>12</v>
      </c>
      <c r="K852" s="7" t="str">
        <f>VLOOKUP(J852,Introduction!$B$6:$C$14,2)</f>
        <v>London</v>
      </c>
      <c r="L852" s="11">
        <v>44</v>
      </c>
      <c r="M852" s="12" t="s">
        <v>33</v>
      </c>
    </row>
    <row r="853" spans="1:13" ht="19.95" customHeight="1" x14ac:dyDescent="0.25">
      <c r="A853" s="41">
        <v>45413</v>
      </c>
      <c r="B853" s="47">
        <f>MONTH(Table13[[#This Row],[YearMonth]])</f>
        <v>5</v>
      </c>
      <c r="C853" s="9" t="s">
        <v>163</v>
      </c>
      <c r="D853" s="6" t="s">
        <v>338</v>
      </c>
      <c r="E853" s="6">
        <f>IF(Table13[[#This Row],[Quartile]]="TopQuartile", 1,
 IF(Table13[[#This Row],[Quartile]]="SecondQuartile", 2,
 IF(Table13[[#This Row],[Quartile]]="ThirdQuartile", 3,
 IF(Table13[[#This Row],[Quartile]]="FourthQuartile", 4, ""))))</f>
        <v>2</v>
      </c>
      <c r="F853" s="9" t="s">
        <v>621</v>
      </c>
      <c r="G853" s="9" t="str" cm="1">
        <f t="array" ref="G853">IFERROR(
  INDEX(Table13[Quartile],
    MATCH(1,
      (Table13[[#This Row],[OrgName]]=Table13[OrgName]) *
      (Table13[[#This Row],[Month Number]]-1=Table13[Month Number]),
    0)
  ),
"")</f>
        <v>SecondQuartile</v>
      </c>
      <c r="H853" s="9">
        <f>IF(Table13[[#This Row],[Previous Quartile]]="TopQuartile", 1,
 IF(Table13[[#This Row],[Previous Quartile]]="SecondQuartile", 2,
 IF(Table13[[#This Row],[Previous Quartile]]="ThirdQuartile", 3,
 IF(Table13[[#This Row],[Previous Quartile]]="FourthQuartile", 4, ""))))</f>
        <v>2</v>
      </c>
      <c r="I853" s="9" t="str">
        <f>IF(Table13[[#This Row],[Previous Quartile Value]]="", "",
   IF(Table13[[#This Row],[Quartile Value]] &lt; Table13[[#This Row],[Previous Quartile Value]], "Improved",
   IF(Table13[[#This Row],[Quartile Value]] &gt; Table13[[#This Row],[Previous Quartile Value]], "Dropped", "Same")))</f>
        <v>Same</v>
      </c>
      <c r="J853" s="10" t="s">
        <v>10</v>
      </c>
      <c r="K853" s="7" t="str">
        <f>VLOOKUP(J853,Introduction!$B$6:$C$14,2)</f>
        <v>Special Health Authorities and other statutory bodies</v>
      </c>
      <c r="L853" s="11">
        <v>914</v>
      </c>
      <c r="M853" s="12" t="s">
        <v>33</v>
      </c>
    </row>
    <row r="854" spans="1:13" ht="19.95" customHeight="1" x14ac:dyDescent="0.25">
      <c r="A854" s="41">
        <v>45413</v>
      </c>
      <c r="B854" s="47">
        <f>MONTH(Table13[[#This Row],[YearMonth]])</f>
        <v>5</v>
      </c>
      <c r="C854" s="9" t="s">
        <v>212</v>
      </c>
      <c r="D854" s="6" t="s">
        <v>341</v>
      </c>
      <c r="E854" s="6">
        <f>IF(Table13[[#This Row],[Quartile]]="TopQuartile", 1,
 IF(Table13[[#This Row],[Quartile]]="SecondQuartile", 2,
 IF(Table13[[#This Row],[Quartile]]="ThirdQuartile", 3,
 IF(Table13[[#This Row],[Quartile]]="FourthQuartile", 4, ""))))</f>
        <v>3</v>
      </c>
      <c r="F854" s="9" t="s">
        <v>623</v>
      </c>
      <c r="G854" s="9" t="str" cm="1">
        <f t="array" ref="G854">IFERROR(
  INDEX(Table13[Quartile],
    MATCH(1,
      (Table13[[#This Row],[OrgName]]=Table13[OrgName]) *
      (Table13[[#This Row],[Month Number]]-1=Table13[Month Number]),
    0)
  ),
"")</f>
        <v>ThirdQuartile</v>
      </c>
      <c r="H854" s="9">
        <f>IF(Table13[[#This Row],[Previous Quartile]]="TopQuartile", 1,
 IF(Table13[[#This Row],[Previous Quartile]]="SecondQuartile", 2,
 IF(Table13[[#This Row],[Previous Quartile]]="ThirdQuartile", 3,
 IF(Table13[[#This Row],[Previous Quartile]]="FourthQuartile", 4, ""))))</f>
        <v>3</v>
      </c>
      <c r="I854" s="9" t="str">
        <f>IF(Table13[[#This Row],[Previous Quartile Value]]="", "",
   IF(Table13[[#This Row],[Quartile Value]] &lt; Table13[[#This Row],[Previous Quartile Value]], "Improved",
   IF(Table13[[#This Row],[Quartile Value]] &gt; Table13[[#This Row],[Previous Quartile Value]], "Dropped", "Same")))</f>
        <v>Same</v>
      </c>
      <c r="J854" s="10" t="s">
        <v>10</v>
      </c>
      <c r="K854" s="7" t="str">
        <f>VLOOKUP(J854,Introduction!$B$6:$C$14,2)</f>
        <v>Special Health Authorities and other statutory bodies</v>
      </c>
      <c r="L854" s="11">
        <v>65</v>
      </c>
      <c r="M854" s="12" t="s">
        <v>33</v>
      </c>
    </row>
    <row r="855" spans="1:13" ht="19.95" customHeight="1" x14ac:dyDescent="0.25">
      <c r="A855" s="41">
        <v>45413</v>
      </c>
      <c r="B855" s="47">
        <f>MONTH(Table13[[#This Row],[YearMonth]])</f>
        <v>5</v>
      </c>
      <c r="C855" s="9" t="s">
        <v>218</v>
      </c>
      <c r="D855" s="6" t="s">
        <v>350</v>
      </c>
      <c r="E855" s="6">
        <f>IF(Table13[[#This Row],[Quartile]]="TopQuartile", 1,
 IF(Table13[[#This Row],[Quartile]]="SecondQuartile", 2,
 IF(Table13[[#This Row],[Quartile]]="ThirdQuartile", 3,
 IF(Table13[[#This Row],[Quartile]]="FourthQuartile", 4, ""))))</f>
        <v>4</v>
      </c>
      <c r="F855" s="9" t="s">
        <v>624</v>
      </c>
      <c r="G855" s="9" t="str" cm="1">
        <f t="array" ref="G855">IFERROR(
  INDEX(Table13[Quartile],
    MATCH(1,
      (Table13[[#This Row],[OrgName]]=Table13[OrgName]) *
      (Table13[[#This Row],[Month Number]]-1=Table13[Month Number]),
    0)
  ),
"")</f>
        <v>ThirdQuartile</v>
      </c>
      <c r="H855" s="9">
        <f>IF(Table13[[#This Row],[Previous Quartile]]="TopQuartile", 1,
 IF(Table13[[#This Row],[Previous Quartile]]="SecondQuartile", 2,
 IF(Table13[[#This Row],[Previous Quartile]]="ThirdQuartile", 3,
 IF(Table13[[#This Row],[Previous Quartile]]="FourthQuartile", 4, ""))))</f>
        <v>3</v>
      </c>
      <c r="I855" s="9" t="str">
        <f>IF(Table13[[#This Row],[Previous Quartile Value]]="", "",
   IF(Table13[[#This Row],[Quartile Value]] &lt; Table13[[#This Row],[Previous Quartile Value]], "Improved",
   IF(Table13[[#This Row],[Quartile Value]] &gt; Table13[[#This Row],[Previous Quartile Value]], "Dropped", "Same")))</f>
        <v>Dropped</v>
      </c>
      <c r="J855" s="10" t="s">
        <v>10</v>
      </c>
      <c r="K855" s="7" t="str">
        <f>VLOOKUP(J855,Introduction!$B$6:$C$14,2)</f>
        <v>Special Health Authorities and other statutory bodies</v>
      </c>
      <c r="L855" s="11">
        <v>76</v>
      </c>
      <c r="M855" s="12" t="s">
        <v>33</v>
      </c>
    </row>
    <row r="856" spans="1:13" ht="19.95" customHeight="1" x14ac:dyDescent="0.25">
      <c r="A856" s="41">
        <v>45413</v>
      </c>
      <c r="B856" s="47">
        <f>MONTH(Table13[[#This Row],[YearMonth]])</f>
        <v>5</v>
      </c>
      <c r="C856" s="9" t="s">
        <v>294</v>
      </c>
      <c r="D856" s="6" t="s">
        <v>350</v>
      </c>
      <c r="E856" s="6">
        <f>IF(Table13[[#This Row],[Quartile]]="TopQuartile", 1,
 IF(Table13[[#This Row],[Quartile]]="SecondQuartile", 2,
 IF(Table13[[#This Row],[Quartile]]="ThirdQuartile", 3,
 IF(Table13[[#This Row],[Quartile]]="FourthQuartile", 4, ""))))</f>
        <v>4</v>
      </c>
      <c r="F856" s="9" t="s">
        <v>625</v>
      </c>
      <c r="G856" s="9" t="str" cm="1">
        <f t="array" ref="G856">IFERROR(
  INDEX(Table13[Quartile],
    MATCH(1,
      (Table13[[#This Row],[OrgName]]=Table13[OrgName]) *
      (Table13[[#This Row],[Month Number]]-1=Table13[Month Number]),
    0)
  ),
"")</f>
        <v>FourthQuartile</v>
      </c>
      <c r="H856" s="9">
        <f>IF(Table13[[#This Row],[Previous Quartile]]="TopQuartile", 1,
 IF(Table13[[#This Row],[Previous Quartile]]="SecondQuartile", 2,
 IF(Table13[[#This Row],[Previous Quartile]]="ThirdQuartile", 3,
 IF(Table13[[#This Row],[Previous Quartile]]="FourthQuartile", 4, ""))))</f>
        <v>4</v>
      </c>
      <c r="I856" s="9" t="str">
        <f>IF(Table13[[#This Row],[Previous Quartile Value]]="", "",
   IF(Table13[[#This Row],[Quartile Value]] &lt; Table13[[#This Row],[Previous Quartile Value]], "Improved",
   IF(Table13[[#This Row],[Quartile Value]] &gt; Table13[[#This Row],[Previous Quartile Value]], "Dropped", "Same")))</f>
        <v>Same</v>
      </c>
      <c r="J856" s="10" t="s">
        <v>10</v>
      </c>
      <c r="K856" s="7" t="str">
        <f>VLOOKUP(J856,Introduction!$B$6:$C$14,2)</f>
        <v>Special Health Authorities and other statutory bodies</v>
      </c>
      <c r="L856" s="11">
        <v>990</v>
      </c>
      <c r="M856" s="12" t="s">
        <v>33</v>
      </c>
    </row>
    <row r="857" spans="1:13" ht="19.95" customHeight="1" x14ac:dyDescent="0.25">
      <c r="A857" s="41">
        <v>45413</v>
      </c>
      <c r="B857" s="47">
        <f>MONTH(Table13[[#This Row],[YearMonth]])</f>
        <v>5</v>
      </c>
      <c r="C857" s="9" t="s">
        <v>299</v>
      </c>
      <c r="D857" s="6" t="s">
        <v>350</v>
      </c>
      <c r="E857" s="6">
        <f>IF(Table13[[#This Row],[Quartile]]="TopQuartile", 1,
 IF(Table13[[#This Row],[Quartile]]="SecondQuartile", 2,
 IF(Table13[[#This Row],[Quartile]]="ThirdQuartile", 3,
 IF(Table13[[#This Row],[Quartile]]="FourthQuartile", 4, ""))))</f>
        <v>4</v>
      </c>
      <c r="F857" s="9" t="s">
        <v>626</v>
      </c>
      <c r="G857" s="9" t="str" cm="1">
        <f t="array" ref="G857">IFERROR(
  INDEX(Table13[Quartile],
    MATCH(1,
      (Table13[[#This Row],[OrgName]]=Table13[OrgName]) *
      (Table13[[#This Row],[Month Number]]-1=Table13[Month Number]),
    0)
  ),
"")</f>
        <v>FourthQuartile</v>
      </c>
      <c r="H857" s="9">
        <f>IF(Table13[[#This Row],[Previous Quartile]]="TopQuartile", 1,
 IF(Table13[[#This Row],[Previous Quartile]]="SecondQuartile", 2,
 IF(Table13[[#This Row],[Previous Quartile]]="ThirdQuartile", 3,
 IF(Table13[[#This Row],[Previous Quartile]]="FourthQuartile", 4, ""))))</f>
        <v>4</v>
      </c>
      <c r="I857" s="9" t="str">
        <f>IF(Table13[[#This Row],[Previous Quartile Value]]="", "",
   IF(Table13[[#This Row],[Quartile Value]] &lt; Table13[[#This Row],[Previous Quartile Value]], "Improved",
   IF(Table13[[#This Row],[Quartile Value]] &gt; Table13[[#This Row],[Previous Quartile Value]], "Dropped", "Same")))</f>
        <v>Same</v>
      </c>
      <c r="J857" s="10" t="s">
        <v>10</v>
      </c>
      <c r="K857" s="7" t="str">
        <f>VLOOKUP(J857,Introduction!$B$6:$C$14,2)</f>
        <v>Special Health Authorities and other statutory bodies</v>
      </c>
      <c r="L857" s="11">
        <v>912</v>
      </c>
      <c r="M857" s="12" t="s">
        <v>33</v>
      </c>
    </row>
    <row r="858" spans="1:13" ht="19.95" customHeight="1" x14ac:dyDescent="0.25">
      <c r="A858" s="41">
        <v>45413</v>
      </c>
      <c r="B858" s="47">
        <f>MONTH(Table13[[#This Row],[YearMonth]])</f>
        <v>5</v>
      </c>
      <c r="C858" s="9" t="s">
        <v>300</v>
      </c>
      <c r="D858" s="6" t="s">
        <v>350</v>
      </c>
      <c r="E858" s="6">
        <f>IF(Table13[[#This Row],[Quartile]]="TopQuartile", 1,
 IF(Table13[[#This Row],[Quartile]]="SecondQuartile", 2,
 IF(Table13[[#This Row],[Quartile]]="ThirdQuartile", 3,
 IF(Table13[[#This Row],[Quartile]]="FourthQuartile", 4, ""))))</f>
        <v>4</v>
      </c>
      <c r="F858" s="9" t="s">
        <v>627</v>
      </c>
      <c r="G858" s="9" t="str" cm="1">
        <f t="array" ref="G858">IFERROR(
  INDEX(Table13[Quartile],
    MATCH(1,
      (Table13[[#This Row],[OrgName]]=Table13[OrgName]) *
      (Table13[[#This Row],[Month Number]]-1=Table13[Month Number]),
    0)
  ),
"")</f>
        <v>FourthQuartile</v>
      </c>
      <c r="H858" s="9">
        <f>IF(Table13[[#This Row],[Previous Quartile]]="TopQuartile", 1,
 IF(Table13[[#This Row],[Previous Quartile]]="SecondQuartile", 2,
 IF(Table13[[#This Row],[Previous Quartile]]="ThirdQuartile", 3,
 IF(Table13[[#This Row],[Previous Quartile]]="FourthQuartile", 4, ""))))</f>
        <v>4</v>
      </c>
      <c r="I858" s="9" t="str">
        <f>IF(Table13[[#This Row],[Previous Quartile Value]]="", "",
   IF(Table13[[#This Row],[Quartile Value]] &lt; Table13[[#This Row],[Previous Quartile Value]], "Improved",
   IF(Table13[[#This Row],[Quartile Value]] &gt; Table13[[#This Row],[Previous Quartile Value]], "Dropped", "Same")))</f>
        <v>Same</v>
      </c>
      <c r="J858" s="10" t="s">
        <v>10</v>
      </c>
      <c r="K858" s="7" t="str">
        <f>VLOOKUP(J858,Introduction!$B$6:$C$14,2)</f>
        <v>Special Health Authorities and other statutory bodies</v>
      </c>
      <c r="L858" s="11">
        <v>441</v>
      </c>
      <c r="M858" s="12" t="s">
        <v>33</v>
      </c>
    </row>
    <row r="859" spans="1:13" ht="19.95" customHeight="1" x14ac:dyDescent="0.25">
      <c r="A859" s="41">
        <v>45413</v>
      </c>
      <c r="B859" s="47">
        <f>MONTH(Table13[[#This Row],[YearMonth]])</f>
        <v>5</v>
      </c>
      <c r="C859" s="9" t="s">
        <v>313</v>
      </c>
      <c r="D859" s="6" t="s">
        <v>350</v>
      </c>
      <c r="E859" s="6">
        <f>IF(Table13[[#This Row],[Quartile]]="TopQuartile", 1,
 IF(Table13[[#This Row],[Quartile]]="SecondQuartile", 2,
 IF(Table13[[#This Row],[Quartile]]="ThirdQuartile", 3,
 IF(Table13[[#This Row],[Quartile]]="FourthQuartile", 4, ""))))</f>
        <v>4</v>
      </c>
      <c r="F859" s="9" t="s">
        <v>628</v>
      </c>
      <c r="G859" s="9" t="str" cm="1">
        <f t="array" ref="G859">IFERROR(
  INDEX(Table13[Quartile],
    MATCH(1,
      (Table13[[#This Row],[OrgName]]=Table13[OrgName]) *
      (Table13[[#This Row],[Month Number]]-1=Table13[Month Number]),
    0)
  ),
"")</f>
        <v>FourthQuartile</v>
      </c>
      <c r="H859" s="9">
        <f>IF(Table13[[#This Row],[Previous Quartile]]="TopQuartile", 1,
 IF(Table13[[#This Row],[Previous Quartile]]="SecondQuartile", 2,
 IF(Table13[[#This Row],[Previous Quartile]]="ThirdQuartile", 3,
 IF(Table13[[#This Row],[Previous Quartile]]="FourthQuartile", 4, ""))))</f>
        <v>4</v>
      </c>
      <c r="I859" s="9" t="str">
        <f>IF(Table13[[#This Row],[Previous Quartile Value]]="", "",
   IF(Table13[[#This Row],[Quartile Value]] &lt; Table13[[#This Row],[Previous Quartile Value]], "Improved",
   IF(Table13[[#This Row],[Quartile Value]] &gt; Table13[[#This Row],[Previous Quartile Value]], "Dropped", "Same")))</f>
        <v>Same</v>
      </c>
      <c r="J859" s="10" t="s">
        <v>10</v>
      </c>
      <c r="K859" s="7" t="str">
        <f>VLOOKUP(J859,Introduction!$B$6:$C$14,2)</f>
        <v>Special Health Authorities and other statutory bodies</v>
      </c>
      <c r="L859" s="11">
        <v>71</v>
      </c>
      <c r="M859" s="12" t="s">
        <v>33</v>
      </c>
    </row>
    <row r="860" spans="1:13" ht="19.95" customHeight="1" x14ac:dyDescent="0.25">
      <c r="A860" s="41">
        <v>45383</v>
      </c>
      <c r="B860" s="47">
        <f>MONTH(Table13[[#This Row],[YearMonth]])</f>
        <v>4</v>
      </c>
      <c r="C860" s="9" t="s">
        <v>52</v>
      </c>
      <c r="D860" s="6" t="s">
        <v>330</v>
      </c>
      <c r="E860" s="6">
        <f>IF(Table13[[#This Row],[Quartile]]="TopQuartile", 1,
 IF(Table13[[#This Row],[Quartile]]="SecondQuartile", 2,
 IF(Table13[[#This Row],[Quartile]]="ThirdQuartile", 3,
 IF(Table13[[#This Row],[Quartile]]="FourthQuartile", 4, ""))))</f>
        <v>1</v>
      </c>
      <c r="F860" s="9" t="s">
        <v>333</v>
      </c>
      <c r="G860" s="9" t="str" cm="1">
        <f t="array" ref="G860">IFERROR(
  INDEX(Table13[Quartile],
    MATCH(1,
      (Table13[[#This Row],[OrgName]]=Table13[OrgName]) *
      (Table13[[#This Row],[Month Number]]-1=Table13[Month Number]),
    0)
  ),
"")</f>
        <v>TopQuartile</v>
      </c>
      <c r="H860" s="9">
        <f>IF(Table13[[#This Row],[Previous Quartile]]="TopQuartile", 1,
 IF(Table13[[#This Row],[Previous Quartile]]="SecondQuartile", 2,
 IF(Table13[[#This Row],[Previous Quartile]]="ThirdQuartile", 3,
 IF(Table13[[#This Row],[Previous Quartile]]="FourthQuartile", 4, ""))))</f>
        <v>1</v>
      </c>
      <c r="I860" s="9" t="str">
        <f>IF(Table13[[#This Row],[Previous Quartile Value]]="", "",
   IF(Table13[[#This Row],[Quartile Value]] &lt; Table13[[#This Row],[Previous Quartile Value]], "Improved",
   IF(Table13[[#This Row],[Quartile Value]] &gt; Table13[[#This Row],[Previous Quartile Value]], "Dropped", "Same")))</f>
        <v>Same</v>
      </c>
      <c r="J860" s="9" t="s">
        <v>12</v>
      </c>
      <c r="K860" s="7" t="str">
        <f>VLOOKUP(J860,Introduction!$B$6:$C$14,2)</f>
        <v>London</v>
      </c>
      <c r="L860" s="11">
        <v>197</v>
      </c>
      <c r="M860" s="12" t="s">
        <v>332</v>
      </c>
    </row>
    <row r="861" spans="1:13" ht="19.95" customHeight="1" x14ac:dyDescent="0.25">
      <c r="A861" s="41">
        <v>45383</v>
      </c>
      <c r="B861" s="47">
        <f>MONTH(Table13[[#This Row],[YearMonth]])</f>
        <v>4</v>
      </c>
      <c r="C861" s="9" t="s">
        <v>81</v>
      </c>
      <c r="D861" s="6" t="s">
        <v>330</v>
      </c>
      <c r="E861" s="6">
        <f>IF(Table13[[#This Row],[Quartile]]="TopQuartile", 1,
 IF(Table13[[#This Row],[Quartile]]="SecondQuartile", 2,
 IF(Table13[[#This Row],[Quartile]]="ThirdQuartile", 3,
 IF(Table13[[#This Row],[Quartile]]="FourthQuartile", 4, ""))))</f>
        <v>1</v>
      </c>
      <c r="F861" s="9" t="s">
        <v>334</v>
      </c>
      <c r="G861" s="9" t="str" cm="1">
        <f t="array" ref="G861">IFERROR(
  INDEX(Table13[Quartile],
    MATCH(1,
      (Table13[[#This Row],[OrgName]]=Table13[OrgName]) *
      (Table13[[#This Row],[Month Number]]-1=Table13[Month Number]),
    0)
  ),
"")</f>
        <v>TopQuartile</v>
      </c>
      <c r="H861" s="9">
        <f>IF(Table13[[#This Row],[Previous Quartile]]="TopQuartile", 1,
 IF(Table13[[#This Row],[Previous Quartile]]="SecondQuartile", 2,
 IF(Table13[[#This Row],[Previous Quartile]]="ThirdQuartile", 3,
 IF(Table13[[#This Row],[Previous Quartile]]="FourthQuartile", 4, ""))))</f>
        <v>1</v>
      </c>
      <c r="I861" s="9" t="str">
        <f>IF(Table13[[#This Row],[Previous Quartile Value]]="", "",
   IF(Table13[[#This Row],[Quartile Value]] &lt; Table13[[#This Row],[Previous Quartile Value]], "Improved",
   IF(Table13[[#This Row],[Quartile Value]] &gt; Table13[[#This Row],[Previous Quartile Value]], "Dropped", "Same")))</f>
        <v>Same</v>
      </c>
      <c r="J861" s="9" t="s">
        <v>16</v>
      </c>
      <c r="K861" s="7" t="str">
        <f>VLOOKUP(J861,Introduction!$B$6:$C$14,2)</f>
        <v>South East</v>
      </c>
      <c r="L861" s="11">
        <v>359</v>
      </c>
      <c r="M861" s="12" t="s">
        <v>332</v>
      </c>
    </row>
    <row r="862" spans="1:13" ht="19.95" customHeight="1" x14ac:dyDescent="0.25">
      <c r="A862" s="41">
        <v>45383</v>
      </c>
      <c r="B862" s="47">
        <f>MONTH(Table13[[#This Row],[YearMonth]])</f>
        <v>4</v>
      </c>
      <c r="C862" s="9" t="s">
        <v>85</v>
      </c>
      <c r="D862" s="6" t="s">
        <v>330</v>
      </c>
      <c r="E862" s="6">
        <f>IF(Table13[[#This Row],[Quartile]]="TopQuartile", 1,
 IF(Table13[[#This Row],[Quartile]]="SecondQuartile", 2,
 IF(Table13[[#This Row],[Quartile]]="ThirdQuartile", 3,
 IF(Table13[[#This Row],[Quartile]]="FourthQuartile", 4, ""))))</f>
        <v>1</v>
      </c>
      <c r="F862" s="9" t="s">
        <v>335</v>
      </c>
      <c r="G862" s="9" t="str" cm="1">
        <f t="array" ref="G862">IFERROR(
  INDEX(Table13[Quartile],
    MATCH(1,
      (Table13[[#This Row],[OrgName]]=Table13[OrgName]) *
      (Table13[[#This Row],[Month Number]]-1=Table13[Month Number]),
    0)
  ),
"")</f>
        <v>TopQuartile</v>
      </c>
      <c r="H862" s="9">
        <f>IF(Table13[[#This Row],[Previous Quartile]]="TopQuartile", 1,
 IF(Table13[[#This Row],[Previous Quartile]]="SecondQuartile", 2,
 IF(Table13[[#This Row],[Previous Quartile]]="ThirdQuartile", 3,
 IF(Table13[[#This Row],[Previous Quartile]]="FourthQuartile", 4, ""))))</f>
        <v>1</v>
      </c>
      <c r="I862" s="9" t="str">
        <f>IF(Table13[[#This Row],[Previous Quartile Value]]="", "",
   IF(Table13[[#This Row],[Quartile Value]] &lt; Table13[[#This Row],[Previous Quartile Value]], "Improved",
   IF(Table13[[#This Row],[Quartile Value]] &gt; Table13[[#This Row],[Previous Quartile Value]], "Dropped", "Same")))</f>
        <v>Same</v>
      </c>
      <c r="J862" s="9" t="s">
        <v>24</v>
      </c>
      <c r="K862" s="7" t="str">
        <f>VLOOKUP(J862,Introduction!$B$6:$C$14,2)</f>
        <v>North East and Yorkshire</v>
      </c>
      <c r="L862" s="11">
        <v>319</v>
      </c>
      <c r="M862" s="12" t="s">
        <v>332</v>
      </c>
    </row>
    <row r="863" spans="1:13" ht="19.95" customHeight="1" x14ac:dyDescent="0.25">
      <c r="A863" s="41">
        <v>45383</v>
      </c>
      <c r="B863" s="47">
        <f>MONTH(Table13[[#This Row],[YearMonth]])</f>
        <v>4</v>
      </c>
      <c r="C863" s="9" t="s">
        <v>40</v>
      </c>
      <c r="D863" s="6" t="s">
        <v>330</v>
      </c>
      <c r="E863" s="6">
        <f>IF(Table13[[#This Row],[Quartile]]="TopQuartile", 1,
 IF(Table13[[#This Row],[Quartile]]="SecondQuartile", 2,
 IF(Table13[[#This Row],[Quartile]]="ThirdQuartile", 3,
 IF(Table13[[#This Row],[Quartile]]="FourthQuartile", 4, ""))))</f>
        <v>1</v>
      </c>
      <c r="F863" s="9" t="s">
        <v>331</v>
      </c>
      <c r="G863" s="9" t="str" cm="1">
        <f t="array" ref="G863">IFERROR(
  INDEX(Table13[Quartile],
    MATCH(1,
      (Table13[[#This Row],[OrgName]]=Table13[OrgName]) *
      (Table13[[#This Row],[Month Number]]-1=Table13[Month Number]),
    0)
  ),
"")</f>
        <v>TopQuartile</v>
      </c>
      <c r="H863" s="9">
        <f>IF(Table13[[#This Row],[Previous Quartile]]="TopQuartile", 1,
 IF(Table13[[#This Row],[Previous Quartile]]="SecondQuartile", 2,
 IF(Table13[[#This Row],[Previous Quartile]]="ThirdQuartile", 3,
 IF(Table13[[#This Row],[Previous Quartile]]="FourthQuartile", 4, ""))))</f>
        <v>1</v>
      </c>
      <c r="I863" s="9" t="str">
        <f>IF(Table13[[#This Row],[Previous Quartile Value]]="", "",
   IF(Table13[[#This Row],[Quartile Value]] &lt; Table13[[#This Row],[Previous Quartile Value]], "Improved",
   IF(Table13[[#This Row],[Quartile Value]] &gt; Table13[[#This Row],[Previous Quartile Value]], "Dropped", "Same")))</f>
        <v>Same</v>
      </c>
      <c r="J863" s="9" t="s">
        <v>16</v>
      </c>
      <c r="K863" s="7" t="str">
        <f>VLOOKUP(J863,Introduction!$B$6:$C$14,2)</f>
        <v>South East</v>
      </c>
      <c r="L863" s="11">
        <v>374</v>
      </c>
      <c r="M863" s="12" t="s">
        <v>332</v>
      </c>
    </row>
    <row r="864" spans="1:13" ht="19.95" customHeight="1" x14ac:dyDescent="0.25">
      <c r="A864" s="41">
        <v>45383</v>
      </c>
      <c r="B864" s="47">
        <f>MONTH(Table13[[#This Row],[YearMonth]])</f>
        <v>4</v>
      </c>
      <c r="C864" s="9" t="s">
        <v>111</v>
      </c>
      <c r="D864" s="6" t="s">
        <v>338</v>
      </c>
      <c r="E864" s="6">
        <f>IF(Table13[[#This Row],[Quartile]]="TopQuartile", 1,
 IF(Table13[[#This Row],[Quartile]]="SecondQuartile", 2,
 IF(Table13[[#This Row],[Quartile]]="ThirdQuartile", 3,
 IF(Table13[[#This Row],[Quartile]]="FourthQuartile", 4, ""))))</f>
        <v>2</v>
      </c>
      <c r="F864" s="9" t="s">
        <v>339</v>
      </c>
      <c r="G864" s="9" t="str" cm="1">
        <f t="array" ref="G864">IFERROR(
  INDEX(Table13[Quartile],
    MATCH(1,
      (Table13[[#This Row],[OrgName]]=Table13[OrgName]) *
      (Table13[[#This Row],[Month Number]]-1=Table13[Month Number]),
    0)
  ),
"")</f>
        <v>TopQuartile</v>
      </c>
      <c r="H864" s="9">
        <f>IF(Table13[[#This Row],[Previous Quartile]]="TopQuartile", 1,
 IF(Table13[[#This Row],[Previous Quartile]]="SecondQuartile", 2,
 IF(Table13[[#This Row],[Previous Quartile]]="ThirdQuartile", 3,
 IF(Table13[[#This Row],[Previous Quartile]]="FourthQuartile", 4, ""))))</f>
        <v>1</v>
      </c>
      <c r="I864" s="9" t="str">
        <f>IF(Table13[[#This Row],[Previous Quartile Value]]="", "",
   IF(Table13[[#This Row],[Quartile Value]] &lt; Table13[[#This Row],[Previous Quartile Value]], "Improved",
   IF(Table13[[#This Row],[Quartile Value]] &gt; Table13[[#This Row],[Previous Quartile Value]], "Dropped", "Same")))</f>
        <v>Dropped</v>
      </c>
      <c r="J864" s="9" t="s">
        <v>20</v>
      </c>
      <c r="K864" s="7" t="str">
        <f>VLOOKUP(J864,Introduction!$B$6:$C$14,2)</f>
        <v>East of England</v>
      </c>
      <c r="L864" s="11">
        <v>432</v>
      </c>
      <c r="M864" s="12" t="s">
        <v>332</v>
      </c>
    </row>
    <row r="865" spans="1:13" ht="19.95" customHeight="1" x14ac:dyDescent="0.25">
      <c r="A865" s="41">
        <v>45383</v>
      </c>
      <c r="B865" s="47">
        <f>MONTH(Table13[[#This Row],[YearMonth]])</f>
        <v>4</v>
      </c>
      <c r="C865" s="9" t="s">
        <v>91</v>
      </c>
      <c r="D865" s="6" t="s">
        <v>338</v>
      </c>
      <c r="E865" s="6">
        <f>IF(Table13[[#This Row],[Quartile]]="TopQuartile", 1,
 IF(Table13[[#This Row],[Quartile]]="SecondQuartile", 2,
 IF(Table13[[#This Row],[Quartile]]="ThirdQuartile", 3,
 IF(Table13[[#This Row],[Quartile]]="FourthQuartile", 4, ""))))</f>
        <v>2</v>
      </c>
      <c r="F865" s="9" t="s">
        <v>337</v>
      </c>
      <c r="G865" s="9" t="str" cm="1">
        <f t="array" ref="G865">IFERROR(
  INDEX(Table13[Quartile],
    MATCH(1,
      (Table13[[#This Row],[OrgName]]=Table13[OrgName]) *
      (Table13[[#This Row],[Month Number]]-1=Table13[Month Number]),
    0)
  ),
"")</f>
        <v>SecondQuartile</v>
      </c>
      <c r="H865" s="9">
        <f>IF(Table13[[#This Row],[Previous Quartile]]="TopQuartile", 1,
 IF(Table13[[#This Row],[Previous Quartile]]="SecondQuartile", 2,
 IF(Table13[[#This Row],[Previous Quartile]]="ThirdQuartile", 3,
 IF(Table13[[#This Row],[Previous Quartile]]="FourthQuartile", 4, ""))))</f>
        <v>2</v>
      </c>
      <c r="I865" s="9" t="str">
        <f>IF(Table13[[#This Row],[Previous Quartile Value]]="", "",
   IF(Table13[[#This Row],[Quartile Value]] &lt; Table13[[#This Row],[Previous Quartile Value]], "Improved",
   IF(Table13[[#This Row],[Quartile Value]] &gt; Table13[[#This Row],[Previous Quartile Value]], "Dropped", "Same")))</f>
        <v>Same</v>
      </c>
      <c r="J865" s="9" t="s">
        <v>18</v>
      </c>
      <c r="K865" s="7" t="str">
        <f>VLOOKUP(J865,Introduction!$B$6:$C$14,2)</f>
        <v>Midlands</v>
      </c>
      <c r="L865" s="11">
        <v>357</v>
      </c>
      <c r="M865" s="12" t="s">
        <v>332</v>
      </c>
    </row>
    <row r="866" spans="1:13" ht="19.95" customHeight="1" x14ac:dyDescent="0.25">
      <c r="A866" s="41">
        <v>45383</v>
      </c>
      <c r="B866" s="47">
        <f>MONTH(Table13[[#This Row],[YearMonth]])</f>
        <v>4</v>
      </c>
      <c r="C866" s="9" t="s">
        <v>89</v>
      </c>
      <c r="D866" s="6" t="s">
        <v>338</v>
      </c>
      <c r="E866" s="6">
        <f>IF(Table13[[#This Row],[Quartile]]="TopQuartile", 1,
 IF(Table13[[#This Row],[Quartile]]="SecondQuartile", 2,
 IF(Table13[[#This Row],[Quartile]]="ThirdQuartile", 3,
 IF(Table13[[#This Row],[Quartile]]="FourthQuartile", 4, ""))))</f>
        <v>2</v>
      </c>
      <c r="F866" s="9" t="s">
        <v>336</v>
      </c>
      <c r="G866" s="9" t="str" cm="1">
        <f t="array" ref="G866">IFERROR(
  INDEX(Table13[Quartile],
    MATCH(1,
      (Table13[[#This Row],[OrgName]]=Table13[OrgName]) *
      (Table13[[#This Row],[Month Number]]-1=Table13[Month Number]),
    0)
  ),
"")</f>
        <v>SecondQuartile</v>
      </c>
      <c r="H866" s="9">
        <f>IF(Table13[[#This Row],[Previous Quartile]]="TopQuartile", 1,
 IF(Table13[[#This Row],[Previous Quartile]]="SecondQuartile", 2,
 IF(Table13[[#This Row],[Previous Quartile]]="ThirdQuartile", 3,
 IF(Table13[[#This Row],[Previous Quartile]]="FourthQuartile", 4, ""))))</f>
        <v>2</v>
      </c>
      <c r="I866" s="9" t="str">
        <f>IF(Table13[[#This Row],[Previous Quartile Value]]="", "",
   IF(Table13[[#This Row],[Quartile Value]] &lt; Table13[[#This Row],[Previous Quartile Value]], "Improved",
   IF(Table13[[#This Row],[Quartile Value]] &gt; Table13[[#This Row],[Previous Quartile Value]], "Dropped", "Same")))</f>
        <v>Same</v>
      </c>
      <c r="J866" s="9" t="s">
        <v>16</v>
      </c>
      <c r="K866" s="7" t="str">
        <f>VLOOKUP(J866,Introduction!$B$6:$C$14,2)</f>
        <v>South East</v>
      </c>
      <c r="L866" s="11">
        <v>192</v>
      </c>
      <c r="M866" s="12" t="s">
        <v>332</v>
      </c>
    </row>
    <row r="867" spans="1:13" ht="19.95" customHeight="1" x14ac:dyDescent="0.25">
      <c r="A867" s="41">
        <v>45383</v>
      </c>
      <c r="B867" s="47">
        <f>MONTH(Table13[[#This Row],[YearMonth]])</f>
        <v>4</v>
      </c>
      <c r="C867" s="9" t="s">
        <v>174</v>
      </c>
      <c r="D867" s="6" t="s">
        <v>341</v>
      </c>
      <c r="E867" s="6">
        <f>IF(Table13[[#This Row],[Quartile]]="TopQuartile", 1,
 IF(Table13[[#This Row],[Quartile]]="SecondQuartile", 2,
 IF(Table13[[#This Row],[Quartile]]="ThirdQuartile", 3,
 IF(Table13[[#This Row],[Quartile]]="FourthQuartile", 4, ""))))</f>
        <v>3</v>
      </c>
      <c r="F867" s="9" t="s">
        <v>342</v>
      </c>
      <c r="G867" s="9" t="str" cm="1">
        <f t="array" ref="G867">IFERROR(
  INDEX(Table13[Quartile],
    MATCH(1,
      (Table13[[#This Row],[OrgName]]=Table13[OrgName]) *
      (Table13[[#This Row],[Month Number]]-1=Table13[Month Number]),
    0)
  ),
"")</f>
        <v>ThirdQuartile</v>
      </c>
      <c r="H867" s="9">
        <f>IF(Table13[[#This Row],[Previous Quartile]]="TopQuartile", 1,
 IF(Table13[[#This Row],[Previous Quartile]]="SecondQuartile", 2,
 IF(Table13[[#This Row],[Previous Quartile]]="ThirdQuartile", 3,
 IF(Table13[[#This Row],[Previous Quartile]]="FourthQuartile", 4, ""))))</f>
        <v>3</v>
      </c>
      <c r="I867" s="9" t="str">
        <f>IF(Table13[[#This Row],[Previous Quartile Value]]="", "",
   IF(Table13[[#This Row],[Quartile Value]] &lt; Table13[[#This Row],[Previous Quartile Value]], "Improved",
   IF(Table13[[#This Row],[Quartile Value]] &gt; Table13[[#This Row],[Previous Quartile Value]], "Dropped", "Same")))</f>
        <v>Same</v>
      </c>
      <c r="J867" s="9" t="s">
        <v>20</v>
      </c>
      <c r="K867" s="7" t="str">
        <f>VLOOKUP(J867,Introduction!$B$6:$C$14,2)</f>
        <v>East of England</v>
      </c>
      <c r="L867" s="11">
        <v>390</v>
      </c>
      <c r="M867" s="12" t="s">
        <v>332</v>
      </c>
    </row>
    <row r="868" spans="1:13" ht="19.95" customHeight="1" x14ac:dyDescent="0.25">
      <c r="A868" s="41">
        <v>45383</v>
      </c>
      <c r="B868" s="47">
        <f>MONTH(Table13[[#This Row],[YearMonth]])</f>
        <v>4</v>
      </c>
      <c r="C868" s="9" t="s">
        <v>137</v>
      </c>
      <c r="D868" s="6" t="s">
        <v>341</v>
      </c>
      <c r="E868" s="6">
        <f>IF(Table13[[#This Row],[Quartile]]="TopQuartile", 1,
 IF(Table13[[#This Row],[Quartile]]="SecondQuartile", 2,
 IF(Table13[[#This Row],[Quartile]]="ThirdQuartile", 3,
 IF(Table13[[#This Row],[Quartile]]="FourthQuartile", 4, ""))))</f>
        <v>3</v>
      </c>
      <c r="F868" s="9" t="s">
        <v>340</v>
      </c>
      <c r="G868" s="9" t="str" cm="1">
        <f t="array" ref="G868">IFERROR(
  INDEX(Table13[Quartile],
    MATCH(1,
      (Table13[[#This Row],[OrgName]]=Table13[OrgName]) *
      (Table13[[#This Row],[Month Number]]-1=Table13[Month Number]),
    0)
  ),
"")</f>
        <v>ThirdQuartile</v>
      </c>
      <c r="H868" s="9">
        <f>IF(Table13[[#This Row],[Previous Quartile]]="TopQuartile", 1,
 IF(Table13[[#This Row],[Previous Quartile]]="SecondQuartile", 2,
 IF(Table13[[#This Row],[Previous Quartile]]="ThirdQuartile", 3,
 IF(Table13[[#This Row],[Previous Quartile]]="FourthQuartile", 4, ""))))</f>
        <v>3</v>
      </c>
      <c r="I868" s="9" t="str">
        <f>IF(Table13[[#This Row],[Previous Quartile Value]]="", "",
   IF(Table13[[#This Row],[Quartile Value]] &lt; Table13[[#This Row],[Previous Quartile Value]], "Improved",
   IF(Table13[[#This Row],[Quartile Value]] &gt; Table13[[#This Row],[Previous Quartile Value]], "Dropped", "Same")))</f>
        <v>Same</v>
      </c>
      <c r="J868" s="9" t="s">
        <v>18</v>
      </c>
      <c r="K868" s="7" t="str">
        <f>VLOOKUP(J868,Introduction!$B$6:$C$14,2)</f>
        <v>Midlands</v>
      </c>
      <c r="L868" s="11">
        <v>225</v>
      </c>
      <c r="M868" s="12" t="s">
        <v>332</v>
      </c>
    </row>
    <row r="869" spans="1:13" ht="19.95" customHeight="1" x14ac:dyDescent="0.25">
      <c r="A869" s="41">
        <v>45383</v>
      </c>
      <c r="B869" s="47">
        <f>MONTH(Table13[[#This Row],[YearMonth]])</f>
        <v>4</v>
      </c>
      <c r="C869" s="9" t="s">
        <v>228</v>
      </c>
      <c r="D869" s="6" t="s">
        <v>341</v>
      </c>
      <c r="E869" s="6">
        <f>IF(Table13[[#This Row],[Quartile]]="TopQuartile", 1,
 IF(Table13[[#This Row],[Quartile]]="SecondQuartile", 2,
 IF(Table13[[#This Row],[Quartile]]="ThirdQuartile", 3,
 IF(Table13[[#This Row],[Quartile]]="FourthQuartile", 4, ""))))</f>
        <v>3</v>
      </c>
      <c r="F869" s="9" t="s">
        <v>347</v>
      </c>
      <c r="G869" s="9" t="str" cm="1">
        <f t="array" ref="G869">IFERROR(
  INDEX(Table13[Quartile],
    MATCH(1,
      (Table13[[#This Row],[OrgName]]=Table13[OrgName]) *
      (Table13[[#This Row],[Month Number]]-1=Table13[Month Number]),
    0)
  ),
"")</f>
        <v>ThirdQuartile</v>
      </c>
      <c r="H869" s="9">
        <f>IF(Table13[[#This Row],[Previous Quartile]]="TopQuartile", 1,
 IF(Table13[[#This Row],[Previous Quartile]]="SecondQuartile", 2,
 IF(Table13[[#This Row],[Previous Quartile]]="ThirdQuartile", 3,
 IF(Table13[[#This Row],[Previous Quartile]]="FourthQuartile", 4, ""))))</f>
        <v>3</v>
      </c>
      <c r="I869" s="9" t="str">
        <f>IF(Table13[[#This Row],[Previous Quartile Value]]="", "",
   IF(Table13[[#This Row],[Quartile Value]] &lt; Table13[[#This Row],[Previous Quartile Value]], "Improved",
   IF(Table13[[#This Row],[Quartile Value]] &gt; Table13[[#This Row],[Previous Quartile Value]], "Dropped", "Same")))</f>
        <v>Same</v>
      </c>
      <c r="J869" s="9" t="s">
        <v>14</v>
      </c>
      <c r="K869" s="7" t="str">
        <f>VLOOKUP(J869,Introduction!$B$6:$C$14,2)</f>
        <v>South West</v>
      </c>
      <c r="L869" s="11">
        <v>339</v>
      </c>
      <c r="M869" s="12" t="s">
        <v>332</v>
      </c>
    </row>
    <row r="870" spans="1:13" ht="19.95" customHeight="1" x14ac:dyDescent="0.25">
      <c r="A870" s="41">
        <v>45383</v>
      </c>
      <c r="B870" s="47">
        <f>MONTH(Table13[[#This Row],[YearMonth]])</f>
        <v>4</v>
      </c>
      <c r="C870" s="9" t="s">
        <v>205</v>
      </c>
      <c r="D870" s="6" t="s">
        <v>341</v>
      </c>
      <c r="E870" s="6">
        <f>IF(Table13[[#This Row],[Quartile]]="TopQuartile", 1,
 IF(Table13[[#This Row],[Quartile]]="SecondQuartile", 2,
 IF(Table13[[#This Row],[Quartile]]="ThirdQuartile", 3,
 IF(Table13[[#This Row],[Quartile]]="FourthQuartile", 4, ""))))</f>
        <v>3</v>
      </c>
      <c r="F870" s="9" t="s">
        <v>344</v>
      </c>
      <c r="G870" s="9" t="str" cm="1">
        <f t="array" ref="G870">IFERROR(
  INDEX(Table13[Quartile],
    MATCH(1,
      (Table13[[#This Row],[OrgName]]=Table13[OrgName]) *
      (Table13[[#This Row],[Month Number]]-1=Table13[Month Number]),
    0)
  ),
"")</f>
        <v>ThirdQuartile</v>
      </c>
      <c r="H870" s="9">
        <f>IF(Table13[[#This Row],[Previous Quartile]]="TopQuartile", 1,
 IF(Table13[[#This Row],[Previous Quartile]]="SecondQuartile", 2,
 IF(Table13[[#This Row],[Previous Quartile]]="ThirdQuartile", 3,
 IF(Table13[[#This Row],[Previous Quartile]]="FourthQuartile", 4, ""))))</f>
        <v>3</v>
      </c>
      <c r="I870" s="9" t="str">
        <f>IF(Table13[[#This Row],[Previous Quartile Value]]="", "",
   IF(Table13[[#This Row],[Quartile Value]] &lt; Table13[[#This Row],[Previous Quartile Value]], "Improved",
   IF(Table13[[#This Row],[Quartile Value]] &gt; Table13[[#This Row],[Previous Quartile Value]], "Dropped", "Same")))</f>
        <v>Same</v>
      </c>
      <c r="J870" s="9" t="s">
        <v>24</v>
      </c>
      <c r="K870" s="7" t="str">
        <f>VLOOKUP(J870,Introduction!$B$6:$C$14,2)</f>
        <v>North East and Yorkshire</v>
      </c>
      <c r="L870" s="11">
        <v>372</v>
      </c>
      <c r="M870" s="12" t="s">
        <v>332</v>
      </c>
    </row>
    <row r="871" spans="1:13" ht="19.95" customHeight="1" x14ac:dyDescent="0.25">
      <c r="A871" s="41">
        <v>45383</v>
      </c>
      <c r="B871" s="47">
        <f>MONTH(Table13[[#This Row],[YearMonth]])</f>
        <v>4</v>
      </c>
      <c r="C871" s="9" t="s">
        <v>214</v>
      </c>
      <c r="D871" s="6" t="s">
        <v>341</v>
      </c>
      <c r="E871" s="6">
        <f>IF(Table13[[#This Row],[Quartile]]="TopQuartile", 1,
 IF(Table13[[#This Row],[Quartile]]="SecondQuartile", 2,
 IF(Table13[[#This Row],[Quartile]]="ThirdQuartile", 3,
 IF(Table13[[#This Row],[Quartile]]="FourthQuartile", 4, ""))))</f>
        <v>3</v>
      </c>
      <c r="F871" s="9" t="s">
        <v>345</v>
      </c>
      <c r="G871" s="9" t="str" cm="1">
        <f t="array" ref="G871">IFERROR(
  INDEX(Table13[Quartile],
    MATCH(1,
      (Table13[[#This Row],[OrgName]]=Table13[OrgName]) *
      (Table13[[#This Row],[Month Number]]-1=Table13[Month Number]),
    0)
  ),
"")</f>
        <v>FourthQuartile</v>
      </c>
      <c r="H871" s="9">
        <f>IF(Table13[[#This Row],[Previous Quartile]]="TopQuartile", 1,
 IF(Table13[[#This Row],[Previous Quartile]]="SecondQuartile", 2,
 IF(Table13[[#This Row],[Previous Quartile]]="ThirdQuartile", 3,
 IF(Table13[[#This Row],[Previous Quartile]]="FourthQuartile", 4, ""))))</f>
        <v>4</v>
      </c>
      <c r="I871" s="9" t="str">
        <f>IF(Table13[[#This Row],[Previous Quartile Value]]="", "",
   IF(Table13[[#This Row],[Quartile Value]] &lt; Table13[[#This Row],[Previous Quartile Value]], "Improved",
   IF(Table13[[#This Row],[Quartile Value]] &gt; Table13[[#This Row],[Previous Quartile Value]], "Dropped", "Same")))</f>
        <v>Improved</v>
      </c>
      <c r="J871" s="9" t="s">
        <v>20</v>
      </c>
      <c r="K871" s="7" t="str">
        <f>VLOOKUP(J871,Introduction!$B$6:$C$14,2)</f>
        <v>East of England</v>
      </c>
      <c r="L871" s="11">
        <v>176</v>
      </c>
      <c r="M871" s="12" t="s">
        <v>332</v>
      </c>
    </row>
    <row r="872" spans="1:13" ht="19.95" customHeight="1" x14ac:dyDescent="0.25">
      <c r="A872" s="41">
        <v>45383</v>
      </c>
      <c r="B872" s="47">
        <f>MONTH(Table13[[#This Row],[YearMonth]])</f>
        <v>4</v>
      </c>
      <c r="C872" s="9" t="s">
        <v>220</v>
      </c>
      <c r="D872" s="6" t="s">
        <v>341</v>
      </c>
      <c r="E872" s="6">
        <f>IF(Table13[[#This Row],[Quartile]]="TopQuartile", 1,
 IF(Table13[[#This Row],[Quartile]]="SecondQuartile", 2,
 IF(Table13[[#This Row],[Quartile]]="ThirdQuartile", 3,
 IF(Table13[[#This Row],[Quartile]]="FourthQuartile", 4, ""))))</f>
        <v>3</v>
      </c>
      <c r="F872" s="9" t="s">
        <v>346</v>
      </c>
      <c r="G872" s="9" t="str" cm="1">
        <f t="array" ref="G872">IFERROR(
  INDEX(Table13[Quartile],
    MATCH(1,
      (Table13[[#This Row],[OrgName]]=Table13[OrgName]) *
      (Table13[[#This Row],[Month Number]]-1=Table13[Month Number]),
    0)
  ),
"")</f>
        <v>ThirdQuartile</v>
      </c>
      <c r="H872" s="9">
        <f>IF(Table13[[#This Row],[Previous Quartile]]="TopQuartile", 1,
 IF(Table13[[#This Row],[Previous Quartile]]="SecondQuartile", 2,
 IF(Table13[[#This Row],[Previous Quartile]]="ThirdQuartile", 3,
 IF(Table13[[#This Row],[Previous Quartile]]="FourthQuartile", 4, ""))))</f>
        <v>3</v>
      </c>
      <c r="I872" s="9" t="str">
        <f>IF(Table13[[#This Row],[Previous Quartile Value]]="", "",
   IF(Table13[[#This Row],[Quartile Value]] &lt; Table13[[#This Row],[Previous Quartile Value]], "Improved",
   IF(Table13[[#This Row],[Quartile Value]] &gt; Table13[[#This Row],[Previous Quartile Value]], "Dropped", "Same")))</f>
        <v>Same</v>
      </c>
      <c r="J872" s="9" t="s">
        <v>16</v>
      </c>
      <c r="K872" s="7" t="str">
        <f>VLOOKUP(J872,Introduction!$B$6:$C$14,2)</f>
        <v>South East</v>
      </c>
      <c r="L872" s="11">
        <v>151</v>
      </c>
      <c r="M872" s="12" t="s">
        <v>332</v>
      </c>
    </row>
    <row r="873" spans="1:13" ht="19.95" customHeight="1" x14ac:dyDescent="0.25">
      <c r="A873" s="41">
        <v>45383</v>
      </c>
      <c r="B873" s="47">
        <f>MONTH(Table13[[#This Row],[YearMonth]])</f>
        <v>4</v>
      </c>
      <c r="C873" s="9" t="s">
        <v>237</v>
      </c>
      <c r="D873" s="6" t="s">
        <v>341</v>
      </c>
      <c r="E873" s="6">
        <f>IF(Table13[[#This Row],[Quartile]]="TopQuartile", 1,
 IF(Table13[[#This Row],[Quartile]]="SecondQuartile", 2,
 IF(Table13[[#This Row],[Quartile]]="ThirdQuartile", 3,
 IF(Table13[[#This Row],[Quartile]]="FourthQuartile", 4, ""))))</f>
        <v>3</v>
      </c>
      <c r="F873" s="9" t="s">
        <v>349</v>
      </c>
      <c r="G873" s="9" t="str" cm="1">
        <f t="array" ref="G873">IFERROR(
  INDEX(Table13[Quartile],
    MATCH(1,
      (Table13[[#This Row],[OrgName]]=Table13[OrgName]) *
      (Table13[[#This Row],[Month Number]]-1=Table13[Month Number]),
    0)
  ),
"")</f>
        <v>ThirdQuartile</v>
      </c>
      <c r="H873" s="9">
        <f>IF(Table13[[#This Row],[Previous Quartile]]="TopQuartile", 1,
 IF(Table13[[#This Row],[Previous Quartile]]="SecondQuartile", 2,
 IF(Table13[[#This Row],[Previous Quartile]]="ThirdQuartile", 3,
 IF(Table13[[#This Row],[Previous Quartile]]="FourthQuartile", 4, ""))))</f>
        <v>3</v>
      </c>
      <c r="I873" s="9" t="str">
        <f>IF(Table13[[#This Row],[Previous Quartile Value]]="", "",
   IF(Table13[[#This Row],[Quartile Value]] &lt; Table13[[#This Row],[Previous Quartile Value]], "Improved",
   IF(Table13[[#This Row],[Quartile Value]] &gt; Table13[[#This Row],[Previous Quartile Value]], "Dropped", "Same")))</f>
        <v>Same</v>
      </c>
      <c r="J873" s="9" t="s">
        <v>24</v>
      </c>
      <c r="K873" s="7" t="str">
        <f>VLOOKUP(J873,Introduction!$B$6:$C$14,2)</f>
        <v>North East and Yorkshire</v>
      </c>
      <c r="L873" s="11">
        <v>155</v>
      </c>
      <c r="M873" s="12" t="s">
        <v>332</v>
      </c>
    </row>
    <row r="874" spans="1:13" ht="19.95" customHeight="1" x14ac:dyDescent="0.25">
      <c r="A874" s="41">
        <v>45383</v>
      </c>
      <c r="B874" s="47">
        <f>MONTH(Table13[[#This Row],[YearMonth]])</f>
        <v>4</v>
      </c>
      <c r="C874" s="9" t="s">
        <v>236</v>
      </c>
      <c r="D874" s="6" t="s">
        <v>341</v>
      </c>
      <c r="E874" s="6">
        <f>IF(Table13[[#This Row],[Quartile]]="TopQuartile", 1,
 IF(Table13[[#This Row],[Quartile]]="SecondQuartile", 2,
 IF(Table13[[#This Row],[Quartile]]="ThirdQuartile", 3,
 IF(Table13[[#This Row],[Quartile]]="FourthQuartile", 4, ""))))</f>
        <v>3</v>
      </c>
      <c r="F874" s="9" t="s">
        <v>348</v>
      </c>
      <c r="G874" s="9" t="str" cm="1">
        <f t="array" ref="G874">IFERROR(
  INDEX(Table13[Quartile],
    MATCH(1,
      (Table13[[#This Row],[OrgName]]=Table13[OrgName]) *
      (Table13[[#This Row],[Month Number]]-1=Table13[Month Number]),
    0)
  ),
"")</f>
        <v>ThirdQuartile</v>
      </c>
      <c r="H874" s="9">
        <f>IF(Table13[[#This Row],[Previous Quartile]]="TopQuartile", 1,
 IF(Table13[[#This Row],[Previous Quartile]]="SecondQuartile", 2,
 IF(Table13[[#This Row],[Previous Quartile]]="ThirdQuartile", 3,
 IF(Table13[[#This Row],[Previous Quartile]]="FourthQuartile", 4, ""))))</f>
        <v>3</v>
      </c>
      <c r="I874" s="9" t="str">
        <f>IF(Table13[[#This Row],[Previous Quartile Value]]="", "",
   IF(Table13[[#This Row],[Quartile Value]] &lt; Table13[[#This Row],[Previous Quartile Value]], "Improved",
   IF(Table13[[#This Row],[Quartile Value]] &gt; Table13[[#This Row],[Previous Quartile Value]], "Dropped", "Same")))</f>
        <v>Same</v>
      </c>
      <c r="J874" s="9" t="s">
        <v>18</v>
      </c>
      <c r="K874" s="7" t="str">
        <f>VLOOKUP(J874,Introduction!$B$6:$C$14,2)</f>
        <v>Midlands</v>
      </c>
      <c r="L874" s="11">
        <v>365</v>
      </c>
      <c r="M874" s="12" t="s">
        <v>332</v>
      </c>
    </row>
    <row r="875" spans="1:13" ht="19.95" customHeight="1" x14ac:dyDescent="0.25">
      <c r="A875" s="41">
        <v>45383</v>
      </c>
      <c r="B875" s="47">
        <f>MONTH(Table13[[#This Row],[YearMonth]])</f>
        <v>4</v>
      </c>
      <c r="C875" s="9" t="s">
        <v>200</v>
      </c>
      <c r="D875" s="6" t="s">
        <v>350</v>
      </c>
      <c r="E875" s="6">
        <f>IF(Table13[[#This Row],[Quartile]]="TopQuartile", 1,
 IF(Table13[[#This Row],[Quartile]]="SecondQuartile", 2,
 IF(Table13[[#This Row],[Quartile]]="ThirdQuartile", 3,
 IF(Table13[[#This Row],[Quartile]]="FourthQuartile", 4, ""))))</f>
        <v>4</v>
      </c>
      <c r="F875" s="9" t="s">
        <v>343</v>
      </c>
      <c r="G875" s="9" t="str" cm="1">
        <f t="array" ref="G875">IFERROR(
  INDEX(Table13[Quartile],
    MATCH(1,
      (Table13[[#This Row],[OrgName]]=Table13[OrgName]) *
      (Table13[[#This Row],[Month Number]]-1=Table13[Month Number]),
    0)
  ),
"")</f>
        <v>FourthQuartile</v>
      </c>
      <c r="H875" s="9">
        <f>IF(Table13[[#This Row],[Previous Quartile]]="TopQuartile", 1,
 IF(Table13[[#This Row],[Previous Quartile]]="SecondQuartile", 2,
 IF(Table13[[#This Row],[Previous Quartile]]="ThirdQuartile", 3,
 IF(Table13[[#This Row],[Previous Quartile]]="FourthQuartile", 4, ""))))</f>
        <v>4</v>
      </c>
      <c r="I875" s="9" t="str">
        <f>IF(Table13[[#This Row],[Previous Quartile Value]]="", "",
   IF(Table13[[#This Row],[Quartile Value]] &lt; Table13[[#This Row],[Previous Quartile Value]], "Improved",
   IF(Table13[[#This Row],[Quartile Value]] &gt; Table13[[#This Row],[Previous Quartile Value]], "Dropped", "Same")))</f>
        <v>Same</v>
      </c>
      <c r="J875" s="9" t="s">
        <v>20</v>
      </c>
      <c r="K875" s="7" t="str">
        <f>VLOOKUP(J875,Introduction!$B$6:$C$14,2)</f>
        <v>East of England</v>
      </c>
      <c r="L875" s="11">
        <v>361</v>
      </c>
      <c r="M875" s="12" t="s">
        <v>332</v>
      </c>
    </row>
    <row r="876" spans="1:13" ht="19.95" customHeight="1" x14ac:dyDescent="0.25">
      <c r="A876" s="41">
        <v>45383</v>
      </c>
      <c r="B876" s="47">
        <f>MONTH(Table13[[#This Row],[YearMonth]])</f>
        <v>4</v>
      </c>
      <c r="C876" s="9" t="s">
        <v>254</v>
      </c>
      <c r="D876" s="6" t="s">
        <v>350</v>
      </c>
      <c r="E876" s="6">
        <f>IF(Table13[[#This Row],[Quartile]]="TopQuartile", 1,
 IF(Table13[[#This Row],[Quartile]]="SecondQuartile", 2,
 IF(Table13[[#This Row],[Quartile]]="ThirdQuartile", 3,
 IF(Table13[[#This Row],[Quartile]]="FourthQuartile", 4, ""))))</f>
        <v>4</v>
      </c>
      <c r="F876" s="9" t="s">
        <v>352</v>
      </c>
      <c r="G876" s="9" t="str" cm="1">
        <f t="array" ref="G876">IFERROR(
  INDEX(Table13[Quartile],
    MATCH(1,
      (Table13[[#This Row],[OrgName]]=Table13[OrgName]) *
      (Table13[[#This Row],[Month Number]]-1=Table13[Month Number]),
    0)
  ),
"")</f>
        <v>FourthQuartile</v>
      </c>
      <c r="H876" s="9">
        <f>IF(Table13[[#This Row],[Previous Quartile]]="TopQuartile", 1,
 IF(Table13[[#This Row],[Previous Quartile]]="SecondQuartile", 2,
 IF(Table13[[#This Row],[Previous Quartile]]="ThirdQuartile", 3,
 IF(Table13[[#This Row],[Previous Quartile]]="FourthQuartile", 4, ""))))</f>
        <v>4</v>
      </c>
      <c r="I876" s="9" t="str">
        <f>IF(Table13[[#This Row],[Previous Quartile Value]]="", "",
   IF(Table13[[#This Row],[Quartile Value]] &lt; Table13[[#This Row],[Previous Quartile Value]], "Improved",
   IF(Table13[[#This Row],[Quartile Value]] &gt; Table13[[#This Row],[Previous Quartile Value]], "Dropped", "Same")))</f>
        <v>Same</v>
      </c>
      <c r="J876" s="9" t="s">
        <v>22</v>
      </c>
      <c r="K876" s="7" t="str">
        <f>VLOOKUP(J876,Introduction!$B$6:$C$14,2)</f>
        <v>North West</v>
      </c>
      <c r="L876" s="11">
        <v>435</v>
      </c>
      <c r="M876" s="12" t="s">
        <v>332</v>
      </c>
    </row>
    <row r="877" spans="1:13" ht="19.95" customHeight="1" x14ac:dyDescent="0.25">
      <c r="A877" s="41">
        <v>45383</v>
      </c>
      <c r="B877" s="47">
        <f>MONTH(Table13[[#This Row],[YearMonth]])</f>
        <v>4</v>
      </c>
      <c r="C877" s="9" t="s">
        <v>257</v>
      </c>
      <c r="D877" s="6" t="s">
        <v>350</v>
      </c>
      <c r="E877" s="6">
        <f>IF(Table13[[#This Row],[Quartile]]="TopQuartile", 1,
 IF(Table13[[#This Row],[Quartile]]="SecondQuartile", 2,
 IF(Table13[[#This Row],[Quartile]]="ThirdQuartile", 3,
 IF(Table13[[#This Row],[Quartile]]="FourthQuartile", 4, ""))))</f>
        <v>4</v>
      </c>
      <c r="F877" s="9" t="s">
        <v>353</v>
      </c>
      <c r="G877" s="9" t="str" cm="1">
        <f t="array" ref="G877">IFERROR(
  INDEX(Table13[Quartile],
    MATCH(1,
      (Table13[[#This Row],[OrgName]]=Table13[OrgName]) *
      (Table13[[#This Row],[Month Number]]-1=Table13[Month Number]),
    0)
  ),
"")</f>
        <v>FourthQuartile</v>
      </c>
      <c r="H877" s="9">
        <f>IF(Table13[[#This Row],[Previous Quartile]]="TopQuartile", 1,
 IF(Table13[[#This Row],[Previous Quartile]]="SecondQuartile", 2,
 IF(Table13[[#This Row],[Previous Quartile]]="ThirdQuartile", 3,
 IF(Table13[[#This Row],[Previous Quartile]]="FourthQuartile", 4, ""))))</f>
        <v>4</v>
      </c>
      <c r="I877" s="9" t="str">
        <f>IF(Table13[[#This Row],[Previous Quartile Value]]="", "",
   IF(Table13[[#This Row],[Quartile Value]] &lt; Table13[[#This Row],[Previous Quartile Value]], "Improved",
   IF(Table13[[#This Row],[Quartile Value]] &gt; Table13[[#This Row],[Previous Quartile Value]], "Dropped", "Same")))</f>
        <v>Same</v>
      </c>
      <c r="J877" s="9" t="s">
        <v>14</v>
      </c>
      <c r="K877" s="7" t="str">
        <f>VLOOKUP(J877,Introduction!$B$6:$C$14,2)</f>
        <v>South West</v>
      </c>
      <c r="L877" s="11">
        <v>185</v>
      </c>
      <c r="M877" s="12" t="s">
        <v>332</v>
      </c>
    </row>
    <row r="878" spans="1:13" ht="19.95" customHeight="1" x14ac:dyDescent="0.25">
      <c r="A878" s="41">
        <v>45383</v>
      </c>
      <c r="B878" s="47">
        <f>MONTH(Table13[[#This Row],[YearMonth]])</f>
        <v>4</v>
      </c>
      <c r="C878" s="9" t="s">
        <v>270</v>
      </c>
      <c r="D878" s="6" t="s">
        <v>350</v>
      </c>
      <c r="E878" s="6">
        <f>IF(Table13[[#This Row],[Quartile]]="TopQuartile", 1,
 IF(Table13[[#This Row],[Quartile]]="SecondQuartile", 2,
 IF(Table13[[#This Row],[Quartile]]="ThirdQuartile", 3,
 IF(Table13[[#This Row],[Quartile]]="FourthQuartile", 4, ""))))</f>
        <v>4</v>
      </c>
      <c r="F878" s="9" t="s">
        <v>354</v>
      </c>
      <c r="G878" s="9" t="str" cm="1">
        <f t="array" ref="G878">IFERROR(
  INDEX(Table13[Quartile],
    MATCH(1,
      (Table13[[#This Row],[OrgName]]=Table13[OrgName]) *
      (Table13[[#This Row],[Month Number]]-1=Table13[Month Number]),
    0)
  ),
"")</f>
        <v>FourthQuartile</v>
      </c>
      <c r="H878" s="9">
        <f>IF(Table13[[#This Row],[Previous Quartile]]="TopQuartile", 1,
 IF(Table13[[#This Row],[Previous Quartile]]="SecondQuartile", 2,
 IF(Table13[[#This Row],[Previous Quartile]]="ThirdQuartile", 3,
 IF(Table13[[#This Row],[Previous Quartile]]="FourthQuartile", 4, ""))))</f>
        <v>4</v>
      </c>
      <c r="I878" s="9" t="str">
        <f>IF(Table13[[#This Row],[Previous Quartile Value]]="", "",
   IF(Table13[[#This Row],[Quartile Value]] &lt; Table13[[#This Row],[Previous Quartile Value]], "Improved",
   IF(Table13[[#This Row],[Quartile Value]] &gt; Table13[[#This Row],[Previous Quartile Value]], "Dropped", "Same")))</f>
        <v>Same</v>
      </c>
      <c r="J878" s="9" t="s">
        <v>16</v>
      </c>
      <c r="K878" s="7" t="str">
        <f>VLOOKUP(J878,Introduction!$B$6:$C$14,2)</f>
        <v>South East</v>
      </c>
      <c r="L878" s="11">
        <v>251</v>
      </c>
      <c r="M878" s="12" t="s">
        <v>332</v>
      </c>
    </row>
    <row r="879" spans="1:13" ht="19.95" customHeight="1" x14ac:dyDescent="0.25">
      <c r="A879" s="41">
        <v>45383</v>
      </c>
      <c r="B879" s="47">
        <f>MONTH(Table13[[#This Row],[YearMonth]])</f>
        <v>4</v>
      </c>
      <c r="C879" s="9" t="s">
        <v>283</v>
      </c>
      <c r="D879" s="6" t="s">
        <v>350</v>
      </c>
      <c r="E879" s="6">
        <f>IF(Table13[[#This Row],[Quartile]]="TopQuartile", 1,
 IF(Table13[[#This Row],[Quartile]]="SecondQuartile", 2,
 IF(Table13[[#This Row],[Quartile]]="ThirdQuartile", 3,
 IF(Table13[[#This Row],[Quartile]]="FourthQuartile", 4, ""))))</f>
        <v>4</v>
      </c>
      <c r="F879" s="9" t="s">
        <v>355</v>
      </c>
      <c r="G879" s="9" t="str" cm="1">
        <f t="array" ref="G879">IFERROR(
  INDEX(Table13[Quartile],
    MATCH(1,
      (Table13[[#This Row],[OrgName]]=Table13[OrgName]) *
      (Table13[[#This Row],[Month Number]]-1=Table13[Month Number]),
    0)
  ),
"")</f>
        <v>FourthQuartile</v>
      </c>
      <c r="H879" s="9">
        <f>IF(Table13[[#This Row],[Previous Quartile]]="TopQuartile", 1,
 IF(Table13[[#This Row],[Previous Quartile]]="SecondQuartile", 2,
 IF(Table13[[#This Row],[Previous Quartile]]="ThirdQuartile", 3,
 IF(Table13[[#This Row],[Previous Quartile]]="FourthQuartile", 4, ""))))</f>
        <v>4</v>
      </c>
      <c r="I879" s="9" t="str">
        <f>IF(Table13[[#This Row],[Previous Quartile Value]]="", "",
   IF(Table13[[#This Row],[Quartile Value]] &lt; Table13[[#This Row],[Previous Quartile Value]], "Improved",
   IF(Table13[[#This Row],[Quartile Value]] &gt; Table13[[#This Row],[Previous Quartile Value]], "Dropped", "Same")))</f>
        <v>Same</v>
      </c>
      <c r="J879" s="9" t="s">
        <v>16</v>
      </c>
      <c r="K879" s="7" t="str">
        <f>VLOOKUP(J879,Introduction!$B$6:$C$14,2)</f>
        <v>South East</v>
      </c>
      <c r="L879" s="11">
        <v>193</v>
      </c>
      <c r="M879" s="12" t="s">
        <v>332</v>
      </c>
    </row>
    <row r="880" spans="1:13" ht="19.95" customHeight="1" x14ac:dyDescent="0.25">
      <c r="A880" s="41">
        <v>45383</v>
      </c>
      <c r="B880" s="47">
        <f>MONTH(Table13[[#This Row],[YearMonth]])</f>
        <v>4</v>
      </c>
      <c r="C880" s="9" t="s">
        <v>246</v>
      </c>
      <c r="D880" s="6" t="s">
        <v>350</v>
      </c>
      <c r="E880" s="6">
        <f>IF(Table13[[#This Row],[Quartile]]="TopQuartile", 1,
 IF(Table13[[#This Row],[Quartile]]="SecondQuartile", 2,
 IF(Table13[[#This Row],[Quartile]]="ThirdQuartile", 3,
 IF(Table13[[#This Row],[Quartile]]="FourthQuartile", 4, ""))))</f>
        <v>4</v>
      </c>
      <c r="F880" s="9" t="s">
        <v>351</v>
      </c>
      <c r="G880" s="9" t="str" cm="1">
        <f t="array" ref="G880">IFERROR(
  INDEX(Table13[Quartile],
    MATCH(1,
      (Table13[[#This Row],[OrgName]]=Table13[OrgName]) *
      (Table13[[#This Row],[Month Number]]-1=Table13[Month Number]),
    0)
  ),
"")</f>
        <v>FourthQuartile</v>
      </c>
      <c r="H880" s="9">
        <f>IF(Table13[[#This Row],[Previous Quartile]]="TopQuartile", 1,
 IF(Table13[[#This Row],[Previous Quartile]]="SecondQuartile", 2,
 IF(Table13[[#This Row],[Previous Quartile]]="ThirdQuartile", 3,
 IF(Table13[[#This Row],[Previous Quartile]]="FourthQuartile", 4, ""))))</f>
        <v>4</v>
      </c>
      <c r="I880" s="9" t="str">
        <f>IF(Table13[[#This Row],[Previous Quartile Value]]="", "",
   IF(Table13[[#This Row],[Quartile Value]] &lt; Table13[[#This Row],[Previous Quartile Value]], "Improved",
   IF(Table13[[#This Row],[Quartile Value]] &gt; Table13[[#This Row],[Previous Quartile Value]], "Dropped", "Same")))</f>
        <v>Same</v>
      </c>
      <c r="J880" s="9" t="s">
        <v>14</v>
      </c>
      <c r="K880" s="7" t="str">
        <f>VLOOKUP(J880,Introduction!$B$6:$C$14,2)</f>
        <v>South West</v>
      </c>
      <c r="L880" s="11">
        <v>318</v>
      </c>
      <c r="M880" s="12" t="s">
        <v>332</v>
      </c>
    </row>
    <row r="881" spans="1:13" ht="19.95" customHeight="1" x14ac:dyDescent="0.25">
      <c r="A881" s="41">
        <v>45383</v>
      </c>
      <c r="B881" s="47">
        <f>MONTH(Table13[[#This Row],[YearMonth]])</f>
        <v>4</v>
      </c>
      <c r="C881" s="9" t="s">
        <v>290</v>
      </c>
      <c r="D881" s="6" t="s">
        <v>350</v>
      </c>
      <c r="E881" s="6">
        <f>IF(Table13[[#This Row],[Quartile]]="TopQuartile", 1,
 IF(Table13[[#This Row],[Quartile]]="SecondQuartile", 2,
 IF(Table13[[#This Row],[Quartile]]="ThirdQuartile", 3,
 IF(Table13[[#This Row],[Quartile]]="FourthQuartile", 4, ""))))</f>
        <v>4</v>
      </c>
      <c r="F881" s="9" t="s">
        <v>356</v>
      </c>
      <c r="G881" s="9" t="str" cm="1">
        <f t="array" ref="G881">IFERROR(
  INDEX(Table13[Quartile],
    MATCH(1,
      (Table13[[#This Row],[OrgName]]=Table13[OrgName]) *
      (Table13[[#This Row],[Month Number]]-1=Table13[Month Number]),
    0)
  ),
"")</f>
        <v>FourthQuartile</v>
      </c>
      <c r="H881" s="9">
        <f>IF(Table13[[#This Row],[Previous Quartile]]="TopQuartile", 1,
 IF(Table13[[#This Row],[Previous Quartile]]="SecondQuartile", 2,
 IF(Table13[[#This Row],[Previous Quartile]]="ThirdQuartile", 3,
 IF(Table13[[#This Row],[Previous Quartile]]="FourthQuartile", 4, ""))))</f>
        <v>4</v>
      </c>
      <c r="I881" s="9" t="str">
        <f>IF(Table13[[#This Row],[Previous Quartile Value]]="", "",
   IF(Table13[[#This Row],[Quartile Value]] &lt; Table13[[#This Row],[Previous Quartile Value]], "Improved",
   IF(Table13[[#This Row],[Quartile Value]] &gt; Table13[[#This Row],[Previous Quartile Value]], "Dropped", "Same")))</f>
        <v>Same</v>
      </c>
      <c r="J881" s="9" t="s">
        <v>18</v>
      </c>
      <c r="K881" s="7" t="str">
        <f>VLOOKUP(J881,Introduction!$B$6:$C$14,2)</f>
        <v>Midlands</v>
      </c>
      <c r="L881" s="11">
        <v>381</v>
      </c>
      <c r="M881" s="12" t="s">
        <v>332</v>
      </c>
    </row>
    <row r="882" spans="1:13" ht="19.95" customHeight="1" x14ac:dyDescent="0.25">
      <c r="A882" s="41">
        <v>45383</v>
      </c>
      <c r="B882" s="47">
        <f>MONTH(Table13[[#This Row],[YearMonth]])</f>
        <v>4</v>
      </c>
      <c r="C882" s="9" t="s">
        <v>292</v>
      </c>
      <c r="D882" s="6" t="s">
        <v>350</v>
      </c>
      <c r="E882" s="6">
        <f>IF(Table13[[#This Row],[Quartile]]="TopQuartile", 1,
 IF(Table13[[#This Row],[Quartile]]="SecondQuartile", 2,
 IF(Table13[[#This Row],[Quartile]]="ThirdQuartile", 3,
 IF(Table13[[#This Row],[Quartile]]="FourthQuartile", 4, ""))))</f>
        <v>4</v>
      </c>
      <c r="F882" s="9" t="s">
        <v>357</v>
      </c>
      <c r="G882" s="9" t="str" cm="1">
        <f t="array" ref="G882">IFERROR(
  INDEX(Table13[Quartile],
    MATCH(1,
      (Table13[[#This Row],[OrgName]]=Table13[OrgName]) *
      (Table13[[#This Row],[Month Number]]-1=Table13[Month Number]),
    0)
  ),
"")</f>
        <v>FourthQuartile</v>
      </c>
      <c r="H882" s="9">
        <f>IF(Table13[[#This Row],[Previous Quartile]]="TopQuartile", 1,
 IF(Table13[[#This Row],[Previous Quartile]]="SecondQuartile", 2,
 IF(Table13[[#This Row],[Previous Quartile]]="ThirdQuartile", 3,
 IF(Table13[[#This Row],[Previous Quartile]]="FourthQuartile", 4, ""))))</f>
        <v>4</v>
      </c>
      <c r="I882" s="9" t="str">
        <f>IF(Table13[[#This Row],[Previous Quartile Value]]="", "",
   IF(Table13[[#This Row],[Quartile Value]] &lt; Table13[[#This Row],[Previous Quartile Value]], "Improved",
   IF(Table13[[#This Row],[Quartile Value]] &gt; Table13[[#This Row],[Previous Quartile Value]], "Dropped", "Same")))</f>
        <v>Same</v>
      </c>
      <c r="J882" s="9" t="s">
        <v>14</v>
      </c>
      <c r="K882" s="7" t="str">
        <f>VLOOKUP(J882,Introduction!$B$6:$C$14,2)</f>
        <v>South West</v>
      </c>
      <c r="L882" s="11">
        <v>156</v>
      </c>
      <c r="M882" s="12" t="s">
        <v>332</v>
      </c>
    </row>
    <row r="883" spans="1:13" ht="19.95" customHeight="1" x14ac:dyDescent="0.25">
      <c r="A883" s="41">
        <v>45383</v>
      </c>
      <c r="B883" s="47">
        <f>MONTH(Table13[[#This Row],[YearMonth]])</f>
        <v>4</v>
      </c>
      <c r="C883" s="9" t="s">
        <v>37</v>
      </c>
      <c r="D883" s="6" t="s">
        <v>330</v>
      </c>
      <c r="E883" s="6">
        <f>IF(Table13[[#This Row],[Quartile]]="TopQuartile", 1,
 IF(Table13[[#This Row],[Quartile]]="SecondQuartile", 2,
 IF(Table13[[#This Row],[Quartile]]="ThirdQuartile", 3,
 IF(Table13[[#This Row],[Quartile]]="FourthQuartile", 4, ""))))</f>
        <v>1</v>
      </c>
      <c r="F883" s="9" t="s">
        <v>358</v>
      </c>
      <c r="G883" s="9" t="str" cm="1">
        <f t="array" ref="G883">IFERROR(
  INDEX(Table13[Quartile],
    MATCH(1,
      (Table13[[#This Row],[OrgName]]=Table13[OrgName]) *
      (Table13[[#This Row],[Month Number]]-1=Table13[Month Number]),
    0)
  ),
"")</f>
        <v>TopQuartile</v>
      </c>
      <c r="H883" s="9">
        <f>IF(Table13[[#This Row],[Previous Quartile]]="TopQuartile", 1,
 IF(Table13[[#This Row],[Previous Quartile]]="SecondQuartile", 2,
 IF(Table13[[#This Row],[Previous Quartile]]="ThirdQuartile", 3,
 IF(Table13[[#This Row],[Previous Quartile]]="FourthQuartile", 4, ""))))</f>
        <v>1</v>
      </c>
      <c r="I883" s="9" t="str">
        <f>IF(Table13[[#This Row],[Previous Quartile Value]]="", "",
   IF(Table13[[#This Row],[Quartile Value]] &lt; Table13[[#This Row],[Previous Quartile Value]], "Improved",
   IF(Table13[[#This Row],[Quartile Value]] &gt; Table13[[#This Row],[Previous Quartile Value]], "Dropped", "Same")))</f>
        <v>Same</v>
      </c>
      <c r="J883" s="9" t="s">
        <v>18</v>
      </c>
      <c r="K883" s="7" t="str">
        <f>VLOOKUP(J883,Introduction!$B$6:$C$14,2)</f>
        <v>Midlands</v>
      </c>
      <c r="L883" s="11">
        <v>223</v>
      </c>
      <c r="M883" s="12" t="s">
        <v>359</v>
      </c>
    </row>
    <row r="884" spans="1:13" ht="19.95" customHeight="1" x14ac:dyDescent="0.25">
      <c r="A884" s="41">
        <v>45383</v>
      </c>
      <c r="B884" s="47">
        <f>MONTH(Table13[[#This Row],[YearMonth]])</f>
        <v>4</v>
      </c>
      <c r="C884" s="9" t="s">
        <v>50</v>
      </c>
      <c r="D884" s="6" t="s">
        <v>330</v>
      </c>
      <c r="E884" s="6">
        <f>IF(Table13[[#This Row],[Quartile]]="TopQuartile", 1,
 IF(Table13[[#This Row],[Quartile]]="SecondQuartile", 2,
 IF(Table13[[#This Row],[Quartile]]="ThirdQuartile", 3,
 IF(Table13[[#This Row],[Quartile]]="FourthQuartile", 4, ""))))</f>
        <v>1</v>
      </c>
      <c r="F884" s="9" t="s">
        <v>360</v>
      </c>
      <c r="G884" s="9" t="str" cm="1">
        <f t="array" ref="G884">IFERROR(
  INDEX(Table13[Quartile],
    MATCH(1,
      (Table13[[#This Row],[OrgName]]=Table13[OrgName]) *
      (Table13[[#This Row],[Month Number]]-1=Table13[Month Number]),
    0)
  ),
"")</f>
        <v>TopQuartile</v>
      </c>
      <c r="H884" s="9">
        <f>IF(Table13[[#This Row],[Previous Quartile]]="TopQuartile", 1,
 IF(Table13[[#This Row],[Previous Quartile]]="SecondQuartile", 2,
 IF(Table13[[#This Row],[Previous Quartile]]="ThirdQuartile", 3,
 IF(Table13[[#This Row],[Previous Quartile]]="FourthQuartile", 4, ""))))</f>
        <v>1</v>
      </c>
      <c r="I884" s="9" t="str">
        <f>IF(Table13[[#This Row],[Previous Quartile Value]]="", "",
   IF(Table13[[#This Row],[Quartile Value]] &lt; Table13[[#This Row],[Previous Quartile Value]], "Improved",
   IF(Table13[[#This Row],[Quartile Value]] &gt; Table13[[#This Row],[Previous Quartile Value]], "Dropped", "Same")))</f>
        <v>Same</v>
      </c>
      <c r="J884" s="9" t="s">
        <v>12</v>
      </c>
      <c r="K884" s="7" t="str">
        <f>VLOOKUP(J884,Introduction!$B$6:$C$14,2)</f>
        <v>London</v>
      </c>
      <c r="L884" s="11">
        <v>199</v>
      </c>
      <c r="M884" s="12" t="s">
        <v>359</v>
      </c>
    </row>
    <row r="885" spans="1:13" ht="19.95" customHeight="1" x14ac:dyDescent="0.25">
      <c r="A885" s="41">
        <v>45383</v>
      </c>
      <c r="B885" s="47">
        <f>MONTH(Table13[[#This Row],[YearMonth]])</f>
        <v>4</v>
      </c>
      <c r="C885" s="9" t="s">
        <v>59</v>
      </c>
      <c r="D885" s="6" t="s">
        <v>330</v>
      </c>
      <c r="E885" s="6">
        <f>IF(Table13[[#This Row],[Quartile]]="TopQuartile", 1,
 IF(Table13[[#This Row],[Quartile]]="SecondQuartile", 2,
 IF(Table13[[#This Row],[Quartile]]="ThirdQuartile", 3,
 IF(Table13[[#This Row],[Quartile]]="FourthQuartile", 4, ""))))</f>
        <v>1</v>
      </c>
      <c r="F885" s="9" t="s">
        <v>363</v>
      </c>
      <c r="G885" s="9" t="str" cm="1">
        <f t="array" ref="G885">IFERROR(
  INDEX(Table13[Quartile],
    MATCH(1,
      (Table13[[#This Row],[OrgName]]=Table13[OrgName]) *
      (Table13[[#This Row],[Month Number]]-1=Table13[Month Number]),
    0)
  ),
"")</f>
        <v>TopQuartile</v>
      </c>
      <c r="H885" s="9">
        <f>IF(Table13[[#This Row],[Previous Quartile]]="TopQuartile", 1,
 IF(Table13[[#This Row],[Previous Quartile]]="SecondQuartile", 2,
 IF(Table13[[#This Row],[Previous Quartile]]="ThirdQuartile", 3,
 IF(Table13[[#This Row],[Previous Quartile]]="FourthQuartile", 4, ""))))</f>
        <v>1</v>
      </c>
      <c r="I885" s="9" t="str">
        <f>IF(Table13[[#This Row],[Previous Quartile Value]]="", "",
   IF(Table13[[#This Row],[Quartile Value]] &lt; Table13[[#This Row],[Previous Quartile Value]], "Improved",
   IF(Table13[[#This Row],[Quartile Value]] &gt; Table13[[#This Row],[Previous Quartile Value]], "Dropped", "Same")))</f>
        <v>Same</v>
      </c>
      <c r="J885" s="9" t="s">
        <v>24</v>
      </c>
      <c r="K885" s="7" t="str">
        <f>VLOOKUP(J885,Introduction!$B$6:$C$14,2)</f>
        <v>North East and Yorkshire</v>
      </c>
      <c r="L885" s="11">
        <v>208</v>
      </c>
      <c r="M885" s="12" t="s">
        <v>359</v>
      </c>
    </row>
    <row r="886" spans="1:13" ht="19.95" customHeight="1" x14ac:dyDescent="0.25">
      <c r="A886" s="41">
        <v>45383</v>
      </c>
      <c r="B886" s="47">
        <f>MONTH(Table13[[#This Row],[YearMonth]])</f>
        <v>4</v>
      </c>
      <c r="C886" s="9" t="s">
        <v>105</v>
      </c>
      <c r="D886" s="6" t="s">
        <v>330</v>
      </c>
      <c r="E886" s="6">
        <f>IF(Table13[[#This Row],[Quartile]]="TopQuartile", 1,
 IF(Table13[[#This Row],[Quartile]]="SecondQuartile", 2,
 IF(Table13[[#This Row],[Quartile]]="ThirdQuartile", 3,
 IF(Table13[[#This Row],[Quartile]]="FourthQuartile", 4, ""))))</f>
        <v>1</v>
      </c>
      <c r="F886" s="9" t="s">
        <v>365</v>
      </c>
      <c r="G886" s="9" t="str" cm="1">
        <f t="array" ref="G886">IFERROR(
  INDEX(Table13[Quartile],
    MATCH(1,
      (Table13[[#This Row],[OrgName]]=Table13[OrgName]) *
      (Table13[[#This Row],[Month Number]]-1=Table13[Month Number]),
    0)
  ),
"")</f>
        <v>TopQuartile</v>
      </c>
      <c r="H886" s="9">
        <f>IF(Table13[[#This Row],[Previous Quartile]]="TopQuartile", 1,
 IF(Table13[[#This Row],[Previous Quartile]]="SecondQuartile", 2,
 IF(Table13[[#This Row],[Previous Quartile]]="ThirdQuartile", 3,
 IF(Table13[[#This Row],[Previous Quartile]]="FourthQuartile", 4, ""))))</f>
        <v>1</v>
      </c>
      <c r="I886" s="9" t="str">
        <f>IF(Table13[[#This Row],[Previous Quartile Value]]="", "",
   IF(Table13[[#This Row],[Quartile Value]] &lt; Table13[[#This Row],[Previous Quartile Value]], "Improved",
   IF(Table13[[#This Row],[Quartile Value]] &gt; Table13[[#This Row],[Previous Quartile Value]], "Dropped", "Same")))</f>
        <v>Same</v>
      </c>
      <c r="J886" s="9" t="s">
        <v>12</v>
      </c>
      <c r="K886" s="7" t="str">
        <f>VLOOKUP(J886,Introduction!$B$6:$C$14,2)</f>
        <v>London</v>
      </c>
      <c r="L886" s="11">
        <v>396</v>
      </c>
      <c r="M886" s="12" t="s">
        <v>359</v>
      </c>
    </row>
    <row r="887" spans="1:13" ht="19.95" customHeight="1" x14ac:dyDescent="0.25">
      <c r="A887" s="41">
        <v>45383</v>
      </c>
      <c r="B887" s="47">
        <f>MONTH(Table13[[#This Row],[YearMonth]])</f>
        <v>4</v>
      </c>
      <c r="C887" s="9" t="s">
        <v>136</v>
      </c>
      <c r="D887" s="6" t="s">
        <v>338</v>
      </c>
      <c r="E887" s="6">
        <f>IF(Table13[[#This Row],[Quartile]]="TopQuartile", 1,
 IF(Table13[[#This Row],[Quartile]]="SecondQuartile", 2,
 IF(Table13[[#This Row],[Quartile]]="ThirdQuartile", 3,
 IF(Table13[[#This Row],[Quartile]]="FourthQuartile", 4, ""))))</f>
        <v>2</v>
      </c>
      <c r="F887" s="9" t="s">
        <v>368</v>
      </c>
      <c r="G887" s="9" t="str" cm="1">
        <f t="array" ref="G887">IFERROR(
  INDEX(Table13[Quartile],
    MATCH(1,
      (Table13[[#This Row],[OrgName]]=Table13[OrgName]) *
      (Table13[[#This Row],[Month Number]]-1=Table13[Month Number]),
    0)
  ),
"")</f>
        <v>SecondQuartile</v>
      </c>
      <c r="H887" s="9">
        <f>IF(Table13[[#This Row],[Previous Quartile]]="TopQuartile", 1,
 IF(Table13[[#This Row],[Previous Quartile]]="SecondQuartile", 2,
 IF(Table13[[#This Row],[Previous Quartile]]="ThirdQuartile", 3,
 IF(Table13[[#This Row],[Previous Quartile]]="FourthQuartile", 4, ""))))</f>
        <v>2</v>
      </c>
      <c r="I887" s="9" t="str">
        <f>IF(Table13[[#This Row],[Previous Quartile Value]]="", "",
   IF(Table13[[#This Row],[Quartile Value]] &lt; Table13[[#This Row],[Previous Quartile Value]], "Improved",
   IF(Table13[[#This Row],[Quartile Value]] &gt; Table13[[#This Row],[Previous Quartile Value]], "Dropped", "Same")))</f>
        <v>Same</v>
      </c>
      <c r="J887" s="9" t="s">
        <v>16</v>
      </c>
      <c r="K887" s="7" t="str">
        <f>VLOOKUP(J887,Introduction!$B$6:$C$14,2)</f>
        <v>South East</v>
      </c>
      <c r="L887" s="11">
        <v>326</v>
      </c>
      <c r="M887" s="12" t="s">
        <v>359</v>
      </c>
    </row>
    <row r="888" spans="1:13" ht="19.95" customHeight="1" x14ac:dyDescent="0.25">
      <c r="A888" s="41">
        <v>45383</v>
      </c>
      <c r="B888" s="47">
        <f>MONTH(Table13[[#This Row],[YearMonth]])</f>
        <v>4</v>
      </c>
      <c r="C888" s="9" t="s">
        <v>54</v>
      </c>
      <c r="D888" s="6" t="s">
        <v>338</v>
      </c>
      <c r="E888" s="6">
        <f>IF(Table13[[#This Row],[Quartile]]="TopQuartile", 1,
 IF(Table13[[#This Row],[Quartile]]="SecondQuartile", 2,
 IF(Table13[[#This Row],[Quartile]]="ThirdQuartile", 3,
 IF(Table13[[#This Row],[Quartile]]="FourthQuartile", 4, ""))))</f>
        <v>2</v>
      </c>
      <c r="F888" s="9" t="s">
        <v>361</v>
      </c>
      <c r="G888" s="9" t="str" cm="1">
        <f t="array" ref="G888">IFERROR(
  INDEX(Table13[Quartile],
    MATCH(1,
      (Table13[[#This Row],[OrgName]]=Table13[OrgName]) *
      (Table13[[#This Row],[Month Number]]-1=Table13[Month Number]),
    0)
  ),
"")</f>
        <v>TopQuartile</v>
      </c>
      <c r="H888" s="9">
        <f>IF(Table13[[#This Row],[Previous Quartile]]="TopQuartile", 1,
 IF(Table13[[#This Row],[Previous Quartile]]="SecondQuartile", 2,
 IF(Table13[[#This Row],[Previous Quartile]]="ThirdQuartile", 3,
 IF(Table13[[#This Row],[Previous Quartile]]="FourthQuartile", 4, ""))))</f>
        <v>1</v>
      </c>
      <c r="I888" s="9" t="str">
        <f>IF(Table13[[#This Row],[Previous Quartile Value]]="", "",
   IF(Table13[[#This Row],[Quartile Value]] &lt; Table13[[#This Row],[Previous Quartile Value]], "Improved",
   IF(Table13[[#This Row],[Quartile Value]] &gt; Table13[[#This Row],[Previous Quartile Value]], "Dropped", "Same")))</f>
        <v>Dropped</v>
      </c>
      <c r="J888" s="9" t="s">
        <v>24</v>
      </c>
      <c r="K888" s="7" t="str">
        <f>VLOOKUP(J888,Introduction!$B$6:$C$14,2)</f>
        <v>North East and Yorkshire</v>
      </c>
      <c r="L888" s="11">
        <v>297</v>
      </c>
      <c r="M888" s="12" t="s">
        <v>359</v>
      </c>
    </row>
    <row r="889" spans="1:13" ht="19.95" customHeight="1" x14ac:dyDescent="0.25">
      <c r="A889" s="41">
        <v>45383</v>
      </c>
      <c r="B889" s="47">
        <f>MONTH(Table13[[#This Row],[YearMonth]])</f>
        <v>4</v>
      </c>
      <c r="C889" s="9" t="s">
        <v>97</v>
      </c>
      <c r="D889" s="6" t="s">
        <v>338</v>
      </c>
      <c r="E889" s="6">
        <f>IF(Table13[[#This Row],[Quartile]]="TopQuartile", 1,
 IF(Table13[[#This Row],[Quartile]]="SecondQuartile", 2,
 IF(Table13[[#This Row],[Quartile]]="ThirdQuartile", 3,
 IF(Table13[[#This Row],[Quartile]]="FourthQuartile", 4, ""))))</f>
        <v>2</v>
      </c>
      <c r="F889" s="9" t="s">
        <v>364</v>
      </c>
      <c r="G889" s="9" t="str" cm="1">
        <f t="array" ref="G889">IFERROR(
  INDEX(Table13[Quartile],
    MATCH(1,
      (Table13[[#This Row],[OrgName]]=Table13[OrgName]) *
      (Table13[[#This Row],[Month Number]]-1=Table13[Month Number]),
    0)
  ),
"")</f>
        <v>SecondQuartile</v>
      </c>
      <c r="H889" s="9">
        <f>IF(Table13[[#This Row],[Previous Quartile]]="TopQuartile", 1,
 IF(Table13[[#This Row],[Previous Quartile]]="SecondQuartile", 2,
 IF(Table13[[#This Row],[Previous Quartile]]="ThirdQuartile", 3,
 IF(Table13[[#This Row],[Previous Quartile]]="FourthQuartile", 4, ""))))</f>
        <v>2</v>
      </c>
      <c r="I889" s="9" t="str">
        <f>IF(Table13[[#This Row],[Previous Quartile Value]]="", "",
   IF(Table13[[#This Row],[Quartile Value]] &lt; Table13[[#This Row],[Previous Quartile Value]], "Improved",
   IF(Table13[[#This Row],[Quartile Value]] &gt; Table13[[#This Row],[Previous Quartile Value]], "Dropped", "Same")))</f>
        <v>Same</v>
      </c>
      <c r="J889" s="9" t="s">
        <v>14</v>
      </c>
      <c r="K889" s="7" t="str">
        <f>VLOOKUP(J889,Introduction!$B$6:$C$14,2)</f>
        <v>South West</v>
      </c>
      <c r="L889" s="11">
        <v>427</v>
      </c>
      <c r="M889" s="12" t="s">
        <v>359</v>
      </c>
    </row>
    <row r="890" spans="1:13" ht="19.95" customHeight="1" x14ac:dyDescent="0.25">
      <c r="A890" s="41">
        <v>45383</v>
      </c>
      <c r="B890" s="47">
        <f>MONTH(Table13[[#This Row],[YearMonth]])</f>
        <v>4</v>
      </c>
      <c r="C890" s="9" t="s">
        <v>129</v>
      </c>
      <c r="D890" s="6" t="s">
        <v>338</v>
      </c>
      <c r="E890" s="6">
        <f>IF(Table13[[#This Row],[Quartile]]="TopQuartile", 1,
 IF(Table13[[#This Row],[Quartile]]="SecondQuartile", 2,
 IF(Table13[[#This Row],[Quartile]]="ThirdQuartile", 3,
 IF(Table13[[#This Row],[Quartile]]="FourthQuartile", 4, ""))))</f>
        <v>2</v>
      </c>
      <c r="F890" s="9" t="s">
        <v>367</v>
      </c>
      <c r="G890" s="9" t="str" cm="1">
        <f t="array" ref="G890">IFERROR(
  INDEX(Table13[Quartile],
    MATCH(1,
      (Table13[[#This Row],[OrgName]]=Table13[OrgName]) *
      (Table13[[#This Row],[Month Number]]-1=Table13[Month Number]),
    0)
  ),
"")</f>
        <v>SecondQuartile</v>
      </c>
      <c r="H890" s="9">
        <f>IF(Table13[[#This Row],[Previous Quartile]]="TopQuartile", 1,
 IF(Table13[[#This Row],[Previous Quartile]]="SecondQuartile", 2,
 IF(Table13[[#This Row],[Previous Quartile]]="ThirdQuartile", 3,
 IF(Table13[[#This Row],[Previous Quartile]]="FourthQuartile", 4, ""))))</f>
        <v>2</v>
      </c>
      <c r="I890" s="9" t="str">
        <f>IF(Table13[[#This Row],[Previous Quartile Value]]="", "",
   IF(Table13[[#This Row],[Quartile Value]] &lt; Table13[[#This Row],[Previous Quartile Value]], "Improved",
   IF(Table13[[#This Row],[Quartile Value]] &gt; Table13[[#This Row],[Previous Quartile Value]], "Dropped", "Same")))</f>
        <v>Same</v>
      </c>
      <c r="J890" s="9" t="s">
        <v>18</v>
      </c>
      <c r="K890" s="7" t="str">
        <f>VLOOKUP(J890,Introduction!$B$6:$C$14,2)</f>
        <v>Midlands</v>
      </c>
      <c r="L890" s="11">
        <v>265</v>
      </c>
      <c r="M890" s="12" t="s">
        <v>359</v>
      </c>
    </row>
    <row r="891" spans="1:13" ht="19.95" customHeight="1" x14ac:dyDescent="0.25">
      <c r="A891" s="41">
        <v>45383</v>
      </c>
      <c r="B891" s="47">
        <f>MONTH(Table13[[#This Row],[YearMonth]])</f>
        <v>4</v>
      </c>
      <c r="C891" s="9" t="s">
        <v>55</v>
      </c>
      <c r="D891" s="6" t="s">
        <v>338</v>
      </c>
      <c r="E891" s="6">
        <f>IF(Table13[[#This Row],[Quartile]]="TopQuartile", 1,
 IF(Table13[[#This Row],[Quartile]]="SecondQuartile", 2,
 IF(Table13[[#This Row],[Quartile]]="ThirdQuartile", 3,
 IF(Table13[[#This Row],[Quartile]]="FourthQuartile", 4, ""))))</f>
        <v>2</v>
      </c>
      <c r="F891" s="9" t="s">
        <v>362</v>
      </c>
      <c r="G891" s="9" t="str" cm="1">
        <f t="array" ref="G891">IFERROR(
  INDEX(Table13[Quartile],
    MATCH(1,
      (Table13[[#This Row],[OrgName]]=Table13[OrgName]) *
      (Table13[[#This Row],[Month Number]]-1=Table13[Month Number]),
    0)
  ),
"")</f>
        <v>SecondQuartile</v>
      </c>
      <c r="H891" s="9">
        <f>IF(Table13[[#This Row],[Previous Quartile]]="TopQuartile", 1,
 IF(Table13[[#This Row],[Previous Quartile]]="SecondQuartile", 2,
 IF(Table13[[#This Row],[Previous Quartile]]="ThirdQuartile", 3,
 IF(Table13[[#This Row],[Previous Quartile]]="FourthQuartile", 4, ""))))</f>
        <v>2</v>
      </c>
      <c r="I891" s="9" t="str">
        <f>IF(Table13[[#This Row],[Previous Quartile Value]]="", "",
   IF(Table13[[#This Row],[Quartile Value]] &lt; Table13[[#This Row],[Previous Quartile Value]], "Improved",
   IF(Table13[[#This Row],[Quartile Value]] &gt; Table13[[#This Row],[Previous Quartile Value]], "Dropped", "Same")))</f>
        <v>Same</v>
      </c>
      <c r="J891" s="9" t="s">
        <v>18</v>
      </c>
      <c r="K891" s="7" t="str">
        <f>VLOOKUP(J891,Introduction!$B$6:$C$14,2)</f>
        <v>Midlands</v>
      </c>
      <c r="L891" s="11">
        <v>214</v>
      </c>
      <c r="M891" s="12" t="s">
        <v>359</v>
      </c>
    </row>
    <row r="892" spans="1:13" ht="19.95" customHeight="1" x14ac:dyDescent="0.25">
      <c r="A892" s="41">
        <v>45383</v>
      </c>
      <c r="B892" s="47">
        <f>MONTH(Table13[[#This Row],[YearMonth]])</f>
        <v>4</v>
      </c>
      <c r="C892" s="9" t="s">
        <v>121</v>
      </c>
      <c r="D892" s="6" t="s">
        <v>338</v>
      </c>
      <c r="E892" s="6">
        <f>IF(Table13[[#This Row],[Quartile]]="TopQuartile", 1,
 IF(Table13[[#This Row],[Quartile]]="SecondQuartile", 2,
 IF(Table13[[#This Row],[Quartile]]="ThirdQuartile", 3,
 IF(Table13[[#This Row],[Quartile]]="FourthQuartile", 4, ""))))</f>
        <v>2</v>
      </c>
      <c r="F892" s="9" t="s">
        <v>366</v>
      </c>
      <c r="G892" s="9" t="str" cm="1">
        <f t="array" ref="G892">IFERROR(
  INDEX(Table13[Quartile],
    MATCH(1,
      (Table13[[#This Row],[OrgName]]=Table13[OrgName]) *
      (Table13[[#This Row],[Month Number]]-1=Table13[Month Number]),
    0)
  ),
"")</f>
        <v>SecondQuartile</v>
      </c>
      <c r="H892" s="9">
        <f>IF(Table13[[#This Row],[Previous Quartile]]="TopQuartile", 1,
 IF(Table13[[#This Row],[Previous Quartile]]="SecondQuartile", 2,
 IF(Table13[[#This Row],[Previous Quartile]]="ThirdQuartile", 3,
 IF(Table13[[#This Row],[Previous Quartile]]="FourthQuartile", 4, ""))))</f>
        <v>2</v>
      </c>
      <c r="I892" s="9" t="str">
        <f>IF(Table13[[#This Row],[Previous Quartile Value]]="", "",
   IF(Table13[[#This Row],[Quartile Value]] &lt; Table13[[#This Row],[Previous Quartile Value]], "Improved",
   IF(Table13[[#This Row],[Quartile Value]] &gt; Table13[[#This Row],[Previous Quartile Value]], "Dropped", "Same")))</f>
        <v>Same</v>
      </c>
      <c r="J892" s="9" t="s">
        <v>24</v>
      </c>
      <c r="K892" s="7" t="str">
        <f>VLOOKUP(J892,Introduction!$B$6:$C$14,2)</f>
        <v>North East and Yorkshire</v>
      </c>
      <c r="L892" s="11">
        <v>345</v>
      </c>
      <c r="M892" s="12" t="s">
        <v>359</v>
      </c>
    </row>
    <row r="893" spans="1:13" ht="19.95" customHeight="1" x14ac:dyDescent="0.25">
      <c r="A893" s="41">
        <v>45383</v>
      </c>
      <c r="B893" s="47">
        <f>MONTH(Table13[[#This Row],[YearMonth]])</f>
        <v>4</v>
      </c>
      <c r="C893" s="9" t="s">
        <v>169</v>
      </c>
      <c r="D893" s="6" t="s">
        <v>338</v>
      </c>
      <c r="E893" s="6">
        <f>IF(Table13[[#This Row],[Quartile]]="TopQuartile", 1,
 IF(Table13[[#This Row],[Quartile]]="SecondQuartile", 2,
 IF(Table13[[#This Row],[Quartile]]="ThirdQuartile", 3,
 IF(Table13[[#This Row],[Quartile]]="FourthQuartile", 4, ""))))</f>
        <v>2</v>
      </c>
      <c r="F893" s="9" t="s">
        <v>370</v>
      </c>
      <c r="G893" s="9" t="str" cm="1">
        <f t="array" ref="G893">IFERROR(
  INDEX(Table13[Quartile],
    MATCH(1,
      (Table13[[#This Row],[OrgName]]=Table13[OrgName]) *
      (Table13[[#This Row],[Month Number]]-1=Table13[Month Number]),
    0)
  ),
"")</f>
        <v>SecondQuartile</v>
      </c>
      <c r="H893" s="9">
        <f>IF(Table13[[#This Row],[Previous Quartile]]="TopQuartile", 1,
 IF(Table13[[#This Row],[Previous Quartile]]="SecondQuartile", 2,
 IF(Table13[[#This Row],[Previous Quartile]]="ThirdQuartile", 3,
 IF(Table13[[#This Row],[Previous Quartile]]="FourthQuartile", 4, ""))))</f>
        <v>2</v>
      </c>
      <c r="I893" s="9" t="str">
        <f>IF(Table13[[#This Row],[Previous Quartile Value]]="", "",
   IF(Table13[[#This Row],[Quartile Value]] &lt; Table13[[#This Row],[Previous Quartile Value]], "Improved",
   IF(Table13[[#This Row],[Quartile Value]] &gt; Table13[[#This Row],[Previous Quartile Value]], "Dropped", "Same")))</f>
        <v>Same</v>
      </c>
      <c r="J893" s="9" t="s">
        <v>16</v>
      </c>
      <c r="K893" s="7" t="str">
        <f>VLOOKUP(J893,Introduction!$B$6:$C$14,2)</f>
        <v>South East</v>
      </c>
      <c r="L893" s="11">
        <v>275</v>
      </c>
      <c r="M893" s="12" t="s">
        <v>359</v>
      </c>
    </row>
    <row r="894" spans="1:13" ht="19.95" customHeight="1" x14ac:dyDescent="0.25">
      <c r="A894" s="41">
        <v>45383</v>
      </c>
      <c r="B894" s="47">
        <f>MONTH(Table13[[#This Row],[YearMonth]])</f>
        <v>4</v>
      </c>
      <c r="C894" s="9" t="s">
        <v>173</v>
      </c>
      <c r="D894" s="6" t="s">
        <v>338</v>
      </c>
      <c r="E894" s="6">
        <f>IF(Table13[[#This Row],[Quartile]]="TopQuartile", 1,
 IF(Table13[[#This Row],[Quartile]]="SecondQuartile", 2,
 IF(Table13[[#This Row],[Quartile]]="ThirdQuartile", 3,
 IF(Table13[[#This Row],[Quartile]]="FourthQuartile", 4, ""))))</f>
        <v>2</v>
      </c>
      <c r="F894" s="9" t="s">
        <v>371</v>
      </c>
      <c r="G894" s="9" t="str" cm="1">
        <f t="array" ref="G894">IFERROR(
  INDEX(Table13[Quartile],
    MATCH(1,
      (Table13[[#This Row],[OrgName]]=Table13[OrgName]) *
      (Table13[[#This Row],[Month Number]]-1=Table13[Month Number]),
    0)
  ),
"")</f>
        <v>SecondQuartile</v>
      </c>
      <c r="H894" s="9">
        <f>IF(Table13[[#This Row],[Previous Quartile]]="TopQuartile", 1,
 IF(Table13[[#This Row],[Previous Quartile]]="SecondQuartile", 2,
 IF(Table13[[#This Row],[Previous Quartile]]="ThirdQuartile", 3,
 IF(Table13[[#This Row],[Previous Quartile]]="FourthQuartile", 4, ""))))</f>
        <v>2</v>
      </c>
      <c r="I894" s="9" t="str">
        <f>IF(Table13[[#This Row],[Previous Quartile Value]]="", "",
   IF(Table13[[#This Row],[Quartile Value]] &lt; Table13[[#This Row],[Previous Quartile Value]], "Improved",
   IF(Table13[[#This Row],[Quartile Value]] &gt; Table13[[#This Row],[Previous Quartile Value]], "Dropped", "Same")))</f>
        <v>Same</v>
      </c>
      <c r="J894" s="9" t="s">
        <v>22</v>
      </c>
      <c r="K894" s="7" t="str">
        <f>VLOOKUP(J894,Introduction!$B$6:$C$14,2)</f>
        <v>North West</v>
      </c>
      <c r="L894" s="11">
        <v>241</v>
      </c>
      <c r="M894" s="12" t="s">
        <v>359</v>
      </c>
    </row>
    <row r="895" spans="1:13" ht="19.95" customHeight="1" x14ac:dyDescent="0.25">
      <c r="A895" s="41">
        <v>45383</v>
      </c>
      <c r="B895" s="47">
        <f>MONTH(Table13[[#This Row],[YearMonth]])</f>
        <v>4</v>
      </c>
      <c r="C895" s="9" t="s">
        <v>143</v>
      </c>
      <c r="D895" s="6" t="s">
        <v>338</v>
      </c>
      <c r="E895" s="6">
        <f>IF(Table13[[#This Row],[Quartile]]="TopQuartile", 1,
 IF(Table13[[#This Row],[Quartile]]="SecondQuartile", 2,
 IF(Table13[[#This Row],[Quartile]]="ThirdQuartile", 3,
 IF(Table13[[#This Row],[Quartile]]="FourthQuartile", 4, ""))))</f>
        <v>2</v>
      </c>
      <c r="F895" s="9" t="s">
        <v>369</v>
      </c>
      <c r="G895" s="9" t="str" cm="1">
        <f t="array" ref="G895">IFERROR(
  INDEX(Table13[Quartile],
    MATCH(1,
      (Table13[[#This Row],[OrgName]]=Table13[OrgName]) *
      (Table13[[#This Row],[Month Number]]-1=Table13[Month Number]),
    0)
  ),
"")</f>
        <v>ThirdQuartile</v>
      </c>
      <c r="H895" s="9">
        <f>IF(Table13[[#This Row],[Previous Quartile]]="TopQuartile", 1,
 IF(Table13[[#This Row],[Previous Quartile]]="SecondQuartile", 2,
 IF(Table13[[#This Row],[Previous Quartile]]="ThirdQuartile", 3,
 IF(Table13[[#This Row],[Previous Quartile]]="FourthQuartile", 4, ""))))</f>
        <v>3</v>
      </c>
      <c r="I895" s="9" t="str">
        <f>IF(Table13[[#This Row],[Previous Quartile Value]]="", "",
   IF(Table13[[#This Row],[Quartile Value]] &lt; Table13[[#This Row],[Previous Quartile Value]], "Improved",
   IF(Table13[[#This Row],[Quartile Value]] &gt; Table13[[#This Row],[Previous Quartile Value]], "Dropped", "Same")))</f>
        <v>Improved</v>
      </c>
      <c r="J895" s="9" t="s">
        <v>16</v>
      </c>
      <c r="K895" s="7" t="str">
        <f>VLOOKUP(J895,Introduction!$B$6:$C$14,2)</f>
        <v>South East</v>
      </c>
      <c r="L895" s="11">
        <v>384</v>
      </c>
      <c r="M895" s="12" t="s">
        <v>359</v>
      </c>
    </row>
    <row r="896" spans="1:13" ht="19.95" customHeight="1" x14ac:dyDescent="0.25">
      <c r="A896" s="41">
        <v>45383</v>
      </c>
      <c r="B896" s="47">
        <f>MONTH(Table13[[#This Row],[YearMonth]])</f>
        <v>4</v>
      </c>
      <c r="C896" s="9" t="s">
        <v>202</v>
      </c>
      <c r="D896" s="6" t="s">
        <v>341</v>
      </c>
      <c r="E896" s="6">
        <f>IF(Table13[[#This Row],[Quartile]]="TopQuartile", 1,
 IF(Table13[[#This Row],[Quartile]]="SecondQuartile", 2,
 IF(Table13[[#This Row],[Quartile]]="ThirdQuartile", 3,
 IF(Table13[[#This Row],[Quartile]]="FourthQuartile", 4, ""))))</f>
        <v>3</v>
      </c>
      <c r="F896" s="9" t="s">
        <v>373</v>
      </c>
      <c r="G896" s="9" t="str" cm="1">
        <f t="array" ref="G896">IFERROR(
  INDEX(Table13[Quartile],
    MATCH(1,
      (Table13[[#This Row],[OrgName]]=Table13[OrgName]) *
      (Table13[[#This Row],[Month Number]]-1=Table13[Month Number]),
    0)
  ),
"")</f>
        <v>SecondQuartile</v>
      </c>
      <c r="H896" s="9">
        <f>IF(Table13[[#This Row],[Previous Quartile]]="TopQuartile", 1,
 IF(Table13[[#This Row],[Previous Quartile]]="SecondQuartile", 2,
 IF(Table13[[#This Row],[Previous Quartile]]="ThirdQuartile", 3,
 IF(Table13[[#This Row],[Previous Quartile]]="FourthQuartile", 4, ""))))</f>
        <v>2</v>
      </c>
      <c r="I896" s="9" t="str">
        <f>IF(Table13[[#This Row],[Previous Quartile Value]]="", "",
   IF(Table13[[#This Row],[Quartile Value]] &lt; Table13[[#This Row],[Previous Quartile Value]], "Improved",
   IF(Table13[[#This Row],[Quartile Value]] &gt; Table13[[#This Row],[Previous Quartile Value]], "Dropped", "Same")))</f>
        <v>Dropped</v>
      </c>
      <c r="J896" s="9" t="s">
        <v>24</v>
      </c>
      <c r="K896" s="7" t="str">
        <f>VLOOKUP(J896,Introduction!$B$6:$C$14,2)</f>
        <v>North East and Yorkshire</v>
      </c>
      <c r="L896" s="11">
        <v>262</v>
      </c>
      <c r="M896" s="12" t="s">
        <v>359</v>
      </c>
    </row>
    <row r="897" spans="1:13" ht="19.95" customHeight="1" x14ac:dyDescent="0.25">
      <c r="A897" s="41">
        <v>45383</v>
      </c>
      <c r="B897" s="47">
        <f>MONTH(Table13[[#This Row],[YearMonth]])</f>
        <v>4</v>
      </c>
      <c r="C897" s="9" t="s">
        <v>188</v>
      </c>
      <c r="D897" s="6" t="s">
        <v>341</v>
      </c>
      <c r="E897" s="6">
        <f>IF(Table13[[#This Row],[Quartile]]="TopQuartile", 1,
 IF(Table13[[#This Row],[Quartile]]="SecondQuartile", 2,
 IF(Table13[[#This Row],[Quartile]]="ThirdQuartile", 3,
 IF(Table13[[#This Row],[Quartile]]="FourthQuartile", 4, ""))))</f>
        <v>3</v>
      </c>
      <c r="F897" s="9" t="s">
        <v>372</v>
      </c>
      <c r="G897" s="9" t="str" cm="1">
        <f t="array" ref="G897">IFERROR(
  INDEX(Table13[Quartile],
    MATCH(1,
      (Table13[[#This Row],[OrgName]]=Table13[OrgName]) *
      (Table13[[#This Row],[Month Number]]-1=Table13[Month Number]),
    0)
  ),
"")</f>
        <v>ThirdQuartile</v>
      </c>
      <c r="H897" s="9">
        <f>IF(Table13[[#This Row],[Previous Quartile]]="TopQuartile", 1,
 IF(Table13[[#This Row],[Previous Quartile]]="SecondQuartile", 2,
 IF(Table13[[#This Row],[Previous Quartile]]="ThirdQuartile", 3,
 IF(Table13[[#This Row],[Previous Quartile]]="FourthQuartile", 4, ""))))</f>
        <v>3</v>
      </c>
      <c r="I897" s="9" t="str">
        <f>IF(Table13[[#This Row],[Previous Quartile Value]]="", "",
   IF(Table13[[#This Row],[Quartile Value]] &lt; Table13[[#This Row],[Previous Quartile Value]], "Improved",
   IF(Table13[[#This Row],[Quartile Value]] &gt; Table13[[#This Row],[Previous Quartile Value]], "Dropped", "Same")))</f>
        <v>Same</v>
      </c>
      <c r="J897" s="9" t="s">
        <v>22</v>
      </c>
      <c r="K897" s="7" t="str">
        <f>VLOOKUP(J897,Introduction!$B$6:$C$14,2)</f>
        <v>North West</v>
      </c>
      <c r="L897" s="11">
        <v>362</v>
      </c>
      <c r="M897" s="12" t="s">
        <v>359</v>
      </c>
    </row>
    <row r="898" spans="1:13" ht="19.95" customHeight="1" x14ac:dyDescent="0.25">
      <c r="A898" s="41">
        <v>45383</v>
      </c>
      <c r="B898" s="47">
        <f>MONTH(Table13[[#This Row],[YearMonth]])</f>
        <v>4</v>
      </c>
      <c r="C898" s="9" t="s">
        <v>203</v>
      </c>
      <c r="D898" s="6" t="s">
        <v>341</v>
      </c>
      <c r="E898" s="6">
        <f>IF(Table13[[#This Row],[Quartile]]="TopQuartile", 1,
 IF(Table13[[#This Row],[Quartile]]="SecondQuartile", 2,
 IF(Table13[[#This Row],[Quartile]]="ThirdQuartile", 3,
 IF(Table13[[#This Row],[Quartile]]="FourthQuartile", 4, ""))))</f>
        <v>3</v>
      </c>
      <c r="F898" s="9" t="s">
        <v>374</v>
      </c>
      <c r="G898" s="9" t="str" cm="1">
        <f t="array" ref="G898">IFERROR(
  INDEX(Table13[Quartile],
    MATCH(1,
      (Table13[[#This Row],[OrgName]]=Table13[OrgName]) *
      (Table13[[#This Row],[Month Number]]-1=Table13[Month Number]),
    0)
  ),
"")</f>
        <v>ThirdQuartile</v>
      </c>
      <c r="H898" s="9">
        <f>IF(Table13[[#This Row],[Previous Quartile]]="TopQuartile", 1,
 IF(Table13[[#This Row],[Previous Quartile]]="SecondQuartile", 2,
 IF(Table13[[#This Row],[Previous Quartile]]="ThirdQuartile", 3,
 IF(Table13[[#This Row],[Previous Quartile]]="FourthQuartile", 4, ""))))</f>
        <v>3</v>
      </c>
      <c r="I898" s="9" t="str">
        <f>IF(Table13[[#This Row],[Previous Quartile Value]]="", "",
   IF(Table13[[#This Row],[Quartile Value]] &lt; Table13[[#This Row],[Previous Quartile Value]], "Improved",
   IF(Table13[[#This Row],[Quartile Value]] &gt; Table13[[#This Row],[Previous Quartile Value]], "Dropped", "Same")))</f>
        <v>Same</v>
      </c>
      <c r="J898" s="9" t="s">
        <v>20</v>
      </c>
      <c r="K898" s="7" t="str">
        <f>VLOOKUP(J898,Introduction!$B$6:$C$14,2)</f>
        <v>East of England</v>
      </c>
      <c r="L898" s="11">
        <v>418</v>
      </c>
      <c r="M898" s="12" t="s">
        <v>359</v>
      </c>
    </row>
    <row r="899" spans="1:13" ht="19.95" customHeight="1" x14ac:dyDescent="0.25">
      <c r="A899" s="41">
        <v>45383</v>
      </c>
      <c r="B899" s="47">
        <f>MONTH(Table13[[#This Row],[YearMonth]])</f>
        <v>4</v>
      </c>
      <c r="C899" s="9" t="s">
        <v>204</v>
      </c>
      <c r="D899" s="6" t="s">
        <v>341</v>
      </c>
      <c r="E899" s="6">
        <f>IF(Table13[[#This Row],[Quartile]]="TopQuartile", 1,
 IF(Table13[[#This Row],[Quartile]]="SecondQuartile", 2,
 IF(Table13[[#This Row],[Quartile]]="ThirdQuartile", 3,
 IF(Table13[[#This Row],[Quartile]]="FourthQuartile", 4, ""))))</f>
        <v>3</v>
      </c>
      <c r="F899" s="9" t="s">
        <v>375</v>
      </c>
      <c r="G899" s="9" t="str" cm="1">
        <f t="array" ref="G899">IFERROR(
  INDEX(Table13[Quartile],
    MATCH(1,
      (Table13[[#This Row],[OrgName]]=Table13[OrgName]) *
      (Table13[[#This Row],[Month Number]]-1=Table13[Month Number]),
    0)
  ),
"")</f>
        <v>ThirdQuartile</v>
      </c>
      <c r="H899" s="9">
        <f>IF(Table13[[#This Row],[Previous Quartile]]="TopQuartile", 1,
 IF(Table13[[#This Row],[Previous Quartile]]="SecondQuartile", 2,
 IF(Table13[[#This Row],[Previous Quartile]]="ThirdQuartile", 3,
 IF(Table13[[#This Row],[Previous Quartile]]="FourthQuartile", 4, ""))))</f>
        <v>3</v>
      </c>
      <c r="I899" s="9" t="str">
        <f>IF(Table13[[#This Row],[Previous Quartile Value]]="", "",
   IF(Table13[[#This Row],[Quartile Value]] &lt; Table13[[#This Row],[Previous Quartile Value]], "Improved",
   IF(Table13[[#This Row],[Quartile Value]] &gt; Table13[[#This Row],[Previous Quartile Value]], "Dropped", "Same")))</f>
        <v>Same</v>
      </c>
      <c r="J899" s="9" t="s">
        <v>14</v>
      </c>
      <c r="K899" s="7" t="str">
        <f>VLOOKUP(J899,Introduction!$B$6:$C$14,2)</f>
        <v>South West</v>
      </c>
      <c r="L899" s="11">
        <v>249</v>
      </c>
      <c r="M899" s="12" t="s">
        <v>359</v>
      </c>
    </row>
    <row r="900" spans="1:13" ht="19.95" customHeight="1" x14ac:dyDescent="0.25">
      <c r="A900" s="41">
        <v>45383</v>
      </c>
      <c r="B900" s="47">
        <f>MONTH(Table13[[#This Row],[YearMonth]])</f>
        <v>4</v>
      </c>
      <c r="C900" s="9" t="s">
        <v>227</v>
      </c>
      <c r="D900" s="6" t="s">
        <v>341</v>
      </c>
      <c r="E900" s="6">
        <f>IF(Table13[[#This Row],[Quartile]]="TopQuartile", 1,
 IF(Table13[[#This Row],[Quartile]]="SecondQuartile", 2,
 IF(Table13[[#This Row],[Quartile]]="ThirdQuartile", 3,
 IF(Table13[[#This Row],[Quartile]]="FourthQuartile", 4, ""))))</f>
        <v>3</v>
      </c>
      <c r="F900" s="9" t="s">
        <v>376</v>
      </c>
      <c r="G900" s="9" t="str" cm="1">
        <f t="array" ref="G900">IFERROR(
  INDEX(Table13[Quartile],
    MATCH(1,
      (Table13[[#This Row],[OrgName]]=Table13[OrgName]) *
      (Table13[[#This Row],[Month Number]]-1=Table13[Month Number]),
    0)
  ),
"")</f>
        <v>ThirdQuartile</v>
      </c>
      <c r="H900" s="9">
        <f>IF(Table13[[#This Row],[Previous Quartile]]="TopQuartile", 1,
 IF(Table13[[#This Row],[Previous Quartile]]="SecondQuartile", 2,
 IF(Table13[[#This Row],[Previous Quartile]]="ThirdQuartile", 3,
 IF(Table13[[#This Row],[Previous Quartile]]="FourthQuartile", 4, ""))))</f>
        <v>3</v>
      </c>
      <c r="I900" s="9" t="str">
        <f>IF(Table13[[#This Row],[Previous Quartile Value]]="", "",
   IF(Table13[[#This Row],[Quartile Value]] &lt; Table13[[#This Row],[Previous Quartile Value]], "Improved",
   IF(Table13[[#This Row],[Quartile Value]] &gt; Table13[[#This Row],[Previous Quartile Value]], "Dropped", "Same")))</f>
        <v>Same</v>
      </c>
      <c r="J900" s="9" t="s">
        <v>22</v>
      </c>
      <c r="K900" s="7" t="str">
        <f>VLOOKUP(J900,Introduction!$B$6:$C$14,2)</f>
        <v>North West</v>
      </c>
      <c r="L900" s="11">
        <v>302</v>
      </c>
      <c r="M900" s="12" t="s">
        <v>359</v>
      </c>
    </row>
    <row r="901" spans="1:13" ht="19.95" customHeight="1" x14ac:dyDescent="0.25">
      <c r="A901" s="41">
        <v>45383</v>
      </c>
      <c r="B901" s="47">
        <f>MONTH(Table13[[#This Row],[YearMonth]])</f>
        <v>4</v>
      </c>
      <c r="C901" s="9" t="s">
        <v>242</v>
      </c>
      <c r="D901" s="6" t="s">
        <v>341</v>
      </c>
      <c r="E901" s="6">
        <f>IF(Table13[[#This Row],[Quartile]]="TopQuartile", 1,
 IF(Table13[[#This Row],[Quartile]]="SecondQuartile", 2,
 IF(Table13[[#This Row],[Quartile]]="ThirdQuartile", 3,
 IF(Table13[[#This Row],[Quartile]]="FourthQuartile", 4, ""))))</f>
        <v>3</v>
      </c>
      <c r="F901" s="9" t="s">
        <v>377</v>
      </c>
      <c r="G901" s="9" t="str" cm="1">
        <f t="array" ref="G901">IFERROR(
  INDEX(Table13[Quartile],
    MATCH(1,
      (Table13[[#This Row],[OrgName]]=Table13[OrgName]) *
      (Table13[[#This Row],[Month Number]]-1=Table13[Month Number]),
    0)
  ),
"")</f>
        <v>ThirdQuartile</v>
      </c>
      <c r="H901" s="9">
        <f>IF(Table13[[#This Row],[Previous Quartile]]="TopQuartile", 1,
 IF(Table13[[#This Row],[Previous Quartile]]="SecondQuartile", 2,
 IF(Table13[[#This Row],[Previous Quartile]]="ThirdQuartile", 3,
 IF(Table13[[#This Row],[Previous Quartile]]="FourthQuartile", 4, ""))))</f>
        <v>3</v>
      </c>
      <c r="I901" s="9" t="str">
        <f>IF(Table13[[#This Row],[Previous Quartile Value]]="", "",
   IF(Table13[[#This Row],[Quartile Value]] &lt; Table13[[#This Row],[Previous Quartile Value]], "Improved",
   IF(Table13[[#This Row],[Quartile Value]] &gt; Table13[[#This Row],[Previous Quartile Value]], "Dropped", "Same")))</f>
        <v>Same</v>
      </c>
      <c r="J901" s="9" t="s">
        <v>16</v>
      </c>
      <c r="K901" s="7" t="str">
        <f>VLOOKUP(J901,Introduction!$B$6:$C$14,2)</f>
        <v>South East</v>
      </c>
      <c r="L901" s="11">
        <v>323</v>
      </c>
      <c r="M901" s="12" t="s">
        <v>359</v>
      </c>
    </row>
    <row r="902" spans="1:13" ht="19.95" customHeight="1" x14ac:dyDescent="0.25">
      <c r="A902" s="41">
        <v>45383</v>
      </c>
      <c r="B902" s="47">
        <f>MONTH(Table13[[#This Row],[YearMonth]])</f>
        <v>4</v>
      </c>
      <c r="C902" s="9" t="s">
        <v>252</v>
      </c>
      <c r="D902" s="6" t="s">
        <v>350</v>
      </c>
      <c r="E902" s="6">
        <f>IF(Table13[[#This Row],[Quartile]]="TopQuartile", 1,
 IF(Table13[[#This Row],[Quartile]]="SecondQuartile", 2,
 IF(Table13[[#This Row],[Quartile]]="ThirdQuartile", 3,
 IF(Table13[[#This Row],[Quartile]]="FourthQuartile", 4, ""))))</f>
        <v>4</v>
      </c>
      <c r="F902" s="9" t="s">
        <v>378</v>
      </c>
      <c r="G902" s="9" t="str" cm="1">
        <f t="array" ref="G902">IFERROR(
  INDEX(Table13[Quartile],
    MATCH(1,
      (Table13[[#This Row],[OrgName]]=Table13[OrgName]) *
      (Table13[[#This Row],[Month Number]]-1=Table13[Month Number]),
    0)
  ),
"")</f>
        <v>FourthQuartile</v>
      </c>
      <c r="H902" s="9">
        <f>IF(Table13[[#This Row],[Previous Quartile]]="TopQuartile", 1,
 IF(Table13[[#This Row],[Previous Quartile]]="SecondQuartile", 2,
 IF(Table13[[#This Row],[Previous Quartile]]="ThirdQuartile", 3,
 IF(Table13[[#This Row],[Previous Quartile]]="FourthQuartile", 4, ""))))</f>
        <v>4</v>
      </c>
      <c r="I902" s="9" t="str">
        <f>IF(Table13[[#This Row],[Previous Quartile Value]]="", "",
   IF(Table13[[#This Row],[Quartile Value]] &lt; Table13[[#This Row],[Previous Quartile Value]], "Improved",
   IF(Table13[[#This Row],[Quartile Value]] &gt; Table13[[#This Row],[Previous Quartile Value]], "Dropped", "Same")))</f>
        <v>Same</v>
      </c>
      <c r="J902" s="9" t="s">
        <v>18</v>
      </c>
      <c r="K902" s="7" t="str">
        <f>VLOOKUP(J902,Introduction!$B$6:$C$14,2)</f>
        <v>Midlands</v>
      </c>
      <c r="L902" s="11">
        <v>253</v>
      </c>
      <c r="M902" s="12" t="s">
        <v>359</v>
      </c>
    </row>
    <row r="903" spans="1:13" ht="19.95" customHeight="1" x14ac:dyDescent="0.25">
      <c r="A903" s="41">
        <v>45383</v>
      </c>
      <c r="B903" s="47">
        <f>MONTH(Table13[[#This Row],[YearMonth]])</f>
        <v>4</v>
      </c>
      <c r="C903" s="9" t="s">
        <v>138</v>
      </c>
      <c r="D903" s="6" t="s">
        <v>330</v>
      </c>
      <c r="E903" s="6">
        <f>IF(Table13[[#This Row],[Quartile]]="TopQuartile", 1,
 IF(Table13[[#This Row],[Quartile]]="SecondQuartile", 2,
 IF(Table13[[#This Row],[Quartile]]="ThirdQuartile", 3,
 IF(Table13[[#This Row],[Quartile]]="FourthQuartile", 4, ""))))</f>
        <v>1</v>
      </c>
      <c r="F903" s="9" t="s">
        <v>382</v>
      </c>
      <c r="G903" s="9" t="str" cm="1">
        <f t="array" ref="G903">IFERROR(
  INDEX(Table13[Quartile],
    MATCH(1,
      (Table13[[#This Row],[OrgName]]=Table13[OrgName]) *
      (Table13[[#This Row],[Month Number]]-1=Table13[Month Number]),
    0)
  ),
"")</f>
        <v>TopQuartile</v>
      </c>
      <c r="H903" s="9">
        <f>IF(Table13[[#This Row],[Previous Quartile]]="TopQuartile", 1,
 IF(Table13[[#This Row],[Previous Quartile]]="SecondQuartile", 2,
 IF(Table13[[#This Row],[Previous Quartile]]="ThirdQuartile", 3,
 IF(Table13[[#This Row],[Previous Quartile]]="FourthQuartile", 4, ""))))</f>
        <v>1</v>
      </c>
      <c r="I903" s="9" t="str">
        <f>IF(Table13[[#This Row],[Previous Quartile Value]]="", "",
   IF(Table13[[#This Row],[Quartile Value]] &lt; Table13[[#This Row],[Previous Quartile Value]], "Improved",
   IF(Table13[[#This Row],[Quartile Value]] &gt; Table13[[#This Row],[Previous Quartile Value]], "Dropped", "Same")))</f>
        <v>Same</v>
      </c>
      <c r="J903" s="9" t="s">
        <v>24</v>
      </c>
      <c r="K903" s="7" t="str">
        <f>VLOOKUP(J903,Introduction!$B$6:$C$14,2)</f>
        <v>North East and Yorkshire</v>
      </c>
      <c r="L903" s="11">
        <v>439</v>
      </c>
      <c r="M903" s="12" t="s">
        <v>380</v>
      </c>
    </row>
    <row r="904" spans="1:13" ht="19.95" customHeight="1" x14ac:dyDescent="0.25">
      <c r="A904" s="41">
        <v>45383</v>
      </c>
      <c r="B904" s="47">
        <f>MONTH(Table13[[#This Row],[YearMonth]])</f>
        <v>4</v>
      </c>
      <c r="C904" s="9" t="s">
        <v>106</v>
      </c>
      <c r="D904" s="6" t="s">
        <v>330</v>
      </c>
      <c r="E904" s="6">
        <f>IF(Table13[[#This Row],[Quartile]]="TopQuartile", 1,
 IF(Table13[[#This Row],[Quartile]]="SecondQuartile", 2,
 IF(Table13[[#This Row],[Quartile]]="ThirdQuartile", 3,
 IF(Table13[[#This Row],[Quartile]]="FourthQuartile", 4, ""))))</f>
        <v>1</v>
      </c>
      <c r="F904" s="9" t="s">
        <v>381</v>
      </c>
      <c r="G904" s="9" t="str" cm="1">
        <f t="array" ref="G904">IFERROR(
  INDEX(Table13[Quartile],
    MATCH(1,
      (Table13[[#This Row],[OrgName]]=Table13[OrgName]) *
      (Table13[[#This Row],[Month Number]]-1=Table13[Month Number]),
    0)
  ),
"")</f>
        <v>TopQuartile</v>
      </c>
      <c r="H904" s="9">
        <f>IF(Table13[[#This Row],[Previous Quartile]]="TopQuartile", 1,
 IF(Table13[[#This Row],[Previous Quartile]]="SecondQuartile", 2,
 IF(Table13[[#This Row],[Previous Quartile]]="ThirdQuartile", 3,
 IF(Table13[[#This Row],[Previous Quartile]]="FourthQuartile", 4, ""))))</f>
        <v>1</v>
      </c>
      <c r="I904" s="9" t="str">
        <f>IF(Table13[[#This Row],[Previous Quartile Value]]="", "",
   IF(Table13[[#This Row],[Quartile Value]] &lt; Table13[[#This Row],[Previous Quartile Value]], "Improved",
   IF(Table13[[#This Row],[Quartile Value]] &gt; Table13[[#This Row],[Previous Quartile Value]], "Dropped", "Same")))</f>
        <v>Same</v>
      </c>
      <c r="J904" s="9" t="s">
        <v>14</v>
      </c>
      <c r="K904" s="7" t="str">
        <f>VLOOKUP(J904,Introduction!$B$6:$C$14,2)</f>
        <v>South West</v>
      </c>
      <c r="L904" s="11">
        <v>388</v>
      </c>
      <c r="M904" s="12" t="s">
        <v>380</v>
      </c>
    </row>
    <row r="905" spans="1:13" ht="19.95" customHeight="1" x14ac:dyDescent="0.25">
      <c r="A905" s="41">
        <v>45383</v>
      </c>
      <c r="B905" s="47">
        <f>MONTH(Table13[[#This Row],[YearMonth]])</f>
        <v>4</v>
      </c>
      <c r="C905" s="9" t="s">
        <v>104</v>
      </c>
      <c r="D905" s="6" t="s">
        <v>330</v>
      </c>
      <c r="E905" s="6">
        <f>IF(Table13[[#This Row],[Quartile]]="TopQuartile", 1,
 IF(Table13[[#This Row],[Quartile]]="SecondQuartile", 2,
 IF(Table13[[#This Row],[Quartile]]="ThirdQuartile", 3,
 IF(Table13[[#This Row],[Quartile]]="FourthQuartile", 4, ""))))</f>
        <v>1</v>
      </c>
      <c r="F905" s="9" t="s">
        <v>379</v>
      </c>
      <c r="G905" s="9" t="str" cm="1">
        <f t="array" ref="G905">IFERROR(
  INDEX(Table13[Quartile],
    MATCH(1,
      (Table13[[#This Row],[OrgName]]=Table13[OrgName]) *
      (Table13[[#This Row],[Month Number]]-1=Table13[Month Number]),
    0)
  ),
"")</f>
        <v>TopQuartile</v>
      </c>
      <c r="H905" s="9">
        <f>IF(Table13[[#This Row],[Previous Quartile]]="TopQuartile", 1,
 IF(Table13[[#This Row],[Previous Quartile]]="SecondQuartile", 2,
 IF(Table13[[#This Row],[Previous Quartile]]="ThirdQuartile", 3,
 IF(Table13[[#This Row],[Previous Quartile]]="FourthQuartile", 4, ""))))</f>
        <v>1</v>
      </c>
      <c r="I905" s="9" t="str">
        <f>IF(Table13[[#This Row],[Previous Quartile Value]]="", "",
   IF(Table13[[#This Row],[Quartile Value]] &lt; Table13[[#This Row],[Previous Quartile Value]], "Improved",
   IF(Table13[[#This Row],[Quartile Value]] &gt; Table13[[#This Row],[Previous Quartile Value]], "Dropped", "Same")))</f>
        <v>Same</v>
      </c>
      <c r="J905" s="9" t="s">
        <v>16</v>
      </c>
      <c r="K905" s="7" t="str">
        <f>VLOOKUP(J905,Introduction!$B$6:$C$14,2)</f>
        <v>South East</v>
      </c>
      <c r="L905" s="11">
        <v>434</v>
      </c>
      <c r="M905" s="12" t="s">
        <v>380</v>
      </c>
    </row>
    <row r="906" spans="1:13" ht="19.95" customHeight="1" x14ac:dyDescent="0.25">
      <c r="A906" s="41">
        <v>45383</v>
      </c>
      <c r="B906" s="47">
        <f>MONTH(Table13[[#This Row],[YearMonth]])</f>
        <v>4</v>
      </c>
      <c r="C906" s="9" t="s">
        <v>148</v>
      </c>
      <c r="D906" s="6" t="s">
        <v>338</v>
      </c>
      <c r="E906" s="6">
        <f>IF(Table13[[#This Row],[Quartile]]="TopQuartile", 1,
 IF(Table13[[#This Row],[Quartile]]="SecondQuartile", 2,
 IF(Table13[[#This Row],[Quartile]]="ThirdQuartile", 3,
 IF(Table13[[#This Row],[Quartile]]="FourthQuartile", 4, ""))))</f>
        <v>2</v>
      </c>
      <c r="F906" s="9" t="s">
        <v>383</v>
      </c>
      <c r="G906" s="9" t="str" cm="1">
        <f t="array" ref="G906">IFERROR(
  INDEX(Table13[Quartile],
    MATCH(1,
      (Table13[[#This Row],[OrgName]]=Table13[OrgName]) *
      (Table13[[#This Row],[Month Number]]-1=Table13[Month Number]),
    0)
  ),
"")</f>
        <v>SecondQuartile</v>
      </c>
      <c r="H906" s="9">
        <f>IF(Table13[[#This Row],[Previous Quartile]]="TopQuartile", 1,
 IF(Table13[[#This Row],[Previous Quartile]]="SecondQuartile", 2,
 IF(Table13[[#This Row],[Previous Quartile]]="ThirdQuartile", 3,
 IF(Table13[[#This Row],[Previous Quartile]]="FourthQuartile", 4, ""))))</f>
        <v>2</v>
      </c>
      <c r="I906" s="9" t="str">
        <f>IF(Table13[[#This Row],[Previous Quartile Value]]="", "",
   IF(Table13[[#This Row],[Quartile Value]] &lt; Table13[[#This Row],[Previous Quartile Value]], "Improved",
   IF(Table13[[#This Row],[Quartile Value]] &gt; Table13[[#This Row],[Previous Quartile Value]], "Dropped", "Same")))</f>
        <v>Same</v>
      </c>
      <c r="J906" s="9" t="s">
        <v>18</v>
      </c>
      <c r="K906" s="7" t="str">
        <f>VLOOKUP(J906,Introduction!$B$6:$C$14,2)</f>
        <v>Midlands</v>
      </c>
      <c r="L906" s="11">
        <v>229</v>
      </c>
      <c r="M906" s="12" t="s">
        <v>380</v>
      </c>
    </row>
    <row r="907" spans="1:13" ht="19.95" customHeight="1" x14ac:dyDescent="0.25">
      <c r="A907" s="41">
        <v>45383</v>
      </c>
      <c r="B907" s="47">
        <f>MONTH(Table13[[#This Row],[YearMonth]])</f>
        <v>4</v>
      </c>
      <c r="C907" s="9" t="s">
        <v>243</v>
      </c>
      <c r="D907" s="6" t="s">
        <v>338</v>
      </c>
      <c r="E907" s="6">
        <f>IF(Table13[[#This Row],[Quartile]]="TopQuartile", 1,
 IF(Table13[[#This Row],[Quartile]]="SecondQuartile", 2,
 IF(Table13[[#This Row],[Quartile]]="ThirdQuartile", 3,
 IF(Table13[[#This Row],[Quartile]]="FourthQuartile", 4, ""))))</f>
        <v>2</v>
      </c>
      <c r="F907" s="9" t="s">
        <v>385</v>
      </c>
      <c r="G907" s="9" t="str" cm="1">
        <f t="array" ref="G907">IFERROR(
  INDEX(Table13[Quartile],
    MATCH(1,
      (Table13[[#This Row],[OrgName]]=Table13[OrgName]) *
      (Table13[[#This Row],[Month Number]]-1=Table13[Month Number]),
    0)
  ),
"")</f>
        <v>SecondQuartile</v>
      </c>
      <c r="H907" s="9">
        <f>IF(Table13[[#This Row],[Previous Quartile]]="TopQuartile", 1,
 IF(Table13[[#This Row],[Previous Quartile]]="SecondQuartile", 2,
 IF(Table13[[#This Row],[Previous Quartile]]="ThirdQuartile", 3,
 IF(Table13[[#This Row],[Previous Quartile]]="FourthQuartile", 4, ""))))</f>
        <v>2</v>
      </c>
      <c r="I907" s="9" t="str">
        <f>IF(Table13[[#This Row],[Previous Quartile Value]]="", "",
   IF(Table13[[#This Row],[Quartile Value]] &lt; Table13[[#This Row],[Previous Quartile Value]], "Improved",
   IF(Table13[[#This Row],[Quartile Value]] &gt; Table13[[#This Row],[Previous Quartile Value]], "Dropped", "Same")))</f>
        <v>Same</v>
      </c>
      <c r="J907" s="9" t="s">
        <v>16</v>
      </c>
      <c r="K907" s="7" t="str">
        <f>VLOOKUP(J907,Introduction!$B$6:$C$14,2)</f>
        <v>South East</v>
      </c>
      <c r="L907" s="11">
        <v>470</v>
      </c>
      <c r="M907" s="12" t="s">
        <v>380</v>
      </c>
    </row>
    <row r="908" spans="1:13" ht="19.95" customHeight="1" x14ac:dyDescent="0.25">
      <c r="A908" s="41">
        <v>45383</v>
      </c>
      <c r="B908" s="47">
        <f>MONTH(Table13[[#This Row],[YearMonth]])</f>
        <v>4</v>
      </c>
      <c r="C908" s="9" t="s">
        <v>164</v>
      </c>
      <c r="D908" s="6" t="s">
        <v>341</v>
      </c>
      <c r="E908" s="6">
        <f>IF(Table13[[#This Row],[Quartile]]="TopQuartile", 1,
 IF(Table13[[#This Row],[Quartile]]="SecondQuartile", 2,
 IF(Table13[[#This Row],[Quartile]]="ThirdQuartile", 3,
 IF(Table13[[#This Row],[Quartile]]="FourthQuartile", 4, ""))))</f>
        <v>3</v>
      </c>
      <c r="F908" s="9" t="s">
        <v>384</v>
      </c>
      <c r="G908" s="9" t="str" cm="1">
        <f t="array" ref="G908">IFERROR(
  INDEX(Table13[Quartile],
    MATCH(1,
      (Table13[[#This Row],[OrgName]]=Table13[OrgName]) *
      (Table13[[#This Row],[Month Number]]-1=Table13[Month Number]),
    0)
  ),
"")</f>
        <v>ThirdQuartile</v>
      </c>
      <c r="H908" s="9">
        <f>IF(Table13[[#This Row],[Previous Quartile]]="TopQuartile", 1,
 IF(Table13[[#This Row],[Previous Quartile]]="SecondQuartile", 2,
 IF(Table13[[#This Row],[Previous Quartile]]="ThirdQuartile", 3,
 IF(Table13[[#This Row],[Previous Quartile]]="FourthQuartile", 4, ""))))</f>
        <v>3</v>
      </c>
      <c r="I908" s="9" t="str">
        <f>IF(Table13[[#This Row],[Previous Quartile Value]]="", "",
   IF(Table13[[#This Row],[Quartile Value]] &lt; Table13[[#This Row],[Previous Quartile Value]], "Improved",
   IF(Table13[[#This Row],[Quartile Value]] &gt; Table13[[#This Row],[Previous Quartile Value]], "Dropped", "Same")))</f>
        <v>Same</v>
      </c>
      <c r="J908" s="9" t="s">
        <v>14</v>
      </c>
      <c r="K908" s="7" t="str">
        <f>VLOOKUP(J908,Introduction!$B$6:$C$14,2)</f>
        <v>South West</v>
      </c>
      <c r="L908" s="11">
        <v>184</v>
      </c>
      <c r="M908" s="12" t="s">
        <v>380</v>
      </c>
    </row>
    <row r="909" spans="1:13" ht="19.95" customHeight="1" x14ac:dyDescent="0.25">
      <c r="A909" s="41">
        <v>45383</v>
      </c>
      <c r="B909" s="47">
        <f>MONTH(Table13[[#This Row],[YearMonth]])</f>
        <v>4</v>
      </c>
      <c r="C909" s="9" t="s">
        <v>310</v>
      </c>
      <c r="D909" s="6" t="s">
        <v>350</v>
      </c>
      <c r="E909" s="6">
        <f>IF(Table13[[#This Row],[Quartile]]="TopQuartile", 1,
 IF(Table13[[#This Row],[Quartile]]="SecondQuartile", 2,
 IF(Table13[[#This Row],[Quartile]]="ThirdQuartile", 3,
 IF(Table13[[#This Row],[Quartile]]="FourthQuartile", 4, ""))))</f>
        <v>4</v>
      </c>
      <c r="F909" s="9" t="s">
        <v>386</v>
      </c>
      <c r="G909" s="9" t="str" cm="1">
        <f t="array" ref="G909">IFERROR(
  INDEX(Table13[Quartile],
    MATCH(1,
      (Table13[[#This Row],[OrgName]]=Table13[OrgName]) *
      (Table13[[#This Row],[Month Number]]-1=Table13[Month Number]),
    0)
  ),
"")</f>
        <v>FourthQuartile</v>
      </c>
      <c r="H909" s="9">
        <f>IF(Table13[[#This Row],[Previous Quartile]]="TopQuartile", 1,
 IF(Table13[[#This Row],[Previous Quartile]]="SecondQuartile", 2,
 IF(Table13[[#This Row],[Previous Quartile]]="ThirdQuartile", 3,
 IF(Table13[[#This Row],[Previous Quartile]]="FourthQuartile", 4, ""))))</f>
        <v>4</v>
      </c>
      <c r="I909" s="9" t="str">
        <f>IF(Table13[[#This Row],[Previous Quartile Value]]="", "",
   IF(Table13[[#This Row],[Quartile Value]] &lt; Table13[[#This Row],[Previous Quartile Value]], "Improved",
   IF(Table13[[#This Row],[Quartile Value]] &gt; Table13[[#This Row],[Previous Quartile Value]], "Dropped", "Same")))</f>
        <v>Same</v>
      </c>
      <c r="J909" s="9" t="s">
        <v>12</v>
      </c>
      <c r="K909" s="7" t="str">
        <f>VLOOKUP(J909,Introduction!$B$6:$C$14,2)</f>
        <v>London</v>
      </c>
      <c r="L909" s="11">
        <v>220</v>
      </c>
      <c r="M909" s="12" t="s">
        <v>380</v>
      </c>
    </row>
    <row r="910" spans="1:13" ht="19.95" customHeight="1" x14ac:dyDescent="0.25">
      <c r="A910" s="41">
        <v>45383</v>
      </c>
      <c r="B910" s="47">
        <f>MONTH(Table13[[#This Row],[YearMonth]])</f>
        <v>4</v>
      </c>
      <c r="C910" s="9" t="s">
        <v>53</v>
      </c>
      <c r="D910" s="6" t="s">
        <v>330</v>
      </c>
      <c r="E910" s="6">
        <f>IF(Table13[[#This Row],[Quartile]]="TopQuartile", 1,
 IF(Table13[[#This Row],[Quartile]]="SecondQuartile", 2,
 IF(Table13[[#This Row],[Quartile]]="ThirdQuartile", 3,
 IF(Table13[[#This Row],[Quartile]]="FourthQuartile", 4, ""))))</f>
        <v>1</v>
      </c>
      <c r="F910" s="9" t="s">
        <v>390</v>
      </c>
      <c r="G910" s="9" t="str" cm="1">
        <f t="array" ref="G910">IFERROR(
  INDEX(Table13[Quartile],
    MATCH(1,
      (Table13[[#This Row],[OrgName]]=Table13[OrgName]) *
      (Table13[[#This Row],[Month Number]]-1=Table13[Month Number]),
    0)
  ),
"")</f>
        <v>TopQuartile</v>
      </c>
      <c r="H910" s="9">
        <f>IF(Table13[[#This Row],[Previous Quartile]]="TopQuartile", 1,
 IF(Table13[[#This Row],[Previous Quartile]]="SecondQuartile", 2,
 IF(Table13[[#This Row],[Previous Quartile]]="ThirdQuartile", 3,
 IF(Table13[[#This Row],[Previous Quartile]]="FourthQuartile", 4, ""))))</f>
        <v>1</v>
      </c>
      <c r="I910" s="9" t="str">
        <f>IF(Table13[[#This Row],[Previous Quartile Value]]="", "",
   IF(Table13[[#This Row],[Quartile Value]] &lt; Table13[[#This Row],[Previous Quartile Value]], "Improved",
   IF(Table13[[#This Row],[Quartile Value]] &gt; Table13[[#This Row],[Previous Quartile Value]], "Dropped", "Same")))</f>
        <v>Same</v>
      </c>
      <c r="J910" s="9" t="s">
        <v>22</v>
      </c>
      <c r="K910" s="7" t="str">
        <f>VLOOKUP(J910,Introduction!$B$6:$C$14,2)</f>
        <v>North West</v>
      </c>
      <c r="L910" s="11">
        <v>209</v>
      </c>
      <c r="M910" s="12" t="s">
        <v>388</v>
      </c>
    </row>
    <row r="911" spans="1:13" ht="19.95" customHeight="1" x14ac:dyDescent="0.25">
      <c r="A911" s="41">
        <v>45383</v>
      </c>
      <c r="B911" s="47">
        <f>MONTH(Table13[[#This Row],[YearMonth]])</f>
        <v>4</v>
      </c>
      <c r="C911" s="9" t="s">
        <v>43</v>
      </c>
      <c r="D911" s="6" t="s">
        <v>330</v>
      </c>
      <c r="E911" s="6">
        <f>IF(Table13[[#This Row],[Quartile]]="TopQuartile", 1,
 IF(Table13[[#This Row],[Quartile]]="SecondQuartile", 2,
 IF(Table13[[#This Row],[Quartile]]="ThirdQuartile", 3,
 IF(Table13[[#This Row],[Quartile]]="FourthQuartile", 4, ""))))</f>
        <v>1</v>
      </c>
      <c r="F911" s="9" t="s">
        <v>389</v>
      </c>
      <c r="G911" s="9" t="str" cm="1">
        <f t="array" ref="G911">IFERROR(
  INDEX(Table13[Quartile],
    MATCH(1,
      (Table13[[#This Row],[OrgName]]=Table13[OrgName]) *
      (Table13[[#This Row],[Month Number]]-1=Table13[Month Number]),
    0)
  ),
"")</f>
        <v>TopQuartile</v>
      </c>
      <c r="H911" s="9">
        <f>IF(Table13[[#This Row],[Previous Quartile]]="TopQuartile", 1,
 IF(Table13[[#This Row],[Previous Quartile]]="SecondQuartile", 2,
 IF(Table13[[#This Row],[Previous Quartile]]="ThirdQuartile", 3,
 IF(Table13[[#This Row],[Previous Quartile]]="FourthQuartile", 4, ""))))</f>
        <v>1</v>
      </c>
      <c r="I911" s="9" t="str">
        <f>IF(Table13[[#This Row],[Previous Quartile Value]]="", "",
   IF(Table13[[#This Row],[Quartile Value]] &lt; Table13[[#This Row],[Previous Quartile Value]], "Improved",
   IF(Table13[[#This Row],[Quartile Value]] &gt; Table13[[#This Row],[Previous Quartile Value]], "Dropped", "Same")))</f>
        <v>Same</v>
      </c>
      <c r="J911" s="9" t="s">
        <v>24</v>
      </c>
      <c r="K911" s="7" t="str">
        <f>VLOOKUP(J911,Introduction!$B$6:$C$14,2)</f>
        <v>North East and Yorkshire</v>
      </c>
      <c r="L911" s="11">
        <v>423</v>
      </c>
      <c r="M911" s="12" t="s">
        <v>388</v>
      </c>
    </row>
    <row r="912" spans="1:13" ht="19.95" customHeight="1" x14ac:dyDescent="0.25">
      <c r="A912" s="41">
        <v>45383</v>
      </c>
      <c r="B912" s="47">
        <f>MONTH(Table13[[#This Row],[YearMonth]])</f>
        <v>4</v>
      </c>
      <c r="C912" s="9" t="s">
        <v>39</v>
      </c>
      <c r="D912" s="6" t="s">
        <v>330</v>
      </c>
      <c r="E912" s="6">
        <f>IF(Table13[[#This Row],[Quartile]]="TopQuartile", 1,
 IF(Table13[[#This Row],[Quartile]]="SecondQuartile", 2,
 IF(Table13[[#This Row],[Quartile]]="ThirdQuartile", 3,
 IF(Table13[[#This Row],[Quartile]]="FourthQuartile", 4, ""))))</f>
        <v>1</v>
      </c>
      <c r="F912" s="9" t="s">
        <v>387</v>
      </c>
      <c r="G912" s="9" t="str" cm="1">
        <f t="array" ref="G912">IFERROR(
  INDEX(Table13[Quartile],
    MATCH(1,
      (Table13[[#This Row],[OrgName]]=Table13[OrgName]) *
      (Table13[[#This Row],[Month Number]]-1=Table13[Month Number]),
    0)
  ),
"")</f>
        <v>TopQuartile</v>
      </c>
      <c r="H912" s="9">
        <f>IF(Table13[[#This Row],[Previous Quartile]]="TopQuartile", 1,
 IF(Table13[[#This Row],[Previous Quartile]]="SecondQuartile", 2,
 IF(Table13[[#This Row],[Previous Quartile]]="ThirdQuartile", 3,
 IF(Table13[[#This Row],[Previous Quartile]]="FourthQuartile", 4, ""))))</f>
        <v>1</v>
      </c>
      <c r="I912" s="9" t="str">
        <f>IF(Table13[[#This Row],[Previous Quartile Value]]="", "",
   IF(Table13[[#This Row],[Quartile Value]] &lt; Table13[[#This Row],[Previous Quartile Value]], "Improved",
   IF(Table13[[#This Row],[Quartile Value]] &gt; Table13[[#This Row],[Previous Quartile Value]], "Dropped", "Same")))</f>
        <v>Same</v>
      </c>
      <c r="J912" s="9" t="s">
        <v>24</v>
      </c>
      <c r="K912" s="7" t="str">
        <f>VLOOKUP(J912,Introduction!$B$6:$C$14,2)</f>
        <v>North East and Yorkshire</v>
      </c>
      <c r="L912" s="11">
        <v>163</v>
      </c>
      <c r="M912" s="12" t="s">
        <v>388</v>
      </c>
    </row>
    <row r="913" spans="1:13" ht="19.95" customHeight="1" x14ac:dyDescent="0.25">
      <c r="A913" s="41">
        <v>45383</v>
      </c>
      <c r="B913" s="47">
        <f>MONTH(Table13[[#This Row],[YearMonth]])</f>
        <v>4</v>
      </c>
      <c r="C913" s="9" t="s">
        <v>68</v>
      </c>
      <c r="D913" s="6" t="s">
        <v>330</v>
      </c>
      <c r="E913" s="6">
        <f>IF(Table13[[#This Row],[Quartile]]="TopQuartile", 1,
 IF(Table13[[#This Row],[Quartile]]="SecondQuartile", 2,
 IF(Table13[[#This Row],[Quartile]]="ThirdQuartile", 3,
 IF(Table13[[#This Row],[Quartile]]="FourthQuartile", 4, ""))))</f>
        <v>1</v>
      </c>
      <c r="F913" s="9" t="s">
        <v>393</v>
      </c>
      <c r="G913" s="9" t="str" cm="1">
        <f t="array" ref="G913">IFERROR(
  INDEX(Table13[Quartile],
    MATCH(1,
      (Table13[[#This Row],[OrgName]]=Table13[OrgName]) *
      (Table13[[#This Row],[Month Number]]-1=Table13[Month Number]),
    0)
  ),
"")</f>
        <v>TopQuartile</v>
      </c>
      <c r="H913" s="9">
        <f>IF(Table13[[#This Row],[Previous Quartile]]="TopQuartile", 1,
 IF(Table13[[#This Row],[Previous Quartile]]="SecondQuartile", 2,
 IF(Table13[[#This Row],[Previous Quartile]]="ThirdQuartile", 3,
 IF(Table13[[#This Row],[Previous Quartile]]="FourthQuartile", 4, ""))))</f>
        <v>1</v>
      </c>
      <c r="I913" s="9" t="str">
        <f>IF(Table13[[#This Row],[Previous Quartile Value]]="", "",
   IF(Table13[[#This Row],[Quartile Value]] &lt; Table13[[#This Row],[Previous Quartile Value]], "Improved",
   IF(Table13[[#This Row],[Quartile Value]] &gt; Table13[[#This Row],[Previous Quartile Value]], "Dropped", "Same")))</f>
        <v>Same</v>
      </c>
      <c r="J913" s="9" t="s">
        <v>24</v>
      </c>
      <c r="K913" s="7" t="str">
        <f>VLOOKUP(J913,Introduction!$B$6:$C$14,2)</f>
        <v>North East and Yorkshire</v>
      </c>
      <c r="L913" s="11">
        <v>165</v>
      </c>
      <c r="M913" s="12" t="s">
        <v>388</v>
      </c>
    </row>
    <row r="914" spans="1:13" ht="19.95" customHeight="1" x14ac:dyDescent="0.25">
      <c r="A914" s="41">
        <v>45383</v>
      </c>
      <c r="B914" s="47">
        <f>MONTH(Table13[[#This Row],[YearMonth]])</f>
        <v>4</v>
      </c>
      <c r="C914" s="9" t="s">
        <v>60</v>
      </c>
      <c r="D914" s="6" t="s">
        <v>330</v>
      </c>
      <c r="E914" s="6">
        <f>IF(Table13[[#This Row],[Quartile]]="TopQuartile", 1,
 IF(Table13[[#This Row],[Quartile]]="SecondQuartile", 2,
 IF(Table13[[#This Row],[Quartile]]="ThirdQuartile", 3,
 IF(Table13[[#This Row],[Quartile]]="FourthQuartile", 4, ""))))</f>
        <v>1</v>
      </c>
      <c r="F914" s="9" t="s">
        <v>391</v>
      </c>
      <c r="G914" s="9" t="str" cm="1">
        <f t="array" ref="G914">IFERROR(
  INDEX(Table13[Quartile],
    MATCH(1,
      (Table13[[#This Row],[OrgName]]=Table13[OrgName]) *
      (Table13[[#This Row],[Month Number]]-1=Table13[Month Number]),
    0)
  ),
"")</f>
        <v>TopQuartile</v>
      </c>
      <c r="H914" s="9">
        <f>IF(Table13[[#This Row],[Previous Quartile]]="TopQuartile", 1,
 IF(Table13[[#This Row],[Previous Quartile]]="SecondQuartile", 2,
 IF(Table13[[#This Row],[Previous Quartile]]="ThirdQuartile", 3,
 IF(Table13[[#This Row],[Previous Quartile]]="FourthQuartile", 4, ""))))</f>
        <v>1</v>
      </c>
      <c r="I914" s="9" t="str">
        <f>IF(Table13[[#This Row],[Previous Quartile Value]]="", "",
   IF(Table13[[#This Row],[Quartile Value]] &lt; Table13[[#This Row],[Previous Quartile Value]], "Improved",
   IF(Table13[[#This Row],[Quartile Value]] &gt; Table13[[#This Row],[Previous Quartile Value]], "Dropped", "Same")))</f>
        <v>Same</v>
      </c>
      <c r="J914" s="9" t="s">
        <v>18</v>
      </c>
      <c r="K914" s="7" t="str">
        <f>VLOOKUP(J914,Introduction!$B$6:$C$14,2)</f>
        <v>Midlands</v>
      </c>
      <c r="L914" s="11">
        <v>166</v>
      </c>
      <c r="M914" s="12" t="s">
        <v>388</v>
      </c>
    </row>
    <row r="915" spans="1:13" ht="19.95" customHeight="1" x14ac:dyDescent="0.25">
      <c r="A915" s="41">
        <v>45383</v>
      </c>
      <c r="B915" s="47">
        <f>MONTH(Table13[[#This Row],[YearMonth]])</f>
        <v>4</v>
      </c>
      <c r="C915" s="9" t="s">
        <v>75</v>
      </c>
      <c r="D915" s="6" t="s">
        <v>330</v>
      </c>
      <c r="E915" s="6">
        <f>IF(Table13[[#This Row],[Quartile]]="TopQuartile", 1,
 IF(Table13[[#This Row],[Quartile]]="SecondQuartile", 2,
 IF(Table13[[#This Row],[Quartile]]="ThirdQuartile", 3,
 IF(Table13[[#This Row],[Quartile]]="FourthQuartile", 4, ""))))</f>
        <v>1</v>
      </c>
      <c r="F915" s="9" t="s">
        <v>394</v>
      </c>
      <c r="G915" s="9" t="str" cm="1">
        <f t="array" ref="G915">IFERROR(
  INDEX(Table13[Quartile],
    MATCH(1,
      (Table13[[#This Row],[OrgName]]=Table13[OrgName]) *
      (Table13[[#This Row],[Month Number]]-1=Table13[Month Number]),
    0)
  ),
"")</f>
        <v>SecondQuartile</v>
      </c>
      <c r="H915" s="9">
        <f>IF(Table13[[#This Row],[Previous Quartile]]="TopQuartile", 1,
 IF(Table13[[#This Row],[Previous Quartile]]="SecondQuartile", 2,
 IF(Table13[[#This Row],[Previous Quartile]]="ThirdQuartile", 3,
 IF(Table13[[#This Row],[Previous Quartile]]="FourthQuartile", 4, ""))))</f>
        <v>2</v>
      </c>
      <c r="I915" s="9" t="str">
        <f>IF(Table13[[#This Row],[Previous Quartile Value]]="", "",
   IF(Table13[[#This Row],[Quartile Value]] &lt; Table13[[#This Row],[Previous Quartile Value]], "Improved",
   IF(Table13[[#This Row],[Quartile Value]] &gt; Table13[[#This Row],[Previous Quartile Value]], "Dropped", "Same")))</f>
        <v>Improved</v>
      </c>
      <c r="J915" s="9" t="s">
        <v>16</v>
      </c>
      <c r="K915" s="7" t="str">
        <f>VLOOKUP(J915,Introduction!$B$6:$C$14,2)</f>
        <v>South East</v>
      </c>
      <c r="L915" s="11">
        <v>252</v>
      </c>
      <c r="M915" s="12" t="s">
        <v>388</v>
      </c>
    </row>
    <row r="916" spans="1:13" ht="19.95" customHeight="1" x14ac:dyDescent="0.25">
      <c r="A916" s="41">
        <v>45383</v>
      </c>
      <c r="B916" s="47">
        <f>MONTH(Table13[[#This Row],[YearMonth]])</f>
        <v>4</v>
      </c>
      <c r="C916" s="9" t="s">
        <v>61</v>
      </c>
      <c r="D916" s="6" t="s">
        <v>330</v>
      </c>
      <c r="E916" s="6">
        <f>IF(Table13[[#This Row],[Quartile]]="TopQuartile", 1,
 IF(Table13[[#This Row],[Quartile]]="SecondQuartile", 2,
 IF(Table13[[#This Row],[Quartile]]="ThirdQuartile", 3,
 IF(Table13[[#This Row],[Quartile]]="FourthQuartile", 4, ""))))</f>
        <v>1</v>
      </c>
      <c r="F916" s="9" t="s">
        <v>392</v>
      </c>
      <c r="G916" s="9" t="str" cm="1">
        <f t="array" ref="G916">IFERROR(
  INDEX(Table13[Quartile],
    MATCH(1,
      (Table13[[#This Row],[OrgName]]=Table13[OrgName]) *
      (Table13[[#This Row],[Month Number]]-1=Table13[Month Number]),
    0)
  ),
"")</f>
        <v>TopQuartile</v>
      </c>
      <c r="H916" s="9">
        <f>IF(Table13[[#This Row],[Previous Quartile]]="TopQuartile", 1,
 IF(Table13[[#This Row],[Previous Quartile]]="SecondQuartile", 2,
 IF(Table13[[#This Row],[Previous Quartile]]="ThirdQuartile", 3,
 IF(Table13[[#This Row],[Previous Quartile]]="FourthQuartile", 4, ""))))</f>
        <v>1</v>
      </c>
      <c r="I916" s="9" t="str">
        <f>IF(Table13[[#This Row],[Previous Quartile Value]]="", "",
   IF(Table13[[#This Row],[Quartile Value]] &lt; Table13[[#This Row],[Previous Quartile Value]], "Improved",
   IF(Table13[[#This Row],[Quartile Value]] &gt; Table13[[#This Row],[Previous Quartile Value]], "Dropped", "Same")))</f>
        <v>Same</v>
      </c>
      <c r="J916" s="9" t="s">
        <v>20</v>
      </c>
      <c r="K916" s="7" t="str">
        <f>VLOOKUP(J916,Introduction!$B$6:$C$14,2)</f>
        <v>East of England</v>
      </c>
      <c r="L916" s="11">
        <v>426</v>
      </c>
      <c r="M916" s="12" t="s">
        <v>388</v>
      </c>
    </row>
    <row r="917" spans="1:13" ht="19.95" customHeight="1" x14ac:dyDescent="0.25">
      <c r="A917" s="41">
        <v>45383</v>
      </c>
      <c r="B917" s="47">
        <f>MONTH(Table13[[#This Row],[YearMonth]])</f>
        <v>4</v>
      </c>
      <c r="C917" s="9" t="s">
        <v>127</v>
      </c>
      <c r="D917" s="6" t="s">
        <v>330</v>
      </c>
      <c r="E917" s="6">
        <f>IF(Table13[[#This Row],[Quartile]]="TopQuartile", 1,
 IF(Table13[[#This Row],[Quartile]]="SecondQuartile", 2,
 IF(Table13[[#This Row],[Quartile]]="ThirdQuartile", 3,
 IF(Table13[[#This Row],[Quartile]]="FourthQuartile", 4, ""))))</f>
        <v>1</v>
      </c>
      <c r="F917" s="9" t="s">
        <v>396</v>
      </c>
      <c r="G917" s="9" t="str" cm="1">
        <f t="array" ref="G917">IFERROR(
  INDEX(Table13[Quartile],
    MATCH(1,
      (Table13[[#This Row],[OrgName]]=Table13[OrgName]) *
      (Table13[[#This Row],[Month Number]]-1=Table13[Month Number]),
    0)
  ),
"")</f>
        <v>TopQuartile</v>
      </c>
      <c r="H917" s="9">
        <f>IF(Table13[[#This Row],[Previous Quartile]]="TopQuartile", 1,
 IF(Table13[[#This Row],[Previous Quartile]]="SecondQuartile", 2,
 IF(Table13[[#This Row],[Previous Quartile]]="ThirdQuartile", 3,
 IF(Table13[[#This Row],[Previous Quartile]]="FourthQuartile", 4, ""))))</f>
        <v>1</v>
      </c>
      <c r="I917" s="9" t="str">
        <f>IF(Table13[[#This Row],[Previous Quartile Value]]="", "",
   IF(Table13[[#This Row],[Quartile Value]] &lt; Table13[[#This Row],[Previous Quartile Value]], "Improved",
   IF(Table13[[#This Row],[Quartile Value]] &gt; Table13[[#This Row],[Previous Quartile Value]], "Dropped", "Same")))</f>
        <v>Same</v>
      </c>
      <c r="J917" s="9" t="s">
        <v>22</v>
      </c>
      <c r="K917" s="7" t="str">
        <f>VLOOKUP(J917,Introduction!$B$6:$C$14,2)</f>
        <v>North West</v>
      </c>
      <c r="L917" s="11">
        <v>210</v>
      </c>
      <c r="M917" s="12" t="s">
        <v>388</v>
      </c>
    </row>
    <row r="918" spans="1:13" ht="19.95" customHeight="1" x14ac:dyDescent="0.25">
      <c r="A918" s="41">
        <v>45383</v>
      </c>
      <c r="B918" s="47">
        <f>MONTH(Table13[[#This Row],[YearMonth]])</f>
        <v>4</v>
      </c>
      <c r="C918" s="9" t="s">
        <v>135</v>
      </c>
      <c r="D918" s="6" t="s">
        <v>338</v>
      </c>
      <c r="E918" s="6">
        <f>IF(Table13[[#This Row],[Quartile]]="TopQuartile", 1,
 IF(Table13[[#This Row],[Quartile]]="SecondQuartile", 2,
 IF(Table13[[#This Row],[Quartile]]="ThirdQuartile", 3,
 IF(Table13[[#This Row],[Quartile]]="FourthQuartile", 4, ""))))</f>
        <v>2</v>
      </c>
      <c r="F918" s="9" t="s">
        <v>397</v>
      </c>
      <c r="G918" s="9" t="str" cm="1">
        <f t="array" ref="G918">IFERROR(
  INDEX(Table13[Quartile],
    MATCH(1,
      (Table13[[#This Row],[OrgName]]=Table13[OrgName]) *
      (Table13[[#This Row],[Month Number]]-1=Table13[Month Number]),
    0)
  ),
"")</f>
        <v>SecondQuartile</v>
      </c>
      <c r="H918" s="9">
        <f>IF(Table13[[#This Row],[Previous Quartile]]="TopQuartile", 1,
 IF(Table13[[#This Row],[Previous Quartile]]="SecondQuartile", 2,
 IF(Table13[[#This Row],[Previous Quartile]]="ThirdQuartile", 3,
 IF(Table13[[#This Row],[Previous Quartile]]="FourthQuartile", 4, ""))))</f>
        <v>2</v>
      </c>
      <c r="I918" s="9" t="str">
        <f>IF(Table13[[#This Row],[Previous Quartile Value]]="", "",
   IF(Table13[[#This Row],[Quartile Value]] &lt; Table13[[#This Row],[Previous Quartile Value]], "Improved",
   IF(Table13[[#This Row],[Quartile Value]] &gt; Table13[[#This Row],[Previous Quartile Value]], "Dropped", "Same")))</f>
        <v>Same</v>
      </c>
      <c r="J918" s="9" t="s">
        <v>18</v>
      </c>
      <c r="K918" s="7" t="str">
        <f>VLOOKUP(J918,Introduction!$B$6:$C$14,2)</f>
        <v>Midlands</v>
      </c>
      <c r="L918" s="11">
        <v>264</v>
      </c>
      <c r="M918" s="12" t="s">
        <v>388</v>
      </c>
    </row>
    <row r="919" spans="1:13" ht="19.95" customHeight="1" x14ac:dyDescent="0.25">
      <c r="A919" s="41">
        <v>45383</v>
      </c>
      <c r="B919" s="47">
        <f>MONTH(Table13[[#This Row],[YearMonth]])</f>
        <v>4</v>
      </c>
      <c r="C919" s="9" t="s">
        <v>122</v>
      </c>
      <c r="D919" s="6" t="s">
        <v>338</v>
      </c>
      <c r="E919" s="6">
        <f>IF(Table13[[#This Row],[Quartile]]="TopQuartile", 1,
 IF(Table13[[#This Row],[Quartile]]="SecondQuartile", 2,
 IF(Table13[[#This Row],[Quartile]]="ThirdQuartile", 3,
 IF(Table13[[#This Row],[Quartile]]="FourthQuartile", 4, ""))))</f>
        <v>2</v>
      </c>
      <c r="F919" s="9" t="s">
        <v>395</v>
      </c>
      <c r="G919" s="9" t="str" cm="1">
        <f t="array" ref="G919">IFERROR(
  INDEX(Table13[Quartile],
    MATCH(1,
      (Table13[[#This Row],[OrgName]]=Table13[OrgName]) *
      (Table13[[#This Row],[Month Number]]-1=Table13[Month Number]),
    0)
  ),
"")</f>
        <v>SecondQuartile</v>
      </c>
      <c r="H919" s="9">
        <f>IF(Table13[[#This Row],[Previous Quartile]]="TopQuartile", 1,
 IF(Table13[[#This Row],[Previous Quartile]]="SecondQuartile", 2,
 IF(Table13[[#This Row],[Previous Quartile]]="ThirdQuartile", 3,
 IF(Table13[[#This Row],[Previous Quartile]]="FourthQuartile", 4, ""))))</f>
        <v>2</v>
      </c>
      <c r="I919" s="9" t="str">
        <f>IF(Table13[[#This Row],[Previous Quartile Value]]="", "",
   IF(Table13[[#This Row],[Quartile Value]] &lt; Table13[[#This Row],[Previous Quartile Value]], "Improved",
   IF(Table13[[#This Row],[Quartile Value]] &gt; Table13[[#This Row],[Previous Quartile Value]], "Dropped", "Same")))</f>
        <v>Same</v>
      </c>
      <c r="J919" s="9" t="s">
        <v>24</v>
      </c>
      <c r="K919" s="7" t="str">
        <f>VLOOKUP(J919,Introduction!$B$6:$C$14,2)</f>
        <v>North East and Yorkshire</v>
      </c>
      <c r="L919" s="11">
        <v>421</v>
      </c>
      <c r="M919" s="12" t="s">
        <v>388</v>
      </c>
    </row>
    <row r="920" spans="1:13" ht="19.95" customHeight="1" x14ac:dyDescent="0.25">
      <c r="A920" s="41">
        <v>45383</v>
      </c>
      <c r="B920" s="47">
        <f>MONTH(Table13[[#This Row],[YearMonth]])</f>
        <v>4</v>
      </c>
      <c r="C920" s="9" t="s">
        <v>209</v>
      </c>
      <c r="D920" s="6" t="s">
        <v>341</v>
      </c>
      <c r="E920" s="6">
        <f>IF(Table13[[#This Row],[Quartile]]="TopQuartile", 1,
 IF(Table13[[#This Row],[Quartile]]="SecondQuartile", 2,
 IF(Table13[[#This Row],[Quartile]]="ThirdQuartile", 3,
 IF(Table13[[#This Row],[Quartile]]="FourthQuartile", 4, ""))))</f>
        <v>3</v>
      </c>
      <c r="F920" s="9" t="s">
        <v>398</v>
      </c>
      <c r="G920" s="9" t="str" cm="1">
        <f t="array" ref="G920">IFERROR(
  INDEX(Table13[Quartile],
    MATCH(1,
      (Table13[[#This Row],[OrgName]]=Table13[OrgName]) *
      (Table13[[#This Row],[Month Number]]-1=Table13[Month Number]),
    0)
  ),
"")</f>
        <v>ThirdQuartile</v>
      </c>
      <c r="H920" s="9">
        <f>IF(Table13[[#This Row],[Previous Quartile]]="TopQuartile", 1,
 IF(Table13[[#This Row],[Previous Quartile]]="SecondQuartile", 2,
 IF(Table13[[#This Row],[Previous Quartile]]="ThirdQuartile", 3,
 IF(Table13[[#This Row],[Previous Quartile]]="FourthQuartile", 4, ""))))</f>
        <v>3</v>
      </c>
      <c r="I920" s="9" t="str">
        <f>IF(Table13[[#This Row],[Previous Quartile Value]]="", "",
   IF(Table13[[#This Row],[Quartile Value]] &lt; Table13[[#This Row],[Previous Quartile Value]], "Improved",
   IF(Table13[[#This Row],[Quartile Value]] &gt; Table13[[#This Row],[Previous Quartile Value]], "Dropped", "Same")))</f>
        <v>Same</v>
      </c>
      <c r="J920" s="9" t="s">
        <v>22</v>
      </c>
      <c r="K920" s="7" t="str">
        <f>VLOOKUP(J920,Introduction!$B$6:$C$14,2)</f>
        <v>North West</v>
      </c>
      <c r="L920" s="11">
        <v>412</v>
      </c>
      <c r="M920" s="12" t="s">
        <v>388</v>
      </c>
    </row>
    <row r="921" spans="1:13" ht="19.95" customHeight="1" x14ac:dyDescent="0.25">
      <c r="A921" s="41">
        <v>45383</v>
      </c>
      <c r="B921" s="47">
        <f>MONTH(Table13[[#This Row],[YearMonth]])</f>
        <v>4</v>
      </c>
      <c r="C921" s="9" t="s">
        <v>232</v>
      </c>
      <c r="D921" s="6" t="s">
        <v>341</v>
      </c>
      <c r="E921" s="6">
        <f>IF(Table13[[#This Row],[Quartile]]="TopQuartile", 1,
 IF(Table13[[#This Row],[Quartile]]="SecondQuartile", 2,
 IF(Table13[[#This Row],[Quartile]]="ThirdQuartile", 3,
 IF(Table13[[#This Row],[Quartile]]="FourthQuartile", 4, ""))))</f>
        <v>3</v>
      </c>
      <c r="F921" s="9" t="s">
        <v>402</v>
      </c>
      <c r="G921" s="9" t="str" cm="1">
        <f t="array" ref="G921">IFERROR(
  INDEX(Table13[Quartile],
    MATCH(1,
      (Table13[[#This Row],[OrgName]]=Table13[OrgName]) *
      (Table13[[#This Row],[Month Number]]-1=Table13[Month Number]),
    0)
  ),
"")</f>
        <v>ThirdQuartile</v>
      </c>
      <c r="H921" s="9">
        <f>IF(Table13[[#This Row],[Previous Quartile]]="TopQuartile", 1,
 IF(Table13[[#This Row],[Previous Quartile]]="SecondQuartile", 2,
 IF(Table13[[#This Row],[Previous Quartile]]="ThirdQuartile", 3,
 IF(Table13[[#This Row],[Previous Quartile]]="FourthQuartile", 4, ""))))</f>
        <v>3</v>
      </c>
      <c r="I921" s="9" t="str">
        <f>IF(Table13[[#This Row],[Previous Quartile Value]]="", "",
   IF(Table13[[#This Row],[Quartile Value]] &lt; Table13[[#This Row],[Previous Quartile Value]], "Improved",
   IF(Table13[[#This Row],[Quartile Value]] &gt; Table13[[#This Row],[Previous Quartile Value]], "Dropped", "Same")))</f>
        <v>Same</v>
      </c>
      <c r="J921" s="9" t="s">
        <v>12</v>
      </c>
      <c r="K921" s="7" t="str">
        <f>VLOOKUP(J921,Introduction!$B$6:$C$14,2)</f>
        <v>London</v>
      </c>
      <c r="L921" s="11">
        <v>394</v>
      </c>
      <c r="M921" s="12" t="s">
        <v>388</v>
      </c>
    </row>
    <row r="922" spans="1:13" ht="19.95" customHeight="1" x14ac:dyDescent="0.25">
      <c r="A922" s="41">
        <v>45383</v>
      </c>
      <c r="B922" s="47">
        <f>MONTH(Table13[[#This Row],[YearMonth]])</f>
        <v>4</v>
      </c>
      <c r="C922" s="9" t="s">
        <v>217</v>
      </c>
      <c r="D922" s="6" t="s">
        <v>341</v>
      </c>
      <c r="E922" s="6">
        <f>IF(Table13[[#This Row],[Quartile]]="TopQuartile", 1,
 IF(Table13[[#This Row],[Quartile]]="SecondQuartile", 2,
 IF(Table13[[#This Row],[Quartile]]="ThirdQuartile", 3,
 IF(Table13[[#This Row],[Quartile]]="FourthQuartile", 4, ""))))</f>
        <v>3</v>
      </c>
      <c r="F922" s="9" t="s">
        <v>399</v>
      </c>
      <c r="G922" s="9" t="str" cm="1">
        <f t="array" ref="G922">IFERROR(
  INDEX(Table13[Quartile],
    MATCH(1,
      (Table13[[#This Row],[OrgName]]=Table13[OrgName]) *
      (Table13[[#This Row],[Month Number]]-1=Table13[Month Number]),
    0)
  ),
"")</f>
        <v>ThirdQuartile</v>
      </c>
      <c r="H922" s="9">
        <f>IF(Table13[[#This Row],[Previous Quartile]]="TopQuartile", 1,
 IF(Table13[[#This Row],[Previous Quartile]]="SecondQuartile", 2,
 IF(Table13[[#This Row],[Previous Quartile]]="ThirdQuartile", 3,
 IF(Table13[[#This Row],[Previous Quartile]]="FourthQuartile", 4, ""))))</f>
        <v>3</v>
      </c>
      <c r="I922" s="9" t="str">
        <f>IF(Table13[[#This Row],[Previous Quartile Value]]="", "",
   IF(Table13[[#This Row],[Quartile Value]] &lt; Table13[[#This Row],[Previous Quartile Value]], "Improved",
   IF(Table13[[#This Row],[Quartile Value]] &gt; Table13[[#This Row],[Previous Quartile Value]], "Dropped", "Same")))</f>
        <v>Same</v>
      </c>
      <c r="J922" s="9" t="s">
        <v>14</v>
      </c>
      <c r="K922" s="7" t="str">
        <f>VLOOKUP(J922,Introduction!$B$6:$C$14,2)</f>
        <v>South West</v>
      </c>
      <c r="L922" s="11">
        <v>269</v>
      </c>
      <c r="M922" s="12" t="s">
        <v>388</v>
      </c>
    </row>
    <row r="923" spans="1:13" ht="19.95" customHeight="1" x14ac:dyDescent="0.25">
      <c r="A923" s="41">
        <v>45383</v>
      </c>
      <c r="B923" s="47">
        <f>MONTH(Table13[[#This Row],[YearMonth]])</f>
        <v>4</v>
      </c>
      <c r="C923" s="9" t="s">
        <v>224</v>
      </c>
      <c r="D923" s="6" t="s">
        <v>341</v>
      </c>
      <c r="E923" s="6">
        <f>IF(Table13[[#This Row],[Quartile]]="TopQuartile", 1,
 IF(Table13[[#This Row],[Quartile]]="SecondQuartile", 2,
 IF(Table13[[#This Row],[Quartile]]="ThirdQuartile", 3,
 IF(Table13[[#This Row],[Quartile]]="FourthQuartile", 4, ""))))</f>
        <v>3</v>
      </c>
      <c r="F923" s="9" t="s">
        <v>400</v>
      </c>
      <c r="G923" s="9" t="str" cm="1">
        <f t="array" ref="G923">IFERROR(
  INDEX(Table13[Quartile],
    MATCH(1,
      (Table13[[#This Row],[OrgName]]=Table13[OrgName]) *
      (Table13[[#This Row],[Month Number]]-1=Table13[Month Number]),
    0)
  ),
"")</f>
        <v>ThirdQuartile</v>
      </c>
      <c r="H923" s="9">
        <f>IF(Table13[[#This Row],[Previous Quartile]]="TopQuartile", 1,
 IF(Table13[[#This Row],[Previous Quartile]]="SecondQuartile", 2,
 IF(Table13[[#This Row],[Previous Quartile]]="ThirdQuartile", 3,
 IF(Table13[[#This Row],[Previous Quartile]]="FourthQuartile", 4, ""))))</f>
        <v>3</v>
      </c>
      <c r="I923" s="9" t="str">
        <f>IF(Table13[[#This Row],[Previous Quartile Value]]="", "",
   IF(Table13[[#This Row],[Quartile Value]] &lt; Table13[[#This Row],[Previous Quartile Value]], "Improved",
   IF(Table13[[#This Row],[Quartile Value]] &gt; Table13[[#This Row],[Previous Quartile Value]], "Dropped", "Same")))</f>
        <v>Same</v>
      </c>
      <c r="J923" s="9" t="s">
        <v>18</v>
      </c>
      <c r="K923" s="7" t="str">
        <f>VLOOKUP(J923,Introduction!$B$6:$C$14,2)</f>
        <v>Midlands</v>
      </c>
      <c r="L923" s="11">
        <v>407</v>
      </c>
      <c r="M923" s="12" t="s">
        <v>388</v>
      </c>
    </row>
    <row r="924" spans="1:13" ht="19.95" customHeight="1" x14ac:dyDescent="0.25">
      <c r="A924" s="41">
        <v>45383</v>
      </c>
      <c r="B924" s="47">
        <f>MONTH(Table13[[#This Row],[YearMonth]])</f>
        <v>4</v>
      </c>
      <c r="C924" s="9" t="s">
        <v>226</v>
      </c>
      <c r="D924" s="6" t="s">
        <v>341</v>
      </c>
      <c r="E924" s="6">
        <f>IF(Table13[[#This Row],[Quartile]]="TopQuartile", 1,
 IF(Table13[[#This Row],[Quartile]]="SecondQuartile", 2,
 IF(Table13[[#This Row],[Quartile]]="ThirdQuartile", 3,
 IF(Table13[[#This Row],[Quartile]]="FourthQuartile", 4, ""))))</f>
        <v>3</v>
      </c>
      <c r="F924" s="9" t="s">
        <v>401</v>
      </c>
      <c r="G924" s="9" t="str" cm="1">
        <f t="array" ref="G924">IFERROR(
  INDEX(Table13[Quartile],
    MATCH(1,
      (Table13[[#This Row],[OrgName]]=Table13[OrgName]) *
      (Table13[[#This Row],[Month Number]]-1=Table13[Month Number]),
    0)
  ),
"")</f>
        <v>ThirdQuartile</v>
      </c>
      <c r="H924" s="9">
        <f>IF(Table13[[#This Row],[Previous Quartile]]="TopQuartile", 1,
 IF(Table13[[#This Row],[Previous Quartile]]="SecondQuartile", 2,
 IF(Table13[[#This Row],[Previous Quartile]]="ThirdQuartile", 3,
 IF(Table13[[#This Row],[Previous Quartile]]="FourthQuartile", 4, ""))))</f>
        <v>3</v>
      </c>
      <c r="I924" s="9" t="str">
        <f>IF(Table13[[#This Row],[Previous Quartile Value]]="", "",
   IF(Table13[[#This Row],[Quartile Value]] &lt; Table13[[#This Row],[Previous Quartile Value]], "Improved",
   IF(Table13[[#This Row],[Quartile Value]] &gt; Table13[[#This Row],[Previous Quartile Value]], "Dropped", "Same")))</f>
        <v>Same</v>
      </c>
      <c r="J924" s="9" t="s">
        <v>22</v>
      </c>
      <c r="K924" s="7" t="str">
        <f>VLOOKUP(J924,Introduction!$B$6:$C$14,2)</f>
        <v>North West</v>
      </c>
      <c r="L924" s="11">
        <v>245</v>
      </c>
      <c r="M924" s="12" t="s">
        <v>388</v>
      </c>
    </row>
    <row r="925" spans="1:13" ht="19.95" customHeight="1" x14ac:dyDescent="0.25">
      <c r="A925" s="41">
        <v>45383</v>
      </c>
      <c r="B925" s="47">
        <f>MONTH(Table13[[#This Row],[YearMonth]])</f>
        <v>4</v>
      </c>
      <c r="C925" s="9" t="s">
        <v>245</v>
      </c>
      <c r="D925" s="6" t="s">
        <v>341</v>
      </c>
      <c r="E925" s="6">
        <f>IF(Table13[[#This Row],[Quartile]]="TopQuartile", 1,
 IF(Table13[[#This Row],[Quartile]]="SecondQuartile", 2,
 IF(Table13[[#This Row],[Quartile]]="ThirdQuartile", 3,
 IF(Table13[[#This Row],[Quartile]]="FourthQuartile", 4, ""))))</f>
        <v>3</v>
      </c>
      <c r="F925" s="9" t="s">
        <v>403</v>
      </c>
      <c r="G925" s="9" t="str" cm="1">
        <f t="array" ref="G925">IFERROR(
  INDEX(Table13[Quartile],
    MATCH(1,
      (Table13[[#This Row],[OrgName]]=Table13[OrgName]) *
      (Table13[[#This Row],[Month Number]]-1=Table13[Month Number]),
    0)
  ),
"")</f>
        <v>ThirdQuartile</v>
      </c>
      <c r="H925" s="9">
        <f>IF(Table13[[#This Row],[Previous Quartile]]="TopQuartile", 1,
 IF(Table13[[#This Row],[Previous Quartile]]="SecondQuartile", 2,
 IF(Table13[[#This Row],[Previous Quartile]]="ThirdQuartile", 3,
 IF(Table13[[#This Row],[Previous Quartile]]="FourthQuartile", 4, ""))))</f>
        <v>3</v>
      </c>
      <c r="I925" s="9" t="str">
        <f>IF(Table13[[#This Row],[Previous Quartile Value]]="", "",
   IF(Table13[[#This Row],[Quartile Value]] &lt; Table13[[#This Row],[Previous Quartile Value]], "Improved",
   IF(Table13[[#This Row],[Quartile Value]] &gt; Table13[[#This Row],[Previous Quartile Value]], "Dropped", "Same")))</f>
        <v>Same</v>
      </c>
      <c r="J925" s="9" t="s">
        <v>18</v>
      </c>
      <c r="K925" s="7" t="str">
        <f>VLOOKUP(J925,Introduction!$B$6:$C$14,2)</f>
        <v>Midlands</v>
      </c>
      <c r="L925" s="11">
        <v>230</v>
      </c>
      <c r="M925" s="12" t="s">
        <v>388</v>
      </c>
    </row>
    <row r="926" spans="1:13" ht="19.95" customHeight="1" x14ac:dyDescent="0.25">
      <c r="A926" s="41">
        <v>45383</v>
      </c>
      <c r="B926" s="47">
        <f>MONTH(Table13[[#This Row],[YearMonth]])</f>
        <v>4</v>
      </c>
      <c r="C926" s="9" t="s">
        <v>249</v>
      </c>
      <c r="D926" s="6" t="s">
        <v>341</v>
      </c>
      <c r="E926" s="6">
        <f>IF(Table13[[#This Row],[Quartile]]="TopQuartile", 1,
 IF(Table13[[#This Row],[Quartile]]="SecondQuartile", 2,
 IF(Table13[[#This Row],[Quartile]]="ThirdQuartile", 3,
 IF(Table13[[#This Row],[Quartile]]="FourthQuartile", 4, ""))))</f>
        <v>3</v>
      </c>
      <c r="F926" s="9" t="s">
        <v>404</v>
      </c>
      <c r="G926" s="9" t="str" cm="1">
        <f t="array" ref="G926">IFERROR(
  INDEX(Table13[Quartile],
    MATCH(1,
      (Table13[[#This Row],[OrgName]]=Table13[OrgName]) *
      (Table13[[#This Row],[Month Number]]-1=Table13[Month Number]),
    0)
  ),
"")</f>
        <v>ThirdQuartile</v>
      </c>
      <c r="H926" s="9">
        <f>IF(Table13[[#This Row],[Previous Quartile]]="TopQuartile", 1,
 IF(Table13[[#This Row],[Previous Quartile]]="SecondQuartile", 2,
 IF(Table13[[#This Row],[Previous Quartile]]="ThirdQuartile", 3,
 IF(Table13[[#This Row],[Previous Quartile]]="FourthQuartile", 4, ""))))</f>
        <v>3</v>
      </c>
      <c r="I926" s="9" t="str">
        <f>IF(Table13[[#This Row],[Previous Quartile Value]]="", "",
   IF(Table13[[#This Row],[Quartile Value]] &lt; Table13[[#This Row],[Previous Quartile Value]], "Improved",
   IF(Table13[[#This Row],[Quartile Value]] &gt; Table13[[#This Row],[Previous Quartile Value]], "Dropped", "Same")))</f>
        <v>Same</v>
      </c>
      <c r="J926" s="9" t="s">
        <v>20</v>
      </c>
      <c r="K926" s="7" t="str">
        <f>VLOOKUP(J926,Introduction!$B$6:$C$14,2)</f>
        <v>East of England</v>
      </c>
      <c r="L926" s="11">
        <v>292</v>
      </c>
      <c r="M926" s="12" t="s">
        <v>388</v>
      </c>
    </row>
    <row r="927" spans="1:13" ht="19.95" customHeight="1" x14ac:dyDescent="0.25">
      <c r="A927" s="41">
        <v>45383</v>
      </c>
      <c r="B927" s="47">
        <f>MONTH(Table13[[#This Row],[YearMonth]])</f>
        <v>4</v>
      </c>
      <c r="C927" s="9" t="s">
        <v>256</v>
      </c>
      <c r="D927" s="6" t="s">
        <v>350</v>
      </c>
      <c r="E927" s="6">
        <f>IF(Table13[[#This Row],[Quartile]]="TopQuartile", 1,
 IF(Table13[[#This Row],[Quartile]]="SecondQuartile", 2,
 IF(Table13[[#This Row],[Quartile]]="ThirdQuartile", 3,
 IF(Table13[[#This Row],[Quartile]]="FourthQuartile", 4, ""))))</f>
        <v>4</v>
      </c>
      <c r="F927" s="9" t="s">
        <v>405</v>
      </c>
      <c r="G927" s="9" t="str" cm="1">
        <f t="array" ref="G927">IFERROR(
  INDEX(Table13[Quartile],
    MATCH(1,
      (Table13[[#This Row],[OrgName]]=Table13[OrgName]) *
      (Table13[[#This Row],[Month Number]]-1=Table13[Month Number]),
    0)
  ),
"")</f>
        <v>FourthQuartile</v>
      </c>
      <c r="H927" s="9">
        <f>IF(Table13[[#This Row],[Previous Quartile]]="TopQuartile", 1,
 IF(Table13[[#This Row],[Previous Quartile]]="SecondQuartile", 2,
 IF(Table13[[#This Row],[Previous Quartile]]="ThirdQuartile", 3,
 IF(Table13[[#This Row],[Previous Quartile]]="FourthQuartile", 4, ""))))</f>
        <v>4</v>
      </c>
      <c r="I927" s="9" t="str">
        <f>IF(Table13[[#This Row],[Previous Quartile Value]]="", "",
   IF(Table13[[#This Row],[Quartile Value]] &lt; Table13[[#This Row],[Previous Quartile Value]], "Improved",
   IF(Table13[[#This Row],[Quartile Value]] &gt; Table13[[#This Row],[Previous Quartile Value]], "Dropped", "Same")))</f>
        <v>Same</v>
      </c>
      <c r="J927" s="9" t="s">
        <v>14</v>
      </c>
      <c r="K927" s="7" t="str">
        <f>VLOOKUP(J927,Introduction!$B$6:$C$14,2)</f>
        <v>South West</v>
      </c>
      <c r="L927" s="11">
        <v>405</v>
      </c>
      <c r="M927" s="12" t="s">
        <v>388</v>
      </c>
    </row>
    <row r="928" spans="1:13" ht="19.95" customHeight="1" x14ac:dyDescent="0.25">
      <c r="A928" s="41">
        <v>45383</v>
      </c>
      <c r="B928" s="47">
        <f>MONTH(Table13[[#This Row],[YearMonth]])</f>
        <v>4</v>
      </c>
      <c r="C928" s="9" t="s">
        <v>305</v>
      </c>
      <c r="D928" s="6" t="s">
        <v>350</v>
      </c>
      <c r="E928" s="6">
        <f>IF(Table13[[#This Row],[Quartile]]="TopQuartile", 1,
 IF(Table13[[#This Row],[Quartile]]="SecondQuartile", 2,
 IF(Table13[[#This Row],[Quartile]]="ThirdQuartile", 3,
 IF(Table13[[#This Row],[Quartile]]="FourthQuartile", 4, ""))))</f>
        <v>4</v>
      </c>
      <c r="F928" s="9" t="s">
        <v>406</v>
      </c>
      <c r="G928" s="9" t="str" cm="1">
        <f t="array" ref="G928">IFERROR(
  INDEX(Table13[Quartile],
    MATCH(1,
      (Table13[[#This Row],[OrgName]]=Table13[OrgName]) *
      (Table13[[#This Row],[Month Number]]-1=Table13[Month Number]),
    0)
  ),
"")</f>
        <v>FourthQuartile</v>
      </c>
      <c r="H928" s="9">
        <f>IF(Table13[[#This Row],[Previous Quartile]]="TopQuartile", 1,
 IF(Table13[[#This Row],[Previous Quartile]]="SecondQuartile", 2,
 IF(Table13[[#This Row],[Previous Quartile]]="ThirdQuartile", 3,
 IF(Table13[[#This Row],[Previous Quartile]]="FourthQuartile", 4, ""))))</f>
        <v>4</v>
      </c>
      <c r="I928" s="9" t="str">
        <f>IF(Table13[[#This Row],[Previous Quartile Value]]="", "",
   IF(Table13[[#This Row],[Quartile Value]] &lt; Table13[[#This Row],[Previous Quartile Value]], "Improved",
   IF(Table13[[#This Row],[Quartile Value]] &gt; Table13[[#This Row],[Previous Quartile Value]], "Dropped", "Same")))</f>
        <v>Same</v>
      </c>
      <c r="J928" s="9" t="s">
        <v>20</v>
      </c>
      <c r="K928" s="7" t="str">
        <f>VLOOKUP(J928,Introduction!$B$6:$C$14,2)</f>
        <v>East of England</v>
      </c>
      <c r="L928" s="11">
        <v>179</v>
      </c>
      <c r="M928" s="12" t="s">
        <v>388</v>
      </c>
    </row>
    <row r="929" spans="1:13" ht="19.95" customHeight="1" x14ac:dyDescent="0.25">
      <c r="A929" s="41">
        <v>45383</v>
      </c>
      <c r="B929" s="47">
        <f>MONTH(Table13[[#This Row],[YearMonth]])</f>
        <v>4</v>
      </c>
      <c r="C929" s="9" t="s">
        <v>56</v>
      </c>
      <c r="D929" s="6" t="s">
        <v>330</v>
      </c>
      <c r="E929" s="6">
        <f>IF(Table13[[#This Row],[Quartile]]="TopQuartile", 1,
 IF(Table13[[#This Row],[Quartile]]="SecondQuartile", 2,
 IF(Table13[[#This Row],[Quartile]]="ThirdQuartile", 3,
 IF(Table13[[#This Row],[Quartile]]="FourthQuartile", 4, ""))))</f>
        <v>1</v>
      </c>
      <c r="F929" s="9" t="s">
        <v>407</v>
      </c>
      <c r="G929" s="9" t="str" cm="1">
        <f t="array" ref="G929">IFERROR(
  INDEX(Table13[Quartile],
    MATCH(1,
      (Table13[[#This Row],[OrgName]]=Table13[OrgName]) *
      (Table13[[#This Row],[Month Number]]-1=Table13[Month Number]),
    0)
  ),
"")</f>
        <v>TopQuartile</v>
      </c>
      <c r="H929" s="9">
        <f>IF(Table13[[#This Row],[Previous Quartile]]="TopQuartile", 1,
 IF(Table13[[#This Row],[Previous Quartile]]="SecondQuartile", 2,
 IF(Table13[[#This Row],[Previous Quartile]]="ThirdQuartile", 3,
 IF(Table13[[#This Row],[Previous Quartile]]="FourthQuartile", 4, ""))))</f>
        <v>1</v>
      </c>
      <c r="I929" s="9" t="str">
        <f>IF(Table13[[#This Row],[Previous Quartile Value]]="", "",
   IF(Table13[[#This Row],[Quartile Value]] &lt; Table13[[#This Row],[Previous Quartile Value]], "Improved",
   IF(Table13[[#This Row],[Quartile Value]] &gt; Table13[[#This Row],[Previous Quartile Value]], "Dropped", "Same")))</f>
        <v>Same</v>
      </c>
      <c r="J929" s="9" t="s">
        <v>20</v>
      </c>
      <c r="K929" s="7" t="str">
        <f>VLOOKUP(J929,Introduction!$B$6:$C$14,2)</f>
        <v>East of England</v>
      </c>
      <c r="L929" s="11">
        <v>175</v>
      </c>
      <c r="M929" s="12" t="s">
        <v>408</v>
      </c>
    </row>
    <row r="930" spans="1:13" ht="19.95" customHeight="1" x14ac:dyDescent="0.25">
      <c r="A930" s="41">
        <v>45383</v>
      </c>
      <c r="B930" s="47">
        <f>MONTH(Table13[[#This Row],[YearMonth]])</f>
        <v>4</v>
      </c>
      <c r="C930" s="9" t="s">
        <v>125</v>
      </c>
      <c r="D930" s="6" t="s">
        <v>330</v>
      </c>
      <c r="E930" s="6">
        <f>IF(Table13[[#This Row],[Quartile]]="TopQuartile", 1,
 IF(Table13[[#This Row],[Quartile]]="SecondQuartile", 2,
 IF(Table13[[#This Row],[Quartile]]="ThirdQuartile", 3,
 IF(Table13[[#This Row],[Quartile]]="FourthQuartile", 4, ""))))</f>
        <v>1</v>
      </c>
      <c r="F930" s="9" t="s">
        <v>414</v>
      </c>
      <c r="G930" s="9" t="str" cm="1">
        <f t="array" ref="G930">IFERROR(
  INDEX(Table13[Quartile],
    MATCH(1,
      (Table13[[#This Row],[OrgName]]=Table13[OrgName]) *
      (Table13[[#This Row],[Month Number]]-1=Table13[Month Number]),
    0)
  ),
"")</f>
        <v>TopQuartile</v>
      </c>
      <c r="H930" s="9">
        <f>IF(Table13[[#This Row],[Previous Quartile]]="TopQuartile", 1,
 IF(Table13[[#This Row],[Previous Quartile]]="SecondQuartile", 2,
 IF(Table13[[#This Row],[Previous Quartile]]="ThirdQuartile", 3,
 IF(Table13[[#This Row],[Previous Quartile]]="FourthQuartile", 4, ""))))</f>
        <v>1</v>
      </c>
      <c r="I930" s="9" t="str">
        <f>IF(Table13[[#This Row],[Previous Quartile Value]]="", "",
   IF(Table13[[#This Row],[Quartile Value]] &lt; Table13[[#This Row],[Previous Quartile Value]], "Improved",
   IF(Table13[[#This Row],[Quartile Value]] &gt; Table13[[#This Row],[Previous Quartile Value]], "Dropped", "Same")))</f>
        <v>Same</v>
      </c>
      <c r="J930" s="9" t="s">
        <v>22</v>
      </c>
      <c r="K930" s="7" t="str">
        <f>VLOOKUP(J930,Introduction!$B$6:$C$14,2)</f>
        <v>North West</v>
      </c>
      <c r="L930" s="11">
        <v>160</v>
      </c>
      <c r="M930" s="12" t="s">
        <v>408</v>
      </c>
    </row>
    <row r="931" spans="1:13" ht="19.95" customHeight="1" x14ac:dyDescent="0.25">
      <c r="A931" s="41">
        <v>45383</v>
      </c>
      <c r="B931" s="47">
        <f>MONTH(Table13[[#This Row],[YearMonth]])</f>
        <v>4</v>
      </c>
      <c r="C931" s="9" t="s">
        <v>99</v>
      </c>
      <c r="D931" s="6" t="s">
        <v>330</v>
      </c>
      <c r="E931" s="6">
        <f>IF(Table13[[#This Row],[Quartile]]="TopQuartile", 1,
 IF(Table13[[#This Row],[Quartile]]="SecondQuartile", 2,
 IF(Table13[[#This Row],[Quartile]]="ThirdQuartile", 3,
 IF(Table13[[#This Row],[Quartile]]="FourthQuartile", 4, ""))))</f>
        <v>1</v>
      </c>
      <c r="F931" s="9" t="s">
        <v>411</v>
      </c>
      <c r="G931" s="9" t="str" cm="1">
        <f t="array" ref="G931">IFERROR(
  INDEX(Table13[Quartile],
    MATCH(1,
      (Table13[[#This Row],[OrgName]]=Table13[OrgName]) *
      (Table13[[#This Row],[Month Number]]-1=Table13[Month Number]),
    0)
  ),
"")</f>
        <v>TopQuartile</v>
      </c>
      <c r="H931" s="9">
        <f>IF(Table13[[#This Row],[Previous Quartile]]="TopQuartile", 1,
 IF(Table13[[#This Row],[Previous Quartile]]="SecondQuartile", 2,
 IF(Table13[[#This Row],[Previous Quartile]]="ThirdQuartile", 3,
 IF(Table13[[#This Row],[Previous Quartile]]="FourthQuartile", 4, ""))))</f>
        <v>1</v>
      </c>
      <c r="I931" s="9" t="str">
        <f>IF(Table13[[#This Row],[Previous Quartile Value]]="", "",
   IF(Table13[[#This Row],[Quartile Value]] &lt; Table13[[#This Row],[Previous Quartile Value]], "Improved",
   IF(Table13[[#This Row],[Quartile Value]] &gt; Table13[[#This Row],[Previous Quartile Value]], "Dropped", "Same")))</f>
        <v>Same</v>
      </c>
      <c r="J931" s="9" t="s">
        <v>12</v>
      </c>
      <c r="K931" s="7" t="str">
        <f>VLOOKUP(J931,Introduction!$B$6:$C$14,2)</f>
        <v>London</v>
      </c>
      <c r="L931" s="11">
        <v>271</v>
      </c>
      <c r="M931" s="12" t="s">
        <v>408</v>
      </c>
    </row>
    <row r="932" spans="1:13" ht="19.95" customHeight="1" x14ac:dyDescent="0.25">
      <c r="A932" s="41">
        <v>45383</v>
      </c>
      <c r="B932" s="47">
        <f>MONTH(Table13[[#This Row],[YearMonth]])</f>
        <v>4</v>
      </c>
      <c r="C932" s="9" t="s">
        <v>84</v>
      </c>
      <c r="D932" s="6" t="s">
        <v>330</v>
      </c>
      <c r="E932" s="6">
        <f>IF(Table13[[#This Row],[Quartile]]="TopQuartile", 1,
 IF(Table13[[#This Row],[Quartile]]="SecondQuartile", 2,
 IF(Table13[[#This Row],[Quartile]]="ThirdQuartile", 3,
 IF(Table13[[#This Row],[Quartile]]="FourthQuartile", 4, ""))))</f>
        <v>1</v>
      </c>
      <c r="F932" s="9" t="s">
        <v>409</v>
      </c>
      <c r="G932" s="9" t="str" cm="1">
        <f t="array" ref="G932">IFERROR(
  INDEX(Table13[Quartile],
    MATCH(1,
      (Table13[[#This Row],[OrgName]]=Table13[OrgName]) *
      (Table13[[#This Row],[Month Number]]-1=Table13[Month Number]),
    0)
  ),
"")</f>
        <v>TopQuartile</v>
      </c>
      <c r="H932" s="9">
        <f>IF(Table13[[#This Row],[Previous Quartile]]="TopQuartile", 1,
 IF(Table13[[#This Row],[Previous Quartile]]="SecondQuartile", 2,
 IF(Table13[[#This Row],[Previous Quartile]]="ThirdQuartile", 3,
 IF(Table13[[#This Row],[Previous Quartile]]="FourthQuartile", 4, ""))))</f>
        <v>1</v>
      </c>
      <c r="I932" s="9" t="str">
        <f>IF(Table13[[#This Row],[Previous Quartile Value]]="", "",
   IF(Table13[[#This Row],[Quartile Value]] &lt; Table13[[#This Row],[Previous Quartile Value]], "Improved",
   IF(Table13[[#This Row],[Quartile Value]] &gt; Table13[[#This Row],[Previous Quartile Value]], "Dropped", "Same")))</f>
        <v>Same</v>
      </c>
      <c r="J932" s="9" t="s">
        <v>16</v>
      </c>
      <c r="K932" s="7" t="str">
        <f>VLOOKUP(J932,Introduction!$B$6:$C$14,2)</f>
        <v>South East</v>
      </c>
      <c r="L932" s="11">
        <v>276</v>
      </c>
      <c r="M932" s="12" t="s">
        <v>408</v>
      </c>
    </row>
    <row r="933" spans="1:13" ht="19.95" customHeight="1" x14ac:dyDescent="0.25">
      <c r="A933" s="41">
        <v>45383</v>
      </c>
      <c r="B933" s="47">
        <f>MONTH(Table13[[#This Row],[YearMonth]])</f>
        <v>4</v>
      </c>
      <c r="C933" s="9" t="s">
        <v>102</v>
      </c>
      <c r="D933" s="6" t="s">
        <v>330</v>
      </c>
      <c r="E933" s="6">
        <f>IF(Table13[[#This Row],[Quartile]]="TopQuartile", 1,
 IF(Table13[[#This Row],[Quartile]]="SecondQuartile", 2,
 IF(Table13[[#This Row],[Quartile]]="ThirdQuartile", 3,
 IF(Table13[[#This Row],[Quartile]]="FourthQuartile", 4, ""))))</f>
        <v>1</v>
      </c>
      <c r="F933" s="9" t="s">
        <v>412</v>
      </c>
      <c r="G933" s="9" t="str" cm="1">
        <f t="array" ref="G933">IFERROR(
  INDEX(Table13[Quartile],
    MATCH(1,
      (Table13[[#This Row],[OrgName]]=Table13[OrgName]) *
      (Table13[[#This Row],[Month Number]]-1=Table13[Month Number]),
    0)
  ),
"")</f>
        <v>TopQuartile</v>
      </c>
      <c r="H933" s="9">
        <f>IF(Table13[[#This Row],[Previous Quartile]]="TopQuartile", 1,
 IF(Table13[[#This Row],[Previous Quartile]]="SecondQuartile", 2,
 IF(Table13[[#This Row],[Previous Quartile]]="ThirdQuartile", 3,
 IF(Table13[[#This Row],[Previous Quartile]]="FourthQuartile", 4, ""))))</f>
        <v>1</v>
      </c>
      <c r="I933" s="9" t="str">
        <f>IF(Table13[[#This Row],[Previous Quartile Value]]="", "",
   IF(Table13[[#This Row],[Quartile Value]] &lt; Table13[[#This Row],[Previous Quartile Value]], "Improved",
   IF(Table13[[#This Row],[Quartile Value]] &gt; Table13[[#This Row],[Previous Quartile Value]], "Dropped", "Same")))</f>
        <v>Same</v>
      </c>
      <c r="J933" s="9" t="s">
        <v>22</v>
      </c>
      <c r="K933" s="7" t="str">
        <f>VLOOKUP(J933,Introduction!$B$6:$C$14,2)</f>
        <v>North West</v>
      </c>
      <c r="L933" s="11">
        <v>411</v>
      </c>
      <c r="M933" s="12" t="s">
        <v>408</v>
      </c>
    </row>
    <row r="934" spans="1:13" ht="19.95" customHeight="1" x14ac:dyDescent="0.25">
      <c r="A934" s="41">
        <v>45383</v>
      </c>
      <c r="B934" s="47">
        <f>MONTH(Table13[[#This Row],[YearMonth]])</f>
        <v>4</v>
      </c>
      <c r="C934" s="9" t="s">
        <v>108</v>
      </c>
      <c r="D934" s="6" t="s">
        <v>338</v>
      </c>
      <c r="E934" s="6">
        <f>IF(Table13[[#This Row],[Quartile]]="TopQuartile", 1,
 IF(Table13[[#This Row],[Quartile]]="SecondQuartile", 2,
 IF(Table13[[#This Row],[Quartile]]="ThirdQuartile", 3,
 IF(Table13[[#This Row],[Quartile]]="FourthQuartile", 4, ""))))</f>
        <v>2</v>
      </c>
      <c r="F934" s="9" t="s">
        <v>413</v>
      </c>
      <c r="G934" s="9" t="str" cm="1">
        <f t="array" ref="G934">IFERROR(
  INDEX(Table13[Quartile],
    MATCH(1,
      (Table13[[#This Row],[OrgName]]=Table13[OrgName]) *
      (Table13[[#This Row],[Month Number]]-1=Table13[Month Number]),
    0)
  ),
"")</f>
        <v>TopQuartile</v>
      </c>
      <c r="H934" s="9">
        <f>IF(Table13[[#This Row],[Previous Quartile]]="TopQuartile", 1,
 IF(Table13[[#This Row],[Previous Quartile]]="SecondQuartile", 2,
 IF(Table13[[#This Row],[Previous Quartile]]="ThirdQuartile", 3,
 IF(Table13[[#This Row],[Previous Quartile]]="FourthQuartile", 4, ""))))</f>
        <v>1</v>
      </c>
      <c r="I934" s="9" t="str">
        <f>IF(Table13[[#This Row],[Previous Quartile Value]]="", "",
   IF(Table13[[#This Row],[Quartile Value]] &lt; Table13[[#This Row],[Previous Quartile Value]], "Improved",
   IF(Table13[[#This Row],[Quartile Value]] &gt; Table13[[#This Row],[Previous Quartile Value]], "Dropped", "Same")))</f>
        <v>Dropped</v>
      </c>
      <c r="J934" s="9" t="s">
        <v>22</v>
      </c>
      <c r="K934" s="7" t="str">
        <f>VLOOKUP(J934,Introduction!$B$6:$C$14,2)</f>
        <v>North West</v>
      </c>
      <c r="L934" s="11">
        <v>158</v>
      </c>
      <c r="M934" s="12" t="s">
        <v>408</v>
      </c>
    </row>
    <row r="935" spans="1:13" ht="19.95" customHeight="1" x14ac:dyDescent="0.25">
      <c r="A935" s="41">
        <v>45383</v>
      </c>
      <c r="B935" s="47">
        <f>MONTH(Table13[[#This Row],[YearMonth]])</f>
        <v>4</v>
      </c>
      <c r="C935" s="9" t="s">
        <v>215</v>
      </c>
      <c r="D935" s="6" t="s">
        <v>338</v>
      </c>
      <c r="E935" s="6">
        <f>IF(Table13[[#This Row],[Quartile]]="TopQuartile", 1,
 IF(Table13[[#This Row],[Quartile]]="SecondQuartile", 2,
 IF(Table13[[#This Row],[Quartile]]="ThirdQuartile", 3,
 IF(Table13[[#This Row],[Quartile]]="FourthQuartile", 4, ""))))</f>
        <v>2</v>
      </c>
      <c r="F935" s="9" t="s">
        <v>419</v>
      </c>
      <c r="G935" s="9" t="str" cm="1">
        <f t="array" ref="G935">IFERROR(
  INDEX(Table13[Quartile],
    MATCH(1,
      (Table13[[#This Row],[OrgName]]=Table13[OrgName]) *
      (Table13[[#This Row],[Month Number]]-1=Table13[Month Number]),
    0)
  ),
"")</f>
        <v>SecondQuartile</v>
      </c>
      <c r="H935" s="9">
        <f>IF(Table13[[#This Row],[Previous Quartile]]="TopQuartile", 1,
 IF(Table13[[#This Row],[Previous Quartile]]="SecondQuartile", 2,
 IF(Table13[[#This Row],[Previous Quartile]]="ThirdQuartile", 3,
 IF(Table13[[#This Row],[Previous Quartile]]="FourthQuartile", 4, ""))))</f>
        <v>2</v>
      </c>
      <c r="I935" s="9" t="str">
        <f>IF(Table13[[#This Row],[Previous Quartile Value]]="", "",
   IF(Table13[[#This Row],[Quartile Value]] &lt; Table13[[#This Row],[Previous Quartile Value]], "Improved",
   IF(Table13[[#This Row],[Quartile Value]] &gt; Table13[[#This Row],[Previous Quartile Value]], "Dropped", "Same")))</f>
        <v>Same</v>
      </c>
      <c r="J935" s="9" t="s">
        <v>18</v>
      </c>
      <c r="K935" s="7" t="str">
        <f>VLOOKUP(J935,Introduction!$B$6:$C$14,2)</f>
        <v>Midlands</v>
      </c>
      <c r="L935" s="11">
        <v>224</v>
      </c>
      <c r="M935" s="12" t="s">
        <v>408</v>
      </c>
    </row>
    <row r="936" spans="1:13" ht="19.95" customHeight="1" x14ac:dyDescent="0.25">
      <c r="A936" s="41">
        <v>45383</v>
      </c>
      <c r="B936" s="47">
        <f>MONTH(Table13[[#This Row],[YearMonth]])</f>
        <v>4</v>
      </c>
      <c r="C936" s="9" t="s">
        <v>96</v>
      </c>
      <c r="D936" s="6" t="s">
        <v>338</v>
      </c>
      <c r="E936" s="6">
        <f>IF(Table13[[#This Row],[Quartile]]="TopQuartile", 1,
 IF(Table13[[#This Row],[Quartile]]="SecondQuartile", 2,
 IF(Table13[[#This Row],[Quartile]]="ThirdQuartile", 3,
 IF(Table13[[#This Row],[Quartile]]="FourthQuartile", 4, ""))))</f>
        <v>2</v>
      </c>
      <c r="F936" s="9" t="s">
        <v>410</v>
      </c>
      <c r="G936" s="9" t="str" cm="1">
        <f t="array" ref="G936">IFERROR(
  INDEX(Table13[Quartile],
    MATCH(1,
      (Table13[[#This Row],[OrgName]]=Table13[OrgName]) *
      (Table13[[#This Row],[Month Number]]-1=Table13[Month Number]),
    0)
  ),
"")</f>
        <v>SecondQuartile</v>
      </c>
      <c r="H936" s="9">
        <f>IF(Table13[[#This Row],[Previous Quartile]]="TopQuartile", 1,
 IF(Table13[[#This Row],[Previous Quartile]]="SecondQuartile", 2,
 IF(Table13[[#This Row],[Previous Quartile]]="ThirdQuartile", 3,
 IF(Table13[[#This Row],[Previous Quartile]]="FourthQuartile", 4, ""))))</f>
        <v>2</v>
      </c>
      <c r="I936" s="9" t="str">
        <f>IF(Table13[[#This Row],[Previous Quartile Value]]="", "",
   IF(Table13[[#This Row],[Quartile Value]] &lt; Table13[[#This Row],[Previous Quartile Value]], "Improved",
   IF(Table13[[#This Row],[Quartile Value]] &gt; Table13[[#This Row],[Previous Quartile Value]], "Dropped", "Same")))</f>
        <v>Same</v>
      </c>
      <c r="J936" s="9" t="s">
        <v>18</v>
      </c>
      <c r="K936" s="7" t="str">
        <f>VLOOKUP(J936,Introduction!$B$6:$C$14,2)</f>
        <v>Midlands</v>
      </c>
      <c r="L936" s="11">
        <v>303</v>
      </c>
      <c r="M936" s="12" t="s">
        <v>408</v>
      </c>
    </row>
    <row r="937" spans="1:13" ht="19.95" customHeight="1" x14ac:dyDescent="0.25">
      <c r="A937" s="41">
        <v>45383</v>
      </c>
      <c r="B937" s="47">
        <f>MONTH(Table13[[#This Row],[YearMonth]])</f>
        <v>4</v>
      </c>
      <c r="C937" s="9" t="s">
        <v>150</v>
      </c>
      <c r="D937" s="6" t="s">
        <v>338</v>
      </c>
      <c r="E937" s="6">
        <f>IF(Table13[[#This Row],[Quartile]]="TopQuartile", 1,
 IF(Table13[[#This Row],[Quartile]]="SecondQuartile", 2,
 IF(Table13[[#This Row],[Quartile]]="ThirdQuartile", 3,
 IF(Table13[[#This Row],[Quartile]]="FourthQuartile", 4, ""))))</f>
        <v>2</v>
      </c>
      <c r="F937" s="9" t="s">
        <v>415</v>
      </c>
      <c r="G937" s="9" t="str" cm="1">
        <f t="array" ref="G937">IFERROR(
  INDEX(Table13[Quartile],
    MATCH(1,
      (Table13[[#This Row],[OrgName]]=Table13[OrgName]) *
      (Table13[[#This Row],[Month Number]]-1=Table13[Month Number]),
    0)
  ),
"")</f>
        <v>SecondQuartile</v>
      </c>
      <c r="H937" s="9">
        <f>IF(Table13[[#This Row],[Previous Quartile]]="TopQuartile", 1,
 IF(Table13[[#This Row],[Previous Quartile]]="SecondQuartile", 2,
 IF(Table13[[#This Row],[Previous Quartile]]="ThirdQuartile", 3,
 IF(Table13[[#This Row],[Previous Quartile]]="FourthQuartile", 4, ""))))</f>
        <v>2</v>
      </c>
      <c r="I937" s="9" t="str">
        <f>IF(Table13[[#This Row],[Previous Quartile Value]]="", "",
   IF(Table13[[#This Row],[Quartile Value]] &lt; Table13[[#This Row],[Previous Quartile Value]], "Improved",
   IF(Table13[[#This Row],[Quartile Value]] &gt; Table13[[#This Row],[Previous Quartile Value]], "Dropped", "Same")))</f>
        <v>Same</v>
      </c>
      <c r="J937" s="9" t="s">
        <v>22</v>
      </c>
      <c r="K937" s="7" t="str">
        <f>VLOOKUP(J937,Introduction!$B$6:$C$14,2)</f>
        <v>North West</v>
      </c>
      <c r="L937" s="11">
        <v>413</v>
      </c>
      <c r="M937" s="12" t="s">
        <v>408</v>
      </c>
    </row>
    <row r="938" spans="1:13" ht="19.95" customHeight="1" x14ac:dyDescent="0.25">
      <c r="A938" s="41">
        <v>45383</v>
      </c>
      <c r="B938" s="47">
        <f>MONTH(Table13[[#This Row],[YearMonth]])</f>
        <v>4</v>
      </c>
      <c r="C938" s="9" t="s">
        <v>191</v>
      </c>
      <c r="D938" s="6" t="s">
        <v>341</v>
      </c>
      <c r="E938" s="6">
        <f>IF(Table13[[#This Row],[Quartile]]="TopQuartile", 1,
 IF(Table13[[#This Row],[Quartile]]="SecondQuartile", 2,
 IF(Table13[[#This Row],[Quartile]]="ThirdQuartile", 3,
 IF(Table13[[#This Row],[Quartile]]="FourthQuartile", 4, ""))))</f>
        <v>3</v>
      </c>
      <c r="F938" s="9" t="s">
        <v>418</v>
      </c>
      <c r="G938" s="9" t="str" cm="1">
        <f t="array" ref="G938">IFERROR(
  INDEX(Table13[Quartile],
    MATCH(1,
      (Table13[[#This Row],[OrgName]]=Table13[OrgName]) *
      (Table13[[#This Row],[Month Number]]-1=Table13[Month Number]),
    0)
  ),
"")</f>
        <v>ThirdQuartile</v>
      </c>
      <c r="H938" s="9">
        <f>IF(Table13[[#This Row],[Previous Quartile]]="TopQuartile", 1,
 IF(Table13[[#This Row],[Previous Quartile]]="SecondQuartile", 2,
 IF(Table13[[#This Row],[Previous Quartile]]="ThirdQuartile", 3,
 IF(Table13[[#This Row],[Previous Quartile]]="FourthQuartile", 4, ""))))</f>
        <v>3</v>
      </c>
      <c r="I938" s="9" t="str">
        <f>IF(Table13[[#This Row],[Previous Quartile Value]]="", "",
   IF(Table13[[#This Row],[Quartile Value]] &lt; Table13[[#This Row],[Previous Quartile Value]], "Improved",
   IF(Table13[[#This Row],[Quartile Value]] &gt; Table13[[#This Row],[Previous Quartile Value]], "Dropped", "Same")))</f>
        <v>Same</v>
      </c>
      <c r="J938" s="9" t="s">
        <v>22</v>
      </c>
      <c r="K938" s="7" t="str">
        <f>VLOOKUP(J938,Introduction!$B$6:$C$14,2)</f>
        <v>North West</v>
      </c>
      <c r="L938" s="11">
        <v>159</v>
      </c>
      <c r="M938" s="12" t="s">
        <v>408</v>
      </c>
    </row>
    <row r="939" spans="1:13" ht="19.95" customHeight="1" x14ac:dyDescent="0.25">
      <c r="A939" s="41">
        <v>45383</v>
      </c>
      <c r="B939" s="47">
        <f>MONTH(Table13[[#This Row],[YearMonth]])</f>
        <v>4</v>
      </c>
      <c r="C939" s="9" t="s">
        <v>184</v>
      </c>
      <c r="D939" s="6" t="s">
        <v>341</v>
      </c>
      <c r="E939" s="6">
        <f>IF(Table13[[#This Row],[Quartile]]="TopQuartile", 1,
 IF(Table13[[#This Row],[Quartile]]="SecondQuartile", 2,
 IF(Table13[[#This Row],[Quartile]]="ThirdQuartile", 3,
 IF(Table13[[#This Row],[Quartile]]="FourthQuartile", 4, ""))))</f>
        <v>3</v>
      </c>
      <c r="F939" s="9" t="s">
        <v>416</v>
      </c>
      <c r="G939" s="9" t="str" cm="1">
        <f t="array" ref="G939">IFERROR(
  INDEX(Table13[Quartile],
    MATCH(1,
      (Table13[[#This Row],[OrgName]]=Table13[OrgName]) *
      (Table13[[#This Row],[Month Number]]-1=Table13[Month Number]),
    0)
  ),
"")</f>
        <v>ThirdQuartile</v>
      </c>
      <c r="H939" s="9">
        <f>IF(Table13[[#This Row],[Previous Quartile]]="TopQuartile", 1,
 IF(Table13[[#This Row],[Previous Quartile]]="SecondQuartile", 2,
 IF(Table13[[#This Row],[Previous Quartile]]="ThirdQuartile", 3,
 IF(Table13[[#This Row],[Previous Quartile]]="FourthQuartile", 4, ""))))</f>
        <v>3</v>
      </c>
      <c r="I939" s="9" t="str">
        <f>IF(Table13[[#This Row],[Previous Quartile Value]]="", "",
   IF(Table13[[#This Row],[Quartile Value]] &lt; Table13[[#This Row],[Previous Quartile Value]], "Improved",
   IF(Table13[[#This Row],[Quartile Value]] &gt; Table13[[#This Row],[Previous Quartile Value]], "Dropped", "Same")))</f>
        <v>Same</v>
      </c>
      <c r="J939" s="9" t="s">
        <v>12</v>
      </c>
      <c r="K939" s="7" t="str">
        <f>VLOOKUP(J939,Introduction!$B$6:$C$14,2)</f>
        <v>London</v>
      </c>
      <c r="L939" s="11">
        <v>282</v>
      </c>
      <c r="M939" s="12" t="s">
        <v>408</v>
      </c>
    </row>
    <row r="940" spans="1:13" ht="19.95" customHeight="1" x14ac:dyDescent="0.25">
      <c r="A940" s="41">
        <v>45383</v>
      </c>
      <c r="B940" s="47">
        <f>MONTH(Table13[[#This Row],[YearMonth]])</f>
        <v>4</v>
      </c>
      <c r="C940" s="9" t="s">
        <v>185</v>
      </c>
      <c r="D940" s="6" t="s">
        <v>341</v>
      </c>
      <c r="E940" s="6">
        <f>IF(Table13[[#This Row],[Quartile]]="TopQuartile", 1,
 IF(Table13[[#This Row],[Quartile]]="SecondQuartile", 2,
 IF(Table13[[#This Row],[Quartile]]="ThirdQuartile", 3,
 IF(Table13[[#This Row],[Quartile]]="FourthQuartile", 4, ""))))</f>
        <v>3</v>
      </c>
      <c r="F940" s="9" t="s">
        <v>417</v>
      </c>
      <c r="G940" s="9" t="str" cm="1">
        <f t="array" ref="G940">IFERROR(
  INDEX(Table13[Quartile],
    MATCH(1,
      (Table13[[#This Row],[OrgName]]=Table13[OrgName]) *
      (Table13[[#This Row],[Month Number]]-1=Table13[Month Number]),
    0)
  ),
"")</f>
        <v>ThirdQuartile</v>
      </c>
      <c r="H940" s="9">
        <f>IF(Table13[[#This Row],[Previous Quartile]]="TopQuartile", 1,
 IF(Table13[[#This Row],[Previous Quartile]]="SecondQuartile", 2,
 IF(Table13[[#This Row],[Previous Quartile]]="ThirdQuartile", 3,
 IF(Table13[[#This Row],[Previous Quartile]]="FourthQuartile", 4, ""))))</f>
        <v>3</v>
      </c>
      <c r="I940" s="9" t="str">
        <f>IF(Table13[[#This Row],[Previous Quartile Value]]="", "",
   IF(Table13[[#This Row],[Quartile Value]] &lt; Table13[[#This Row],[Previous Quartile Value]], "Improved",
   IF(Table13[[#This Row],[Quartile Value]] &gt; Table13[[#This Row],[Previous Quartile Value]], "Dropped", "Same")))</f>
        <v>Same</v>
      </c>
      <c r="J940" s="9" t="s">
        <v>12</v>
      </c>
      <c r="K940" s="7" t="str">
        <f>VLOOKUP(J940,Introduction!$B$6:$C$14,2)</f>
        <v>London</v>
      </c>
      <c r="L940" s="11">
        <v>273</v>
      </c>
      <c r="M940" s="12" t="s">
        <v>408</v>
      </c>
    </row>
    <row r="941" spans="1:13" ht="19.95" customHeight="1" x14ac:dyDescent="0.25">
      <c r="A941" s="41">
        <v>45383</v>
      </c>
      <c r="B941" s="47">
        <f>MONTH(Table13[[#This Row],[YearMonth]])</f>
        <v>4</v>
      </c>
      <c r="C941" s="9" t="s">
        <v>239</v>
      </c>
      <c r="D941" s="6" t="s">
        <v>341</v>
      </c>
      <c r="E941" s="6">
        <f>IF(Table13[[#This Row],[Quartile]]="TopQuartile", 1,
 IF(Table13[[#This Row],[Quartile]]="SecondQuartile", 2,
 IF(Table13[[#This Row],[Quartile]]="ThirdQuartile", 3,
 IF(Table13[[#This Row],[Quartile]]="FourthQuartile", 4, ""))))</f>
        <v>3</v>
      </c>
      <c r="F941" s="9" t="s">
        <v>421</v>
      </c>
      <c r="G941" s="9" t="str" cm="1">
        <f t="array" ref="G941">IFERROR(
  INDEX(Table13[Quartile],
    MATCH(1,
      (Table13[[#This Row],[OrgName]]=Table13[OrgName]) *
      (Table13[[#This Row],[Month Number]]-1=Table13[Month Number]),
    0)
  ),
"")</f>
        <v>ThirdQuartile</v>
      </c>
      <c r="H941" s="9">
        <f>IF(Table13[[#This Row],[Previous Quartile]]="TopQuartile", 1,
 IF(Table13[[#This Row],[Previous Quartile]]="SecondQuartile", 2,
 IF(Table13[[#This Row],[Previous Quartile]]="ThirdQuartile", 3,
 IF(Table13[[#This Row],[Previous Quartile]]="FourthQuartile", 4, ""))))</f>
        <v>3</v>
      </c>
      <c r="I941" s="9" t="str">
        <f>IF(Table13[[#This Row],[Previous Quartile Value]]="", "",
   IF(Table13[[#This Row],[Quartile Value]] &lt; Table13[[#This Row],[Previous Quartile Value]], "Improved",
   IF(Table13[[#This Row],[Quartile Value]] &gt; Table13[[#This Row],[Previous Quartile Value]], "Dropped", "Same")))</f>
        <v>Same</v>
      </c>
      <c r="J941" s="9" t="s">
        <v>24</v>
      </c>
      <c r="K941" s="7" t="str">
        <f>VLOOKUP(J941,Introduction!$B$6:$C$14,2)</f>
        <v>North East and Yorkshire</v>
      </c>
      <c r="L941" s="11">
        <v>425</v>
      </c>
      <c r="M941" s="12" t="s">
        <v>408</v>
      </c>
    </row>
    <row r="942" spans="1:13" ht="19.95" customHeight="1" x14ac:dyDescent="0.25">
      <c r="A942" s="41">
        <v>45383</v>
      </c>
      <c r="B942" s="47">
        <f>MONTH(Table13[[#This Row],[YearMonth]])</f>
        <v>4</v>
      </c>
      <c r="C942" s="9" t="s">
        <v>229</v>
      </c>
      <c r="D942" s="6" t="s">
        <v>350</v>
      </c>
      <c r="E942" s="6">
        <f>IF(Table13[[#This Row],[Quartile]]="TopQuartile", 1,
 IF(Table13[[#This Row],[Quartile]]="SecondQuartile", 2,
 IF(Table13[[#This Row],[Quartile]]="ThirdQuartile", 3,
 IF(Table13[[#This Row],[Quartile]]="FourthQuartile", 4, ""))))</f>
        <v>4</v>
      </c>
      <c r="F942" s="9" t="s">
        <v>420</v>
      </c>
      <c r="G942" s="9" t="str" cm="1">
        <f t="array" ref="G942">IFERROR(
  INDEX(Table13[Quartile],
    MATCH(1,
      (Table13[[#This Row],[OrgName]]=Table13[OrgName]) *
      (Table13[[#This Row],[Month Number]]-1=Table13[Month Number]),
    0)
  ),
"")</f>
        <v>FourthQuartile</v>
      </c>
      <c r="H942" s="9">
        <f>IF(Table13[[#This Row],[Previous Quartile]]="TopQuartile", 1,
 IF(Table13[[#This Row],[Previous Quartile]]="SecondQuartile", 2,
 IF(Table13[[#This Row],[Previous Quartile]]="ThirdQuartile", 3,
 IF(Table13[[#This Row],[Previous Quartile]]="FourthQuartile", 4, ""))))</f>
        <v>4</v>
      </c>
      <c r="I942" s="9" t="str">
        <f>IF(Table13[[#This Row],[Previous Quartile Value]]="", "",
   IF(Table13[[#This Row],[Quartile Value]] &lt; Table13[[#This Row],[Previous Quartile Value]], "Improved",
   IF(Table13[[#This Row],[Quartile Value]] &gt; Table13[[#This Row],[Previous Quartile Value]], "Dropped", "Same")))</f>
        <v>Same</v>
      </c>
      <c r="J942" s="9" t="s">
        <v>18</v>
      </c>
      <c r="K942" s="7" t="str">
        <f>VLOOKUP(J942,Introduction!$B$6:$C$14,2)</f>
        <v>Midlands</v>
      </c>
      <c r="L942" s="11">
        <v>284</v>
      </c>
      <c r="M942" s="12" t="s">
        <v>408</v>
      </c>
    </row>
    <row r="943" spans="1:13" ht="19.95" customHeight="1" x14ac:dyDescent="0.25">
      <c r="A943" s="41">
        <v>45383</v>
      </c>
      <c r="B943" s="47">
        <f>MONTH(Table13[[#This Row],[YearMonth]])</f>
        <v>4</v>
      </c>
      <c r="C943" s="9" t="s">
        <v>273</v>
      </c>
      <c r="D943" s="6" t="s">
        <v>350</v>
      </c>
      <c r="E943" s="6">
        <f>IF(Table13[[#This Row],[Quartile]]="TopQuartile", 1,
 IF(Table13[[#This Row],[Quartile]]="SecondQuartile", 2,
 IF(Table13[[#This Row],[Quartile]]="ThirdQuartile", 3,
 IF(Table13[[#This Row],[Quartile]]="FourthQuartile", 4, ""))))</f>
        <v>4</v>
      </c>
      <c r="F943" s="9" t="s">
        <v>422</v>
      </c>
      <c r="G943" s="9" t="str" cm="1">
        <f t="array" ref="G943">IFERROR(
  INDEX(Table13[Quartile],
    MATCH(1,
      (Table13[[#This Row],[OrgName]]=Table13[OrgName]) *
      (Table13[[#This Row],[Month Number]]-1=Table13[Month Number]),
    0)
  ),
"")</f>
        <v>FourthQuartile</v>
      </c>
      <c r="H943" s="9">
        <f>IF(Table13[[#This Row],[Previous Quartile]]="TopQuartile", 1,
 IF(Table13[[#This Row],[Previous Quartile]]="SecondQuartile", 2,
 IF(Table13[[#This Row],[Previous Quartile]]="ThirdQuartile", 3,
 IF(Table13[[#This Row],[Previous Quartile]]="FourthQuartile", 4, ""))))</f>
        <v>4</v>
      </c>
      <c r="I943" s="9" t="str">
        <f>IF(Table13[[#This Row],[Previous Quartile Value]]="", "",
   IF(Table13[[#This Row],[Quartile Value]] &lt; Table13[[#This Row],[Previous Quartile Value]], "Improved",
   IF(Table13[[#This Row],[Quartile Value]] &gt; Table13[[#This Row],[Previous Quartile Value]], "Dropped", "Same")))</f>
        <v>Same</v>
      </c>
      <c r="J943" s="9" t="s">
        <v>12</v>
      </c>
      <c r="K943" s="7" t="str">
        <f>VLOOKUP(J943,Introduction!$B$6:$C$14,2)</f>
        <v>London</v>
      </c>
      <c r="L943" s="11">
        <v>392</v>
      </c>
      <c r="M943" s="12" t="s">
        <v>408</v>
      </c>
    </row>
    <row r="944" spans="1:13" ht="19.95" customHeight="1" x14ac:dyDescent="0.25">
      <c r="A944" s="41">
        <v>45383</v>
      </c>
      <c r="B944" s="47">
        <f>MONTH(Table13[[#This Row],[YearMonth]])</f>
        <v>4</v>
      </c>
      <c r="C944" s="9" t="s">
        <v>296</v>
      </c>
      <c r="D944" s="6" t="s">
        <v>350</v>
      </c>
      <c r="E944" s="6">
        <f>IF(Table13[[#This Row],[Quartile]]="TopQuartile", 1,
 IF(Table13[[#This Row],[Quartile]]="SecondQuartile", 2,
 IF(Table13[[#This Row],[Quartile]]="ThirdQuartile", 3,
 IF(Table13[[#This Row],[Quartile]]="FourthQuartile", 4, ""))))</f>
        <v>4</v>
      </c>
      <c r="F944" s="9" t="s">
        <v>423</v>
      </c>
      <c r="G944" s="9" t="str" cm="1">
        <f t="array" ref="G944">IFERROR(
  INDEX(Table13[Quartile],
    MATCH(1,
      (Table13[[#This Row],[OrgName]]=Table13[OrgName]) *
      (Table13[[#This Row],[Month Number]]-1=Table13[Month Number]),
    0)
  ),
"")</f>
        <v>FourthQuartile</v>
      </c>
      <c r="H944" s="9">
        <f>IF(Table13[[#This Row],[Previous Quartile]]="TopQuartile", 1,
 IF(Table13[[#This Row],[Previous Quartile]]="SecondQuartile", 2,
 IF(Table13[[#This Row],[Previous Quartile]]="ThirdQuartile", 3,
 IF(Table13[[#This Row],[Previous Quartile]]="FourthQuartile", 4, ""))))</f>
        <v>4</v>
      </c>
      <c r="I944" s="9" t="str">
        <f>IF(Table13[[#This Row],[Previous Quartile Value]]="", "",
   IF(Table13[[#This Row],[Quartile Value]] &lt; Table13[[#This Row],[Previous Quartile Value]], "Improved",
   IF(Table13[[#This Row],[Quartile Value]] &gt; Table13[[#This Row],[Previous Quartile Value]], "Dropped", "Same")))</f>
        <v>Same</v>
      </c>
      <c r="J944" s="9" t="s">
        <v>22</v>
      </c>
      <c r="K944" s="7" t="str">
        <f>VLOOKUP(J944,Introduction!$B$6:$C$14,2)</f>
        <v>North West</v>
      </c>
      <c r="L944" s="11">
        <v>410</v>
      </c>
      <c r="M944" s="12" t="s">
        <v>408</v>
      </c>
    </row>
    <row r="945" spans="1:13" ht="19.95" customHeight="1" x14ac:dyDescent="0.25">
      <c r="A945" s="41">
        <v>45383</v>
      </c>
      <c r="B945" s="47">
        <f>MONTH(Table13[[#This Row],[YearMonth]])</f>
        <v>4</v>
      </c>
      <c r="C945" s="9" t="s">
        <v>41</v>
      </c>
      <c r="D945" s="6" t="s">
        <v>330</v>
      </c>
      <c r="E945" s="6">
        <f>IF(Table13[[#This Row],[Quartile]]="TopQuartile", 1,
 IF(Table13[[#This Row],[Quartile]]="SecondQuartile", 2,
 IF(Table13[[#This Row],[Quartile]]="ThirdQuartile", 3,
 IF(Table13[[#This Row],[Quartile]]="FourthQuartile", 4, ""))))</f>
        <v>1</v>
      </c>
      <c r="F945" s="9" t="s">
        <v>424</v>
      </c>
      <c r="G945" s="9" t="str" cm="1">
        <f t="array" ref="G945">IFERROR(
  INDEX(Table13[Quartile],
    MATCH(1,
      (Table13[[#This Row],[OrgName]]=Table13[OrgName]) *
      (Table13[[#This Row],[Month Number]]-1=Table13[Month Number]),
    0)
  ),
"")</f>
        <v>TopQuartile</v>
      </c>
      <c r="H945" s="9">
        <f>IF(Table13[[#This Row],[Previous Quartile]]="TopQuartile", 1,
 IF(Table13[[#This Row],[Previous Quartile]]="SecondQuartile", 2,
 IF(Table13[[#This Row],[Previous Quartile]]="ThirdQuartile", 3,
 IF(Table13[[#This Row],[Previous Quartile]]="FourthQuartile", 4, ""))))</f>
        <v>1</v>
      </c>
      <c r="I945" s="9" t="str">
        <f>IF(Table13[[#This Row],[Previous Quartile Value]]="", "",
   IF(Table13[[#This Row],[Quartile Value]] &lt; Table13[[#This Row],[Previous Quartile Value]], "Improved",
   IF(Table13[[#This Row],[Quartile Value]] &gt; Table13[[#This Row],[Previous Quartile Value]], "Dropped", "Same")))</f>
        <v>Same</v>
      </c>
      <c r="J945" s="9" t="s">
        <v>24</v>
      </c>
      <c r="K945" s="7" t="str">
        <f>VLOOKUP(J945,Introduction!$B$6:$C$14,2)</f>
        <v>North East and Yorkshire</v>
      </c>
      <c r="L945" s="11">
        <v>389</v>
      </c>
      <c r="M945" s="12" t="s">
        <v>425</v>
      </c>
    </row>
    <row r="946" spans="1:13" ht="19.95" customHeight="1" x14ac:dyDescent="0.25">
      <c r="A946" s="41">
        <v>45383</v>
      </c>
      <c r="B946" s="47">
        <f>MONTH(Table13[[#This Row],[YearMonth]])</f>
        <v>4</v>
      </c>
      <c r="C946" s="9" t="s">
        <v>69</v>
      </c>
      <c r="D946" s="6" t="s">
        <v>330</v>
      </c>
      <c r="E946" s="6">
        <f>IF(Table13[[#This Row],[Quartile]]="TopQuartile", 1,
 IF(Table13[[#This Row],[Quartile]]="SecondQuartile", 2,
 IF(Table13[[#This Row],[Quartile]]="ThirdQuartile", 3,
 IF(Table13[[#This Row],[Quartile]]="FourthQuartile", 4, ""))))</f>
        <v>1</v>
      </c>
      <c r="F946" s="9" t="s">
        <v>426</v>
      </c>
      <c r="G946" s="9" t="str" cm="1">
        <f t="array" ref="G946">IFERROR(
  INDEX(Table13[Quartile],
    MATCH(1,
      (Table13[[#This Row],[OrgName]]=Table13[OrgName]) *
      (Table13[[#This Row],[Month Number]]-1=Table13[Month Number]),
    0)
  ),
"")</f>
        <v>TopQuartile</v>
      </c>
      <c r="H946" s="9">
        <f>IF(Table13[[#This Row],[Previous Quartile]]="TopQuartile", 1,
 IF(Table13[[#This Row],[Previous Quartile]]="SecondQuartile", 2,
 IF(Table13[[#This Row],[Previous Quartile]]="ThirdQuartile", 3,
 IF(Table13[[#This Row],[Previous Quartile]]="FourthQuartile", 4, ""))))</f>
        <v>1</v>
      </c>
      <c r="I946" s="9" t="str">
        <f>IF(Table13[[#This Row],[Previous Quartile Value]]="", "",
   IF(Table13[[#This Row],[Quartile Value]] &lt; Table13[[#This Row],[Previous Quartile Value]], "Improved",
   IF(Table13[[#This Row],[Quartile Value]] &gt; Table13[[#This Row],[Previous Quartile Value]], "Dropped", "Same")))</f>
        <v>Same</v>
      </c>
      <c r="J946" s="9" t="s">
        <v>18</v>
      </c>
      <c r="K946" s="7" t="str">
        <f>VLOOKUP(J946,Introduction!$B$6:$C$14,2)</f>
        <v>Midlands</v>
      </c>
      <c r="L946" s="11">
        <v>320</v>
      </c>
      <c r="M946" s="12" t="s">
        <v>425</v>
      </c>
    </row>
    <row r="947" spans="1:13" ht="19.95" customHeight="1" x14ac:dyDescent="0.25">
      <c r="A947" s="41">
        <v>45383</v>
      </c>
      <c r="B947" s="47">
        <f>MONTH(Table13[[#This Row],[YearMonth]])</f>
        <v>4</v>
      </c>
      <c r="C947" s="9" t="s">
        <v>88</v>
      </c>
      <c r="D947" s="6" t="s">
        <v>330</v>
      </c>
      <c r="E947" s="6">
        <f>IF(Table13[[#This Row],[Quartile]]="TopQuartile", 1,
 IF(Table13[[#This Row],[Quartile]]="SecondQuartile", 2,
 IF(Table13[[#This Row],[Quartile]]="ThirdQuartile", 3,
 IF(Table13[[#This Row],[Quartile]]="FourthQuartile", 4, ""))))</f>
        <v>1</v>
      </c>
      <c r="F947" s="9" t="s">
        <v>428</v>
      </c>
      <c r="G947" s="9" t="str" cm="1">
        <f t="array" ref="G947">IFERROR(
  INDEX(Table13[Quartile],
    MATCH(1,
      (Table13[[#This Row],[OrgName]]=Table13[OrgName]) *
      (Table13[[#This Row],[Month Number]]-1=Table13[Month Number]),
    0)
  ),
"")</f>
        <v>TopQuartile</v>
      </c>
      <c r="H947" s="9">
        <f>IF(Table13[[#This Row],[Previous Quartile]]="TopQuartile", 1,
 IF(Table13[[#This Row],[Previous Quartile]]="SecondQuartile", 2,
 IF(Table13[[#This Row],[Previous Quartile]]="ThirdQuartile", 3,
 IF(Table13[[#This Row],[Previous Quartile]]="FourthQuartile", 4, ""))))</f>
        <v>1</v>
      </c>
      <c r="I947" s="9" t="str">
        <f>IF(Table13[[#This Row],[Previous Quartile Value]]="", "",
   IF(Table13[[#This Row],[Quartile Value]] &lt; Table13[[#This Row],[Previous Quartile Value]], "Improved",
   IF(Table13[[#This Row],[Quartile Value]] &gt; Table13[[#This Row],[Previous Quartile Value]], "Dropped", "Same")))</f>
        <v>Same</v>
      </c>
      <c r="J947" s="9" t="s">
        <v>22</v>
      </c>
      <c r="K947" s="7" t="str">
        <f>VLOOKUP(J947,Introduction!$B$6:$C$14,2)</f>
        <v>North West</v>
      </c>
      <c r="L947" s="11">
        <v>408</v>
      </c>
      <c r="M947" s="12" t="s">
        <v>425</v>
      </c>
    </row>
    <row r="948" spans="1:13" ht="19.95" customHeight="1" x14ac:dyDescent="0.25">
      <c r="A948" s="41">
        <v>45383</v>
      </c>
      <c r="B948" s="47">
        <f>MONTH(Table13[[#This Row],[YearMonth]])</f>
        <v>4</v>
      </c>
      <c r="C948" s="9" t="s">
        <v>103</v>
      </c>
      <c r="D948" s="6" t="s">
        <v>330</v>
      </c>
      <c r="E948" s="6">
        <f>IF(Table13[[#This Row],[Quartile]]="TopQuartile", 1,
 IF(Table13[[#This Row],[Quartile]]="SecondQuartile", 2,
 IF(Table13[[#This Row],[Quartile]]="ThirdQuartile", 3,
 IF(Table13[[#This Row],[Quartile]]="FourthQuartile", 4, ""))))</f>
        <v>1</v>
      </c>
      <c r="F948" s="9" t="s">
        <v>431</v>
      </c>
      <c r="G948" s="9" t="str" cm="1">
        <f t="array" ref="G948">IFERROR(
  INDEX(Table13[Quartile],
    MATCH(1,
      (Table13[[#This Row],[OrgName]]=Table13[OrgName]) *
      (Table13[[#This Row],[Month Number]]-1=Table13[Month Number]),
    0)
  ),
"")</f>
        <v>TopQuartile</v>
      </c>
      <c r="H948" s="9">
        <f>IF(Table13[[#This Row],[Previous Quartile]]="TopQuartile", 1,
 IF(Table13[[#This Row],[Previous Quartile]]="SecondQuartile", 2,
 IF(Table13[[#This Row],[Previous Quartile]]="ThirdQuartile", 3,
 IF(Table13[[#This Row],[Previous Quartile]]="FourthQuartile", 4, ""))))</f>
        <v>1</v>
      </c>
      <c r="I948" s="9" t="str">
        <f>IF(Table13[[#This Row],[Previous Quartile Value]]="", "",
   IF(Table13[[#This Row],[Quartile Value]] &lt; Table13[[#This Row],[Previous Quartile Value]], "Improved",
   IF(Table13[[#This Row],[Quartile Value]] &gt; Table13[[#This Row],[Previous Quartile Value]], "Dropped", "Same")))</f>
        <v>Same</v>
      </c>
      <c r="J948" s="9" t="s">
        <v>16</v>
      </c>
      <c r="K948" s="7" t="str">
        <f>VLOOKUP(J948,Introduction!$B$6:$C$14,2)</f>
        <v>South East</v>
      </c>
      <c r="L948" s="11">
        <v>188</v>
      </c>
      <c r="M948" s="12" t="s">
        <v>425</v>
      </c>
    </row>
    <row r="949" spans="1:13" ht="19.95" customHeight="1" x14ac:dyDescent="0.25">
      <c r="A949" s="41">
        <v>45383</v>
      </c>
      <c r="B949" s="47">
        <f>MONTH(Table13[[#This Row],[YearMonth]])</f>
        <v>4</v>
      </c>
      <c r="C949" s="9" t="s">
        <v>82</v>
      </c>
      <c r="D949" s="6" t="s">
        <v>330</v>
      </c>
      <c r="E949" s="6">
        <f>IF(Table13[[#This Row],[Quartile]]="TopQuartile", 1,
 IF(Table13[[#This Row],[Quartile]]="SecondQuartile", 2,
 IF(Table13[[#This Row],[Quartile]]="ThirdQuartile", 3,
 IF(Table13[[#This Row],[Quartile]]="FourthQuartile", 4, ""))))</f>
        <v>1</v>
      </c>
      <c r="F949" s="9" t="s">
        <v>427</v>
      </c>
      <c r="G949" s="9" t="str" cm="1">
        <f t="array" ref="G949">IFERROR(
  INDEX(Table13[Quartile],
    MATCH(1,
      (Table13[[#This Row],[OrgName]]=Table13[OrgName]) *
      (Table13[[#This Row],[Month Number]]-1=Table13[Month Number]),
    0)
  ),
"")</f>
        <v>TopQuartile</v>
      </c>
      <c r="H949" s="9">
        <f>IF(Table13[[#This Row],[Previous Quartile]]="TopQuartile", 1,
 IF(Table13[[#This Row],[Previous Quartile]]="SecondQuartile", 2,
 IF(Table13[[#This Row],[Previous Quartile]]="ThirdQuartile", 3,
 IF(Table13[[#This Row],[Previous Quartile]]="FourthQuartile", 4, ""))))</f>
        <v>1</v>
      </c>
      <c r="I949" s="9" t="str">
        <f>IF(Table13[[#This Row],[Previous Quartile Value]]="", "",
   IF(Table13[[#This Row],[Quartile Value]] &lt; Table13[[#This Row],[Previous Quartile Value]], "Improved",
   IF(Table13[[#This Row],[Quartile Value]] &gt; Table13[[#This Row],[Previous Quartile Value]], "Dropped", "Same")))</f>
        <v>Same</v>
      </c>
      <c r="J949" s="9" t="s">
        <v>20</v>
      </c>
      <c r="K949" s="7" t="str">
        <f>VLOOKUP(J949,Introduction!$B$6:$C$14,2)</f>
        <v>East of England</v>
      </c>
      <c r="L949" s="11">
        <v>180</v>
      </c>
      <c r="M949" s="12" t="s">
        <v>425</v>
      </c>
    </row>
    <row r="950" spans="1:13" ht="19.95" customHeight="1" x14ac:dyDescent="0.25">
      <c r="A950" s="41">
        <v>45383</v>
      </c>
      <c r="B950" s="47">
        <f>MONTH(Table13[[#This Row],[YearMonth]])</f>
        <v>4</v>
      </c>
      <c r="C950" s="9" t="s">
        <v>94</v>
      </c>
      <c r="D950" s="6" t="s">
        <v>330</v>
      </c>
      <c r="E950" s="6">
        <f>IF(Table13[[#This Row],[Quartile]]="TopQuartile", 1,
 IF(Table13[[#This Row],[Quartile]]="SecondQuartile", 2,
 IF(Table13[[#This Row],[Quartile]]="ThirdQuartile", 3,
 IF(Table13[[#This Row],[Quartile]]="FourthQuartile", 4, ""))))</f>
        <v>1</v>
      </c>
      <c r="F950" s="9" t="s">
        <v>429</v>
      </c>
      <c r="G950" s="9" t="str" cm="1">
        <f t="array" ref="G950">IFERROR(
  INDEX(Table13[Quartile],
    MATCH(1,
      (Table13[[#This Row],[OrgName]]=Table13[OrgName]) *
      (Table13[[#This Row],[Month Number]]-1=Table13[Month Number]),
    0)
  ),
"")</f>
        <v>TopQuartile</v>
      </c>
      <c r="H950" s="9">
        <f>IF(Table13[[#This Row],[Previous Quartile]]="TopQuartile", 1,
 IF(Table13[[#This Row],[Previous Quartile]]="SecondQuartile", 2,
 IF(Table13[[#This Row],[Previous Quartile]]="ThirdQuartile", 3,
 IF(Table13[[#This Row],[Previous Quartile]]="FourthQuartile", 4, ""))))</f>
        <v>1</v>
      </c>
      <c r="I950" s="9" t="str">
        <f>IF(Table13[[#This Row],[Previous Quartile Value]]="", "",
   IF(Table13[[#This Row],[Quartile Value]] &lt; Table13[[#This Row],[Previous Quartile Value]], "Improved",
   IF(Table13[[#This Row],[Quartile Value]] &gt; Table13[[#This Row],[Previous Quartile Value]], "Dropped", "Same")))</f>
        <v>Same</v>
      </c>
      <c r="J950" s="9" t="s">
        <v>22</v>
      </c>
      <c r="K950" s="7" t="str">
        <f>VLOOKUP(J950,Introduction!$B$6:$C$14,2)</f>
        <v>North West</v>
      </c>
      <c r="L950" s="11">
        <v>438</v>
      </c>
      <c r="M950" s="12" t="s">
        <v>425</v>
      </c>
    </row>
    <row r="951" spans="1:13" ht="19.95" customHeight="1" x14ac:dyDescent="0.25">
      <c r="A951" s="41">
        <v>45383</v>
      </c>
      <c r="B951" s="47">
        <f>MONTH(Table13[[#This Row],[YearMonth]])</f>
        <v>4</v>
      </c>
      <c r="C951" s="9" t="s">
        <v>128</v>
      </c>
      <c r="D951" s="6" t="s">
        <v>338</v>
      </c>
      <c r="E951" s="6">
        <f>IF(Table13[[#This Row],[Quartile]]="TopQuartile", 1,
 IF(Table13[[#This Row],[Quartile]]="SecondQuartile", 2,
 IF(Table13[[#This Row],[Quartile]]="ThirdQuartile", 3,
 IF(Table13[[#This Row],[Quartile]]="FourthQuartile", 4, ""))))</f>
        <v>2</v>
      </c>
      <c r="F951" s="9" t="s">
        <v>433</v>
      </c>
      <c r="G951" s="9" t="str" cm="1">
        <f t="array" ref="G951">IFERROR(
  INDEX(Table13[Quartile],
    MATCH(1,
      (Table13[[#This Row],[OrgName]]=Table13[OrgName]) *
      (Table13[[#This Row],[Month Number]]-1=Table13[Month Number]),
    0)
  ),
"")</f>
        <v>TopQuartile</v>
      </c>
      <c r="H951" s="9">
        <f>IF(Table13[[#This Row],[Previous Quartile]]="TopQuartile", 1,
 IF(Table13[[#This Row],[Previous Quartile]]="SecondQuartile", 2,
 IF(Table13[[#This Row],[Previous Quartile]]="ThirdQuartile", 3,
 IF(Table13[[#This Row],[Previous Quartile]]="FourthQuartile", 4, ""))))</f>
        <v>1</v>
      </c>
      <c r="I951" s="9" t="str">
        <f>IF(Table13[[#This Row],[Previous Quartile Value]]="", "",
   IF(Table13[[#This Row],[Quartile Value]] &lt; Table13[[#This Row],[Previous Quartile Value]], "Improved",
   IF(Table13[[#This Row],[Quartile Value]] &gt; Table13[[#This Row],[Previous Quartile Value]], "Dropped", "Same")))</f>
        <v>Dropped</v>
      </c>
      <c r="J951" s="9" t="s">
        <v>12</v>
      </c>
      <c r="K951" s="7" t="str">
        <f>VLOOKUP(J951,Introduction!$B$6:$C$14,2)</f>
        <v>London</v>
      </c>
      <c r="L951" s="11">
        <v>162</v>
      </c>
      <c r="M951" s="12" t="s">
        <v>425</v>
      </c>
    </row>
    <row r="952" spans="1:13" ht="19.95" customHeight="1" x14ac:dyDescent="0.25">
      <c r="A952" s="41">
        <v>45383</v>
      </c>
      <c r="B952" s="47">
        <f>MONTH(Table13[[#This Row],[YearMonth]])</f>
        <v>4</v>
      </c>
      <c r="C952" s="9" t="s">
        <v>140</v>
      </c>
      <c r="D952" s="6" t="s">
        <v>338</v>
      </c>
      <c r="E952" s="6">
        <f>IF(Table13[[#This Row],[Quartile]]="TopQuartile", 1,
 IF(Table13[[#This Row],[Quartile]]="SecondQuartile", 2,
 IF(Table13[[#This Row],[Quartile]]="ThirdQuartile", 3,
 IF(Table13[[#This Row],[Quartile]]="FourthQuartile", 4, ""))))</f>
        <v>2</v>
      </c>
      <c r="F952" s="9" t="s">
        <v>434</v>
      </c>
      <c r="G952" s="9" t="str" cm="1">
        <f t="array" ref="G952">IFERROR(
  INDEX(Table13[Quartile],
    MATCH(1,
      (Table13[[#This Row],[OrgName]]=Table13[OrgName]) *
      (Table13[[#This Row],[Month Number]]-1=Table13[Month Number]),
    0)
  ),
"")</f>
        <v>SecondQuartile</v>
      </c>
      <c r="H952" s="9">
        <f>IF(Table13[[#This Row],[Previous Quartile]]="TopQuartile", 1,
 IF(Table13[[#This Row],[Previous Quartile]]="SecondQuartile", 2,
 IF(Table13[[#This Row],[Previous Quartile]]="ThirdQuartile", 3,
 IF(Table13[[#This Row],[Previous Quartile]]="FourthQuartile", 4, ""))))</f>
        <v>2</v>
      </c>
      <c r="I952" s="9" t="str">
        <f>IF(Table13[[#This Row],[Previous Quartile Value]]="", "",
   IF(Table13[[#This Row],[Quartile Value]] &lt; Table13[[#This Row],[Previous Quartile Value]], "Improved",
   IF(Table13[[#This Row],[Quartile Value]] &gt; Table13[[#This Row],[Previous Quartile Value]], "Dropped", "Same")))</f>
        <v>Same</v>
      </c>
      <c r="J952" s="9" t="s">
        <v>18</v>
      </c>
      <c r="K952" s="7" t="str">
        <f>VLOOKUP(J952,Introduction!$B$6:$C$14,2)</f>
        <v>Midlands</v>
      </c>
      <c r="L952" s="11">
        <v>203</v>
      </c>
      <c r="M952" s="12" t="s">
        <v>425</v>
      </c>
    </row>
    <row r="953" spans="1:13" ht="19.95" customHeight="1" x14ac:dyDescent="0.25">
      <c r="A953" s="41">
        <v>45383</v>
      </c>
      <c r="B953" s="47">
        <f>MONTH(Table13[[#This Row],[YearMonth]])</f>
        <v>4</v>
      </c>
      <c r="C953" s="9" t="s">
        <v>119</v>
      </c>
      <c r="D953" s="6" t="s">
        <v>338</v>
      </c>
      <c r="E953" s="6">
        <f>IF(Table13[[#This Row],[Quartile]]="TopQuartile", 1,
 IF(Table13[[#This Row],[Quartile]]="SecondQuartile", 2,
 IF(Table13[[#This Row],[Quartile]]="ThirdQuartile", 3,
 IF(Table13[[#This Row],[Quartile]]="FourthQuartile", 4, ""))))</f>
        <v>2</v>
      </c>
      <c r="F953" s="9" t="s">
        <v>432</v>
      </c>
      <c r="G953" s="9" t="str" cm="1">
        <f t="array" ref="G953">IFERROR(
  INDEX(Table13[Quartile],
    MATCH(1,
      (Table13[[#This Row],[OrgName]]=Table13[OrgName]) *
      (Table13[[#This Row],[Month Number]]-1=Table13[Month Number]),
    0)
  ),
"")</f>
        <v>SecondQuartile</v>
      </c>
      <c r="H953" s="9">
        <f>IF(Table13[[#This Row],[Previous Quartile]]="TopQuartile", 1,
 IF(Table13[[#This Row],[Previous Quartile]]="SecondQuartile", 2,
 IF(Table13[[#This Row],[Previous Quartile]]="ThirdQuartile", 3,
 IF(Table13[[#This Row],[Previous Quartile]]="FourthQuartile", 4, ""))))</f>
        <v>2</v>
      </c>
      <c r="I953" s="9" t="str">
        <f>IF(Table13[[#This Row],[Previous Quartile Value]]="", "",
   IF(Table13[[#This Row],[Quartile Value]] &lt; Table13[[#This Row],[Previous Quartile Value]], "Improved",
   IF(Table13[[#This Row],[Quartile Value]] &gt; Table13[[#This Row],[Previous Quartile Value]], "Dropped", "Same")))</f>
        <v>Same</v>
      </c>
      <c r="J953" s="9" t="s">
        <v>22</v>
      </c>
      <c r="K953" s="7" t="str">
        <f>VLOOKUP(J953,Introduction!$B$6:$C$14,2)</f>
        <v>North West</v>
      </c>
      <c r="L953" s="11">
        <v>236</v>
      </c>
      <c r="M953" s="12" t="s">
        <v>425</v>
      </c>
    </row>
    <row r="954" spans="1:13" ht="19.95" customHeight="1" x14ac:dyDescent="0.25">
      <c r="A954" s="41">
        <v>45383</v>
      </c>
      <c r="B954" s="47">
        <f>MONTH(Table13[[#This Row],[YearMonth]])</f>
        <v>4</v>
      </c>
      <c r="C954" s="9" t="s">
        <v>144</v>
      </c>
      <c r="D954" s="6" t="s">
        <v>338</v>
      </c>
      <c r="E954" s="6">
        <f>IF(Table13[[#This Row],[Quartile]]="TopQuartile", 1,
 IF(Table13[[#This Row],[Quartile]]="SecondQuartile", 2,
 IF(Table13[[#This Row],[Quartile]]="ThirdQuartile", 3,
 IF(Table13[[#This Row],[Quartile]]="FourthQuartile", 4, ""))))</f>
        <v>2</v>
      </c>
      <c r="F954" s="9" t="s">
        <v>436</v>
      </c>
      <c r="G954" s="9" t="str" cm="1">
        <f t="array" ref="G954">IFERROR(
  INDEX(Table13[Quartile],
    MATCH(1,
      (Table13[[#This Row],[OrgName]]=Table13[OrgName]) *
      (Table13[[#This Row],[Month Number]]-1=Table13[Month Number]),
    0)
  ),
"")</f>
        <v>SecondQuartile</v>
      </c>
      <c r="H954" s="9">
        <f>IF(Table13[[#This Row],[Previous Quartile]]="TopQuartile", 1,
 IF(Table13[[#This Row],[Previous Quartile]]="SecondQuartile", 2,
 IF(Table13[[#This Row],[Previous Quartile]]="ThirdQuartile", 3,
 IF(Table13[[#This Row],[Previous Quartile]]="FourthQuartile", 4, ""))))</f>
        <v>2</v>
      </c>
      <c r="I954" s="9" t="str">
        <f>IF(Table13[[#This Row],[Previous Quartile Value]]="", "",
   IF(Table13[[#This Row],[Quartile Value]] &lt; Table13[[#This Row],[Previous Quartile Value]], "Improved",
   IF(Table13[[#This Row],[Quartile Value]] &gt; Table13[[#This Row],[Previous Quartile Value]], "Dropped", "Same")))</f>
        <v>Same</v>
      </c>
      <c r="J954" s="9" t="s">
        <v>24</v>
      </c>
      <c r="K954" s="7" t="str">
        <f>VLOOKUP(J954,Introduction!$B$6:$C$14,2)</f>
        <v>North East and Yorkshire</v>
      </c>
      <c r="L954" s="11">
        <v>190</v>
      </c>
      <c r="M954" s="12" t="s">
        <v>425</v>
      </c>
    </row>
    <row r="955" spans="1:13" ht="19.95" customHeight="1" x14ac:dyDescent="0.25">
      <c r="A955" s="41">
        <v>45383</v>
      </c>
      <c r="B955" s="47">
        <f>MONTH(Table13[[#This Row],[YearMonth]])</f>
        <v>4</v>
      </c>
      <c r="C955" s="9" t="s">
        <v>147</v>
      </c>
      <c r="D955" s="6" t="s">
        <v>338</v>
      </c>
      <c r="E955" s="6">
        <f>IF(Table13[[#This Row],[Quartile]]="TopQuartile", 1,
 IF(Table13[[#This Row],[Quartile]]="SecondQuartile", 2,
 IF(Table13[[#This Row],[Quartile]]="ThirdQuartile", 3,
 IF(Table13[[#This Row],[Quartile]]="FourthQuartile", 4, ""))))</f>
        <v>2</v>
      </c>
      <c r="F955" s="9" t="s">
        <v>437</v>
      </c>
      <c r="G955" s="9" t="str" cm="1">
        <f t="array" ref="G955">IFERROR(
  INDEX(Table13[Quartile],
    MATCH(1,
      (Table13[[#This Row],[OrgName]]=Table13[OrgName]) *
      (Table13[[#This Row],[Month Number]]-1=Table13[Month Number]),
    0)
  ),
"")</f>
        <v>SecondQuartile</v>
      </c>
      <c r="H955" s="9">
        <f>IF(Table13[[#This Row],[Previous Quartile]]="TopQuartile", 1,
 IF(Table13[[#This Row],[Previous Quartile]]="SecondQuartile", 2,
 IF(Table13[[#This Row],[Previous Quartile]]="ThirdQuartile", 3,
 IF(Table13[[#This Row],[Previous Quartile]]="FourthQuartile", 4, ""))))</f>
        <v>2</v>
      </c>
      <c r="I955" s="9" t="str">
        <f>IF(Table13[[#This Row],[Previous Quartile Value]]="", "",
   IF(Table13[[#This Row],[Quartile Value]] &lt; Table13[[#This Row],[Previous Quartile Value]], "Improved",
   IF(Table13[[#This Row],[Quartile Value]] &gt; Table13[[#This Row],[Previous Quartile Value]], "Dropped", "Same")))</f>
        <v>Same</v>
      </c>
      <c r="J955" s="9" t="s">
        <v>22</v>
      </c>
      <c r="K955" s="7" t="str">
        <f>VLOOKUP(J955,Introduction!$B$6:$C$14,2)</f>
        <v>North West</v>
      </c>
      <c r="L955" s="11">
        <v>331</v>
      </c>
      <c r="M955" s="12" t="s">
        <v>425</v>
      </c>
    </row>
    <row r="956" spans="1:13" ht="19.95" customHeight="1" x14ac:dyDescent="0.25">
      <c r="A956" s="41">
        <v>45383</v>
      </c>
      <c r="B956" s="47">
        <f>MONTH(Table13[[#This Row],[YearMonth]])</f>
        <v>4</v>
      </c>
      <c r="C956" s="9" t="s">
        <v>95</v>
      </c>
      <c r="D956" s="6" t="s">
        <v>338</v>
      </c>
      <c r="E956" s="6">
        <f>IF(Table13[[#This Row],[Quartile]]="TopQuartile", 1,
 IF(Table13[[#This Row],[Quartile]]="SecondQuartile", 2,
 IF(Table13[[#This Row],[Quartile]]="ThirdQuartile", 3,
 IF(Table13[[#This Row],[Quartile]]="FourthQuartile", 4, ""))))</f>
        <v>2</v>
      </c>
      <c r="F956" s="9" t="s">
        <v>430</v>
      </c>
      <c r="G956" s="9" t="str" cm="1">
        <f t="array" ref="G956">IFERROR(
  INDEX(Table13[Quartile],
    MATCH(1,
      (Table13[[#This Row],[OrgName]]=Table13[OrgName]) *
      (Table13[[#This Row],[Month Number]]-1=Table13[Month Number]),
    0)
  ),
"")</f>
        <v>SecondQuartile</v>
      </c>
      <c r="H956" s="9">
        <f>IF(Table13[[#This Row],[Previous Quartile]]="TopQuartile", 1,
 IF(Table13[[#This Row],[Previous Quartile]]="SecondQuartile", 2,
 IF(Table13[[#This Row],[Previous Quartile]]="ThirdQuartile", 3,
 IF(Table13[[#This Row],[Previous Quartile]]="FourthQuartile", 4, ""))))</f>
        <v>2</v>
      </c>
      <c r="I956" s="9" t="str">
        <f>IF(Table13[[#This Row],[Previous Quartile Value]]="", "",
   IF(Table13[[#This Row],[Quartile Value]] &lt; Table13[[#This Row],[Previous Quartile Value]], "Improved",
   IF(Table13[[#This Row],[Quartile Value]] &gt; Table13[[#This Row],[Previous Quartile Value]], "Dropped", "Same")))</f>
        <v>Same</v>
      </c>
      <c r="J956" s="9" t="s">
        <v>24</v>
      </c>
      <c r="K956" s="7" t="str">
        <f>VLOOKUP(J956,Introduction!$B$6:$C$14,2)</f>
        <v>North East and Yorkshire</v>
      </c>
      <c r="L956" s="11">
        <v>317</v>
      </c>
      <c r="M956" s="12" t="s">
        <v>425</v>
      </c>
    </row>
    <row r="957" spans="1:13" ht="19.95" customHeight="1" x14ac:dyDescent="0.25">
      <c r="A957" s="41">
        <v>45383</v>
      </c>
      <c r="B957" s="47">
        <f>MONTH(Table13[[#This Row],[YearMonth]])</f>
        <v>4</v>
      </c>
      <c r="C957" s="9" t="s">
        <v>142</v>
      </c>
      <c r="D957" s="6" t="s">
        <v>338</v>
      </c>
      <c r="E957" s="6">
        <f>IF(Table13[[#This Row],[Quartile]]="TopQuartile", 1,
 IF(Table13[[#This Row],[Quartile]]="SecondQuartile", 2,
 IF(Table13[[#This Row],[Quartile]]="ThirdQuartile", 3,
 IF(Table13[[#This Row],[Quartile]]="FourthQuartile", 4, ""))))</f>
        <v>2</v>
      </c>
      <c r="F957" s="9" t="s">
        <v>435</v>
      </c>
      <c r="G957" s="9" t="str" cm="1">
        <f t="array" ref="G957">IFERROR(
  INDEX(Table13[Quartile],
    MATCH(1,
      (Table13[[#This Row],[OrgName]]=Table13[OrgName]) *
      (Table13[[#This Row],[Month Number]]-1=Table13[Month Number]),
    0)
  ),
"")</f>
        <v>SecondQuartile</v>
      </c>
      <c r="H957" s="9">
        <f>IF(Table13[[#This Row],[Previous Quartile]]="TopQuartile", 1,
 IF(Table13[[#This Row],[Previous Quartile]]="SecondQuartile", 2,
 IF(Table13[[#This Row],[Previous Quartile]]="ThirdQuartile", 3,
 IF(Table13[[#This Row],[Previous Quartile]]="FourthQuartile", 4, ""))))</f>
        <v>2</v>
      </c>
      <c r="I957" s="9" t="str">
        <f>IF(Table13[[#This Row],[Previous Quartile Value]]="", "",
   IF(Table13[[#This Row],[Quartile Value]] &lt; Table13[[#This Row],[Previous Quartile Value]], "Improved",
   IF(Table13[[#This Row],[Quartile Value]] &gt; Table13[[#This Row],[Previous Quartile Value]], "Dropped", "Same")))</f>
        <v>Same</v>
      </c>
      <c r="J957" s="25" t="s">
        <v>22</v>
      </c>
      <c r="K957" s="7" t="str">
        <f>VLOOKUP(J957,Introduction!$B$6:$C$14,2)</f>
        <v>North West</v>
      </c>
      <c r="L957" s="9">
        <v>96</v>
      </c>
      <c r="M957" s="12" t="s">
        <v>425</v>
      </c>
    </row>
    <row r="958" spans="1:13" ht="19.95" customHeight="1" x14ac:dyDescent="0.25">
      <c r="A958" s="41">
        <v>45383</v>
      </c>
      <c r="B958" s="47">
        <f>MONTH(Table13[[#This Row],[YearMonth]])</f>
        <v>4</v>
      </c>
      <c r="C958" s="9" t="s">
        <v>142</v>
      </c>
      <c r="D958" s="6" t="s">
        <v>338</v>
      </c>
      <c r="E958" s="6">
        <f>IF(Table13[[#This Row],[Quartile]]="TopQuartile", 1,
 IF(Table13[[#This Row],[Quartile]]="SecondQuartile", 2,
 IF(Table13[[#This Row],[Quartile]]="ThirdQuartile", 3,
 IF(Table13[[#This Row],[Quartile]]="FourthQuartile", 4, ""))))</f>
        <v>2</v>
      </c>
      <c r="F958" s="9" t="s">
        <v>435</v>
      </c>
      <c r="G958" s="9" t="str" cm="1">
        <f t="array" ref="G958">IFERROR(
  INDEX(Table13[Quartile],
    MATCH(1,
      (Table13[[#This Row],[OrgName]]=Table13[OrgName]) *
      (Table13[[#This Row],[Month Number]]-1=Table13[Month Number]),
    0)
  ),
"")</f>
        <v>SecondQuartile</v>
      </c>
      <c r="H958" s="9">
        <f>IF(Table13[[#This Row],[Previous Quartile]]="TopQuartile", 1,
 IF(Table13[[#This Row],[Previous Quartile]]="SecondQuartile", 2,
 IF(Table13[[#This Row],[Previous Quartile]]="ThirdQuartile", 3,
 IF(Table13[[#This Row],[Previous Quartile]]="FourthQuartile", 4, ""))))</f>
        <v>2</v>
      </c>
      <c r="I958" s="9" t="str">
        <f>IF(Table13[[#This Row],[Previous Quartile Value]]="", "",
   IF(Table13[[#This Row],[Quartile Value]] &lt; Table13[[#This Row],[Previous Quartile Value]], "Improved",
   IF(Table13[[#This Row],[Quartile Value]] &gt; Table13[[#This Row],[Previous Quartile Value]], "Dropped", "Same")))</f>
        <v>Same</v>
      </c>
      <c r="J958" s="25" t="s">
        <v>22</v>
      </c>
      <c r="K958" s="7" t="str">
        <f>VLOOKUP(J958,Introduction!$B$6:$C$14,2)</f>
        <v>North West</v>
      </c>
      <c r="L958" s="9">
        <v>409</v>
      </c>
      <c r="M958" s="12" t="s">
        <v>425</v>
      </c>
    </row>
    <row r="959" spans="1:13" ht="19.95" customHeight="1" x14ac:dyDescent="0.25">
      <c r="A959" s="41">
        <v>45383</v>
      </c>
      <c r="B959" s="47">
        <f>MONTH(Table13[[#This Row],[YearMonth]])</f>
        <v>4</v>
      </c>
      <c r="C959" s="9" t="s">
        <v>153</v>
      </c>
      <c r="D959" s="6" t="s">
        <v>338</v>
      </c>
      <c r="E959" s="6">
        <f>IF(Table13[[#This Row],[Quartile]]="TopQuartile", 1,
 IF(Table13[[#This Row],[Quartile]]="SecondQuartile", 2,
 IF(Table13[[#This Row],[Quartile]]="ThirdQuartile", 3,
 IF(Table13[[#This Row],[Quartile]]="FourthQuartile", 4, ""))))</f>
        <v>2</v>
      </c>
      <c r="F959" s="9" t="s">
        <v>439</v>
      </c>
      <c r="G959" s="9" t="str" cm="1">
        <f t="array" ref="G959">IFERROR(
  INDEX(Table13[Quartile],
    MATCH(1,
      (Table13[[#This Row],[OrgName]]=Table13[OrgName]) *
      (Table13[[#This Row],[Month Number]]-1=Table13[Month Number]),
    0)
  ),
"")</f>
        <v>SecondQuartile</v>
      </c>
      <c r="H959" s="9">
        <f>IF(Table13[[#This Row],[Previous Quartile]]="TopQuartile", 1,
 IF(Table13[[#This Row],[Previous Quartile]]="SecondQuartile", 2,
 IF(Table13[[#This Row],[Previous Quartile]]="ThirdQuartile", 3,
 IF(Table13[[#This Row],[Previous Quartile]]="FourthQuartile", 4, ""))))</f>
        <v>2</v>
      </c>
      <c r="I959" s="9" t="str">
        <f>IF(Table13[[#This Row],[Previous Quartile Value]]="", "",
   IF(Table13[[#This Row],[Quartile Value]] &lt; Table13[[#This Row],[Previous Quartile Value]], "Improved",
   IF(Table13[[#This Row],[Quartile Value]] &gt; Table13[[#This Row],[Previous Quartile Value]], "Dropped", "Same")))</f>
        <v>Same</v>
      </c>
      <c r="J959" s="9" t="s">
        <v>12</v>
      </c>
      <c r="K959" s="7" t="str">
        <f>VLOOKUP(J959,Introduction!$B$6:$C$14,2)</f>
        <v>London</v>
      </c>
      <c r="L959" s="11">
        <v>293</v>
      </c>
      <c r="M959" s="12" t="s">
        <v>425</v>
      </c>
    </row>
    <row r="960" spans="1:13" ht="19.95" customHeight="1" x14ac:dyDescent="0.25">
      <c r="A960" s="41">
        <v>45383</v>
      </c>
      <c r="B960" s="47">
        <f>MONTH(Table13[[#This Row],[YearMonth]])</f>
        <v>4</v>
      </c>
      <c r="C960" s="9" t="s">
        <v>149</v>
      </c>
      <c r="D960" s="6" t="s">
        <v>338</v>
      </c>
      <c r="E960" s="6">
        <f>IF(Table13[[#This Row],[Quartile]]="TopQuartile", 1,
 IF(Table13[[#This Row],[Quartile]]="SecondQuartile", 2,
 IF(Table13[[#This Row],[Quartile]]="ThirdQuartile", 3,
 IF(Table13[[#This Row],[Quartile]]="FourthQuartile", 4, ""))))</f>
        <v>2</v>
      </c>
      <c r="F960" s="9" t="s">
        <v>438</v>
      </c>
      <c r="G960" s="9" t="str" cm="1">
        <f t="array" ref="G960">IFERROR(
  INDEX(Table13[Quartile],
    MATCH(1,
      (Table13[[#This Row],[OrgName]]=Table13[OrgName]) *
      (Table13[[#This Row],[Month Number]]-1=Table13[Month Number]),
    0)
  ),
"")</f>
        <v>SecondQuartile</v>
      </c>
      <c r="H960" s="9">
        <f>IF(Table13[[#This Row],[Previous Quartile]]="TopQuartile", 1,
 IF(Table13[[#This Row],[Previous Quartile]]="SecondQuartile", 2,
 IF(Table13[[#This Row],[Previous Quartile]]="ThirdQuartile", 3,
 IF(Table13[[#This Row],[Previous Quartile]]="FourthQuartile", 4, ""))))</f>
        <v>2</v>
      </c>
      <c r="I960" s="9" t="str">
        <f>IF(Table13[[#This Row],[Previous Quartile Value]]="", "",
   IF(Table13[[#This Row],[Quartile Value]] &lt; Table13[[#This Row],[Previous Quartile Value]], "Improved",
   IF(Table13[[#This Row],[Quartile Value]] &gt; Table13[[#This Row],[Previous Quartile Value]], "Dropped", "Same")))</f>
        <v>Same</v>
      </c>
      <c r="J960" s="9" t="s">
        <v>16</v>
      </c>
      <c r="K960" s="7" t="str">
        <f>VLOOKUP(J960,Introduction!$B$6:$C$14,2)</f>
        <v>South East</v>
      </c>
      <c r="L960" s="11">
        <v>279</v>
      </c>
      <c r="M960" s="12" t="s">
        <v>425</v>
      </c>
    </row>
    <row r="961" spans="1:13" ht="19.95" customHeight="1" x14ac:dyDescent="0.25">
      <c r="A961" s="41">
        <v>45383</v>
      </c>
      <c r="B961" s="47">
        <f>MONTH(Table13[[#This Row],[YearMonth]])</f>
        <v>4</v>
      </c>
      <c r="C961" s="9" t="s">
        <v>177</v>
      </c>
      <c r="D961" s="6" t="s">
        <v>338</v>
      </c>
      <c r="E961" s="6">
        <f>IF(Table13[[#This Row],[Quartile]]="TopQuartile", 1,
 IF(Table13[[#This Row],[Quartile]]="SecondQuartile", 2,
 IF(Table13[[#This Row],[Quartile]]="ThirdQuartile", 3,
 IF(Table13[[#This Row],[Quartile]]="FourthQuartile", 4, ""))))</f>
        <v>2</v>
      </c>
      <c r="F961" s="9" t="s">
        <v>446</v>
      </c>
      <c r="G961" s="9" t="str" cm="1">
        <f t="array" ref="G961">IFERROR(
  INDEX(Table13[Quartile],
    MATCH(1,
      (Table13[[#This Row],[OrgName]]=Table13[OrgName]) *
      (Table13[[#This Row],[Month Number]]-1=Table13[Month Number]),
    0)
  ),
"")</f>
        <v>SecondQuartile</v>
      </c>
      <c r="H961" s="9">
        <f>IF(Table13[[#This Row],[Previous Quartile]]="TopQuartile", 1,
 IF(Table13[[#This Row],[Previous Quartile]]="SecondQuartile", 2,
 IF(Table13[[#This Row],[Previous Quartile]]="ThirdQuartile", 3,
 IF(Table13[[#This Row],[Previous Quartile]]="FourthQuartile", 4, ""))))</f>
        <v>2</v>
      </c>
      <c r="I961" s="9" t="str">
        <f>IF(Table13[[#This Row],[Previous Quartile Value]]="", "",
   IF(Table13[[#This Row],[Quartile Value]] &lt; Table13[[#This Row],[Previous Quartile Value]], "Improved",
   IF(Table13[[#This Row],[Quartile Value]] &gt; Table13[[#This Row],[Previous Quartile Value]], "Dropped", "Same")))</f>
        <v>Same</v>
      </c>
      <c r="J961" s="9" t="s">
        <v>18</v>
      </c>
      <c r="K961" s="7" t="str">
        <f>VLOOKUP(J961,Introduction!$B$6:$C$14,2)</f>
        <v>Midlands</v>
      </c>
      <c r="L961" s="11">
        <v>358</v>
      </c>
      <c r="M961" s="12" t="s">
        <v>425</v>
      </c>
    </row>
    <row r="962" spans="1:13" ht="19.95" customHeight="1" x14ac:dyDescent="0.25">
      <c r="A962" s="41">
        <v>45383</v>
      </c>
      <c r="B962" s="47">
        <f>MONTH(Table13[[#This Row],[YearMonth]])</f>
        <v>4</v>
      </c>
      <c r="C962" s="9" t="s">
        <v>165</v>
      </c>
      <c r="D962" s="6" t="s">
        <v>338</v>
      </c>
      <c r="E962" s="6">
        <f>IF(Table13[[#This Row],[Quartile]]="TopQuartile", 1,
 IF(Table13[[#This Row],[Quartile]]="SecondQuartile", 2,
 IF(Table13[[#This Row],[Quartile]]="ThirdQuartile", 3,
 IF(Table13[[#This Row],[Quartile]]="FourthQuartile", 4, ""))))</f>
        <v>2</v>
      </c>
      <c r="F962" s="9" t="s">
        <v>443</v>
      </c>
      <c r="G962" s="9" t="str" cm="1">
        <f t="array" ref="G962">IFERROR(
  INDEX(Table13[Quartile],
    MATCH(1,
      (Table13[[#This Row],[OrgName]]=Table13[OrgName]) *
      (Table13[[#This Row],[Month Number]]-1=Table13[Month Number]),
    0)
  ),
"")</f>
        <v>SecondQuartile</v>
      </c>
      <c r="H962" s="9">
        <f>IF(Table13[[#This Row],[Previous Quartile]]="TopQuartile", 1,
 IF(Table13[[#This Row],[Previous Quartile]]="SecondQuartile", 2,
 IF(Table13[[#This Row],[Previous Quartile]]="ThirdQuartile", 3,
 IF(Table13[[#This Row],[Previous Quartile]]="FourthQuartile", 4, ""))))</f>
        <v>2</v>
      </c>
      <c r="I962" s="9" t="str">
        <f>IF(Table13[[#This Row],[Previous Quartile Value]]="", "",
   IF(Table13[[#This Row],[Quartile Value]] &lt; Table13[[#This Row],[Previous Quartile Value]], "Improved",
   IF(Table13[[#This Row],[Quartile Value]] &gt; Table13[[#This Row],[Previous Quartile Value]], "Dropped", "Same")))</f>
        <v>Same</v>
      </c>
      <c r="J962" s="9" t="s">
        <v>24</v>
      </c>
      <c r="K962" s="7" t="str">
        <f>VLOOKUP(J962,Introduction!$B$6:$C$14,2)</f>
        <v>North East and Yorkshire</v>
      </c>
      <c r="L962" s="11">
        <v>356</v>
      </c>
      <c r="M962" s="12" t="s">
        <v>425</v>
      </c>
    </row>
    <row r="963" spans="1:13" ht="19.95" customHeight="1" x14ac:dyDescent="0.25">
      <c r="A963" s="41">
        <v>45383</v>
      </c>
      <c r="B963" s="47">
        <f>MONTH(Table13[[#This Row],[YearMonth]])</f>
        <v>4</v>
      </c>
      <c r="C963" s="9" t="s">
        <v>157</v>
      </c>
      <c r="D963" s="6" t="s">
        <v>338</v>
      </c>
      <c r="E963" s="6">
        <f>IF(Table13[[#This Row],[Quartile]]="TopQuartile", 1,
 IF(Table13[[#This Row],[Quartile]]="SecondQuartile", 2,
 IF(Table13[[#This Row],[Quartile]]="ThirdQuartile", 3,
 IF(Table13[[#This Row],[Quartile]]="FourthQuartile", 4, ""))))</f>
        <v>2</v>
      </c>
      <c r="F963" s="9" t="s">
        <v>440</v>
      </c>
      <c r="G963" s="9" t="str" cm="1">
        <f t="array" ref="G963">IFERROR(
  INDEX(Table13[Quartile],
    MATCH(1,
      (Table13[[#This Row],[OrgName]]=Table13[OrgName]) *
      (Table13[[#This Row],[Month Number]]-1=Table13[Month Number]),
    0)
  ),
"")</f>
        <v>SecondQuartile</v>
      </c>
      <c r="H963" s="9">
        <f>IF(Table13[[#This Row],[Previous Quartile]]="TopQuartile", 1,
 IF(Table13[[#This Row],[Previous Quartile]]="SecondQuartile", 2,
 IF(Table13[[#This Row],[Previous Quartile]]="ThirdQuartile", 3,
 IF(Table13[[#This Row],[Previous Quartile]]="FourthQuartile", 4, ""))))</f>
        <v>2</v>
      </c>
      <c r="I963" s="9" t="str">
        <f>IF(Table13[[#This Row],[Previous Quartile Value]]="", "",
   IF(Table13[[#This Row],[Quartile Value]] &lt; Table13[[#This Row],[Previous Quartile Value]], "Improved",
   IF(Table13[[#This Row],[Quartile Value]] &gt; Table13[[#This Row],[Previous Quartile Value]], "Dropped", "Same")))</f>
        <v>Same</v>
      </c>
      <c r="J963" s="9" t="s">
        <v>12</v>
      </c>
      <c r="K963" s="7" t="str">
        <f>VLOOKUP(J963,Introduction!$B$6:$C$14,2)</f>
        <v>London</v>
      </c>
      <c r="L963" s="11">
        <v>391</v>
      </c>
      <c r="M963" s="12" t="s">
        <v>425</v>
      </c>
    </row>
    <row r="964" spans="1:13" ht="19.95" customHeight="1" x14ac:dyDescent="0.25">
      <c r="A964" s="41">
        <v>45383</v>
      </c>
      <c r="B964" s="47">
        <f>MONTH(Table13[[#This Row],[YearMonth]])</f>
        <v>4</v>
      </c>
      <c r="C964" s="9" t="s">
        <v>161</v>
      </c>
      <c r="D964" s="6" t="s">
        <v>338</v>
      </c>
      <c r="E964" s="6">
        <f>IF(Table13[[#This Row],[Quartile]]="TopQuartile", 1,
 IF(Table13[[#This Row],[Quartile]]="SecondQuartile", 2,
 IF(Table13[[#This Row],[Quartile]]="ThirdQuartile", 3,
 IF(Table13[[#This Row],[Quartile]]="FourthQuartile", 4, ""))))</f>
        <v>2</v>
      </c>
      <c r="F964" s="9" t="s">
        <v>442</v>
      </c>
      <c r="G964" s="9" t="str" cm="1">
        <f t="array" ref="G964">IFERROR(
  INDEX(Table13[Quartile],
    MATCH(1,
      (Table13[[#This Row],[OrgName]]=Table13[OrgName]) *
      (Table13[[#This Row],[Month Number]]-1=Table13[Month Number]),
    0)
  ),
"")</f>
        <v>SecondQuartile</v>
      </c>
      <c r="H964" s="9">
        <f>IF(Table13[[#This Row],[Previous Quartile]]="TopQuartile", 1,
 IF(Table13[[#This Row],[Previous Quartile]]="SecondQuartile", 2,
 IF(Table13[[#This Row],[Previous Quartile]]="ThirdQuartile", 3,
 IF(Table13[[#This Row],[Previous Quartile]]="FourthQuartile", 4, ""))))</f>
        <v>2</v>
      </c>
      <c r="I964" s="9" t="str">
        <f>IF(Table13[[#This Row],[Previous Quartile Value]]="", "",
   IF(Table13[[#This Row],[Quartile Value]] &lt; Table13[[#This Row],[Previous Quartile Value]], "Improved",
   IF(Table13[[#This Row],[Quartile Value]] &gt; Table13[[#This Row],[Previous Quartile Value]], "Dropped", "Same")))</f>
        <v>Same</v>
      </c>
      <c r="J964" s="9" t="s">
        <v>16</v>
      </c>
      <c r="K964" s="7" t="str">
        <f>VLOOKUP(J964,Introduction!$B$6:$C$14,2)</f>
        <v>South East</v>
      </c>
      <c r="L964" s="11">
        <v>344</v>
      </c>
      <c r="M964" s="12" t="s">
        <v>425</v>
      </c>
    </row>
    <row r="965" spans="1:13" ht="19.95" customHeight="1" x14ac:dyDescent="0.25">
      <c r="A965" s="41">
        <v>45383</v>
      </c>
      <c r="B965" s="47">
        <f>MONTH(Table13[[#This Row],[YearMonth]])</f>
        <v>4</v>
      </c>
      <c r="C965" s="9" t="s">
        <v>170</v>
      </c>
      <c r="D965" s="6" t="s">
        <v>341</v>
      </c>
      <c r="E965" s="6">
        <f>IF(Table13[[#This Row],[Quartile]]="TopQuartile", 1,
 IF(Table13[[#This Row],[Quartile]]="SecondQuartile", 2,
 IF(Table13[[#This Row],[Quartile]]="ThirdQuartile", 3,
 IF(Table13[[#This Row],[Quartile]]="FourthQuartile", 4, ""))))</f>
        <v>3</v>
      </c>
      <c r="F965" s="9" t="s">
        <v>445</v>
      </c>
      <c r="G965" s="9" t="str" cm="1">
        <f t="array" ref="G965">IFERROR(
  INDEX(Table13[Quartile],
    MATCH(1,
      (Table13[[#This Row],[OrgName]]=Table13[OrgName]) *
      (Table13[[#This Row],[Month Number]]-1=Table13[Month Number]),
    0)
  ),
"")</f>
        <v>ThirdQuartile</v>
      </c>
      <c r="H965" s="9">
        <f>IF(Table13[[#This Row],[Previous Quartile]]="TopQuartile", 1,
 IF(Table13[[#This Row],[Previous Quartile]]="SecondQuartile", 2,
 IF(Table13[[#This Row],[Previous Quartile]]="ThirdQuartile", 3,
 IF(Table13[[#This Row],[Previous Quartile]]="FourthQuartile", 4, ""))))</f>
        <v>3</v>
      </c>
      <c r="I965" s="9" t="str">
        <f>IF(Table13[[#This Row],[Previous Quartile Value]]="", "",
   IF(Table13[[#This Row],[Quartile Value]] &lt; Table13[[#This Row],[Previous Quartile Value]], "Improved",
   IF(Table13[[#This Row],[Quartile Value]] &gt; Table13[[#This Row],[Previous Quartile Value]], "Dropped", "Same")))</f>
        <v>Same</v>
      </c>
      <c r="J965" s="9" t="s">
        <v>18</v>
      </c>
      <c r="K965" s="7" t="str">
        <f>VLOOKUP(J965,Introduction!$B$6:$C$14,2)</f>
        <v>Midlands</v>
      </c>
      <c r="L965" s="11">
        <v>218</v>
      </c>
      <c r="M965" s="12" t="s">
        <v>425</v>
      </c>
    </row>
    <row r="966" spans="1:13" ht="19.95" customHeight="1" x14ac:dyDescent="0.25">
      <c r="A966" s="41">
        <v>45383</v>
      </c>
      <c r="B966" s="47">
        <f>MONTH(Table13[[#This Row],[YearMonth]])</f>
        <v>4</v>
      </c>
      <c r="C966" s="9" t="s">
        <v>197</v>
      </c>
      <c r="D966" s="6" t="s">
        <v>341</v>
      </c>
      <c r="E966" s="6">
        <f>IF(Table13[[#This Row],[Quartile]]="TopQuartile", 1,
 IF(Table13[[#This Row],[Quartile]]="SecondQuartile", 2,
 IF(Table13[[#This Row],[Quartile]]="ThirdQuartile", 3,
 IF(Table13[[#This Row],[Quartile]]="FourthQuartile", 4, ""))))</f>
        <v>3</v>
      </c>
      <c r="F966" s="9" t="s">
        <v>453</v>
      </c>
      <c r="G966" s="9" t="str" cm="1">
        <f t="array" ref="G966">IFERROR(
  INDEX(Table13[Quartile],
    MATCH(1,
      (Table13[[#This Row],[OrgName]]=Table13[OrgName]) *
      (Table13[[#This Row],[Month Number]]-1=Table13[Month Number]),
    0)
  ),
"")</f>
        <v>ThirdQuartile</v>
      </c>
      <c r="H966" s="9">
        <f>IF(Table13[[#This Row],[Previous Quartile]]="TopQuartile", 1,
 IF(Table13[[#This Row],[Previous Quartile]]="SecondQuartile", 2,
 IF(Table13[[#This Row],[Previous Quartile]]="ThirdQuartile", 3,
 IF(Table13[[#This Row],[Previous Quartile]]="FourthQuartile", 4, ""))))</f>
        <v>3</v>
      </c>
      <c r="I966" s="9" t="str">
        <f>IF(Table13[[#This Row],[Previous Quartile Value]]="", "",
   IF(Table13[[#This Row],[Quartile Value]] &lt; Table13[[#This Row],[Previous Quartile Value]], "Improved",
   IF(Table13[[#This Row],[Quartile Value]] &gt; Table13[[#This Row],[Previous Quartile Value]], "Dropped", "Same")))</f>
        <v>Same</v>
      </c>
      <c r="J966" s="9" t="s">
        <v>24</v>
      </c>
      <c r="K966" s="7" t="str">
        <f>VLOOKUP(J966,Introduction!$B$6:$C$14,2)</f>
        <v>North East and Yorkshire</v>
      </c>
      <c r="L966" s="11">
        <v>328</v>
      </c>
      <c r="M966" s="12" t="s">
        <v>425</v>
      </c>
    </row>
    <row r="967" spans="1:13" ht="19.95" customHeight="1" x14ac:dyDescent="0.25">
      <c r="A967" s="41">
        <v>45383</v>
      </c>
      <c r="B967" s="47">
        <f>MONTH(Table13[[#This Row],[YearMonth]])</f>
        <v>4</v>
      </c>
      <c r="C967" s="9" t="s">
        <v>189</v>
      </c>
      <c r="D967" s="6" t="s">
        <v>341</v>
      </c>
      <c r="E967" s="6">
        <f>IF(Table13[[#This Row],[Quartile]]="TopQuartile", 1,
 IF(Table13[[#This Row],[Quartile]]="SecondQuartile", 2,
 IF(Table13[[#This Row],[Quartile]]="ThirdQuartile", 3,
 IF(Table13[[#This Row],[Quartile]]="FourthQuartile", 4, ""))))</f>
        <v>3</v>
      </c>
      <c r="F967" s="9" t="s">
        <v>448</v>
      </c>
      <c r="G967" s="9" t="str" cm="1">
        <f t="array" ref="G967">IFERROR(
  INDEX(Table13[Quartile],
    MATCH(1,
      (Table13[[#This Row],[OrgName]]=Table13[OrgName]) *
      (Table13[[#This Row],[Month Number]]-1=Table13[Month Number]),
    0)
  ),
"")</f>
        <v>ThirdQuartile</v>
      </c>
      <c r="H967" s="9">
        <f>IF(Table13[[#This Row],[Previous Quartile]]="TopQuartile", 1,
 IF(Table13[[#This Row],[Previous Quartile]]="SecondQuartile", 2,
 IF(Table13[[#This Row],[Previous Quartile]]="ThirdQuartile", 3,
 IF(Table13[[#This Row],[Previous Quartile]]="FourthQuartile", 4, ""))))</f>
        <v>3</v>
      </c>
      <c r="I967" s="9" t="str">
        <f>IF(Table13[[#This Row],[Previous Quartile Value]]="", "",
   IF(Table13[[#This Row],[Quartile Value]] &lt; Table13[[#This Row],[Previous Quartile Value]], "Improved",
   IF(Table13[[#This Row],[Quartile Value]] &gt; Table13[[#This Row],[Previous Quartile Value]], "Dropped", "Same")))</f>
        <v>Same</v>
      </c>
      <c r="J967" s="9" t="s">
        <v>12</v>
      </c>
      <c r="K967" s="7" t="str">
        <f>VLOOKUP(J967,Introduction!$B$6:$C$14,2)</f>
        <v>London</v>
      </c>
      <c r="L967" s="11">
        <v>343</v>
      </c>
      <c r="M967" s="12" t="s">
        <v>425</v>
      </c>
    </row>
    <row r="968" spans="1:13" ht="19.95" customHeight="1" x14ac:dyDescent="0.25">
      <c r="A968" s="41">
        <v>45383</v>
      </c>
      <c r="B968" s="47">
        <f>MONTH(Table13[[#This Row],[YearMonth]])</f>
        <v>4</v>
      </c>
      <c r="C968" s="9" t="s">
        <v>190</v>
      </c>
      <c r="D968" s="6" t="s">
        <v>341</v>
      </c>
      <c r="E968" s="6">
        <f>IF(Table13[[#This Row],[Quartile]]="TopQuartile", 1,
 IF(Table13[[#This Row],[Quartile]]="SecondQuartile", 2,
 IF(Table13[[#This Row],[Quartile]]="ThirdQuartile", 3,
 IF(Table13[[#This Row],[Quartile]]="FourthQuartile", 4, ""))))</f>
        <v>3</v>
      </c>
      <c r="F968" s="9" t="s">
        <v>449</v>
      </c>
      <c r="G968" s="9" t="str" cm="1">
        <f t="array" ref="G968">IFERROR(
  INDEX(Table13[Quartile],
    MATCH(1,
      (Table13[[#This Row],[OrgName]]=Table13[OrgName]) *
      (Table13[[#This Row],[Month Number]]-1=Table13[Month Number]),
    0)
  ),
"")</f>
        <v>ThirdQuartile</v>
      </c>
      <c r="H968" s="9">
        <f>IF(Table13[[#This Row],[Previous Quartile]]="TopQuartile", 1,
 IF(Table13[[#This Row],[Previous Quartile]]="SecondQuartile", 2,
 IF(Table13[[#This Row],[Previous Quartile]]="ThirdQuartile", 3,
 IF(Table13[[#This Row],[Previous Quartile]]="FourthQuartile", 4, ""))))</f>
        <v>3</v>
      </c>
      <c r="I968" s="9" t="str">
        <f>IF(Table13[[#This Row],[Previous Quartile Value]]="", "",
   IF(Table13[[#This Row],[Quartile Value]] &lt; Table13[[#This Row],[Previous Quartile Value]], "Improved",
   IF(Table13[[#This Row],[Quartile Value]] &gt; Table13[[#This Row],[Previous Quartile Value]], "Dropped", "Same")))</f>
        <v>Same</v>
      </c>
      <c r="J968" s="9" t="s">
        <v>12</v>
      </c>
      <c r="K968" s="7" t="str">
        <f>VLOOKUP(J968,Introduction!$B$6:$C$14,2)</f>
        <v>London</v>
      </c>
      <c r="L968" s="11">
        <v>200</v>
      </c>
      <c r="M968" s="12" t="s">
        <v>425</v>
      </c>
    </row>
    <row r="969" spans="1:13" ht="19.95" customHeight="1" x14ac:dyDescent="0.25">
      <c r="A969" s="41">
        <v>45383</v>
      </c>
      <c r="B969" s="47">
        <f>MONTH(Table13[[#This Row],[YearMonth]])</f>
        <v>4</v>
      </c>
      <c r="C969" s="9" t="s">
        <v>192</v>
      </c>
      <c r="D969" s="6" t="s">
        <v>341</v>
      </c>
      <c r="E969" s="6">
        <f>IF(Table13[[#This Row],[Quartile]]="TopQuartile", 1,
 IF(Table13[[#This Row],[Quartile]]="SecondQuartile", 2,
 IF(Table13[[#This Row],[Quartile]]="ThirdQuartile", 3,
 IF(Table13[[#This Row],[Quartile]]="FourthQuartile", 4, ""))))</f>
        <v>3</v>
      </c>
      <c r="F969" s="9" t="s">
        <v>450</v>
      </c>
      <c r="G969" s="9" t="str" cm="1">
        <f t="array" ref="G969">IFERROR(
  INDEX(Table13[Quartile],
    MATCH(1,
      (Table13[[#This Row],[OrgName]]=Table13[OrgName]) *
      (Table13[[#This Row],[Month Number]]-1=Table13[Month Number]),
    0)
  ),
"")</f>
        <v>ThirdQuartile</v>
      </c>
      <c r="H969" s="9">
        <f>IF(Table13[[#This Row],[Previous Quartile]]="TopQuartile", 1,
 IF(Table13[[#This Row],[Previous Quartile]]="SecondQuartile", 2,
 IF(Table13[[#This Row],[Previous Quartile]]="ThirdQuartile", 3,
 IF(Table13[[#This Row],[Previous Quartile]]="FourthQuartile", 4, ""))))</f>
        <v>3</v>
      </c>
      <c r="I969" s="9" t="str">
        <f>IF(Table13[[#This Row],[Previous Quartile Value]]="", "",
   IF(Table13[[#This Row],[Quartile Value]] &lt; Table13[[#This Row],[Previous Quartile Value]], "Improved",
   IF(Table13[[#This Row],[Quartile Value]] &gt; Table13[[#This Row],[Previous Quartile Value]], "Dropped", "Same")))</f>
        <v>Same</v>
      </c>
      <c r="J969" s="9" t="s">
        <v>12</v>
      </c>
      <c r="K969" s="7" t="str">
        <f>VLOOKUP(J969,Introduction!$B$6:$C$14,2)</f>
        <v>London</v>
      </c>
      <c r="L969" s="11">
        <v>259</v>
      </c>
      <c r="M969" s="12" t="s">
        <v>425</v>
      </c>
    </row>
    <row r="970" spans="1:13" ht="19.95" customHeight="1" x14ac:dyDescent="0.25">
      <c r="A970" s="41">
        <v>45383</v>
      </c>
      <c r="B970" s="47">
        <f>MONTH(Table13[[#This Row],[YearMonth]])</f>
        <v>4</v>
      </c>
      <c r="C970" s="9" t="s">
        <v>194</v>
      </c>
      <c r="D970" s="6" t="s">
        <v>341</v>
      </c>
      <c r="E970" s="6">
        <f>IF(Table13[[#This Row],[Quartile]]="TopQuartile", 1,
 IF(Table13[[#This Row],[Quartile]]="SecondQuartile", 2,
 IF(Table13[[#This Row],[Quartile]]="ThirdQuartile", 3,
 IF(Table13[[#This Row],[Quartile]]="FourthQuartile", 4, ""))))</f>
        <v>3</v>
      </c>
      <c r="F970" s="9" t="s">
        <v>451</v>
      </c>
      <c r="G970" s="9" t="str" cm="1">
        <f t="array" ref="G970">IFERROR(
  INDEX(Table13[Quartile],
    MATCH(1,
      (Table13[[#This Row],[OrgName]]=Table13[OrgName]) *
      (Table13[[#This Row],[Month Number]]-1=Table13[Month Number]),
    0)
  ),
"")</f>
        <v>ThirdQuartile</v>
      </c>
      <c r="H970" s="9">
        <f>IF(Table13[[#This Row],[Previous Quartile]]="TopQuartile", 1,
 IF(Table13[[#This Row],[Previous Quartile]]="SecondQuartile", 2,
 IF(Table13[[#This Row],[Previous Quartile]]="ThirdQuartile", 3,
 IF(Table13[[#This Row],[Previous Quartile]]="FourthQuartile", 4, ""))))</f>
        <v>3</v>
      </c>
      <c r="I970" s="9" t="str">
        <f>IF(Table13[[#This Row],[Previous Quartile Value]]="", "",
   IF(Table13[[#This Row],[Quartile Value]] &lt; Table13[[#This Row],[Previous Quartile Value]], "Improved",
   IF(Table13[[#This Row],[Quartile Value]] &gt; Table13[[#This Row],[Previous Quartile Value]], "Dropped", "Same")))</f>
        <v>Same</v>
      </c>
      <c r="J970" s="9" t="s">
        <v>12</v>
      </c>
      <c r="K970" s="7" t="str">
        <f>VLOOKUP(J970,Introduction!$B$6:$C$14,2)</f>
        <v>London</v>
      </c>
      <c r="L970" s="11">
        <v>393</v>
      </c>
      <c r="M970" s="12" t="s">
        <v>425</v>
      </c>
    </row>
    <row r="971" spans="1:13" ht="19.95" customHeight="1" x14ac:dyDescent="0.25">
      <c r="A971" s="41">
        <v>45383</v>
      </c>
      <c r="B971" s="47">
        <f>MONTH(Table13[[#This Row],[YearMonth]])</f>
        <v>4</v>
      </c>
      <c r="C971" s="9" t="s">
        <v>210</v>
      </c>
      <c r="D971" s="6" t="s">
        <v>341</v>
      </c>
      <c r="E971" s="6">
        <f>IF(Table13[[#This Row],[Quartile]]="TopQuartile", 1,
 IF(Table13[[#This Row],[Quartile]]="SecondQuartile", 2,
 IF(Table13[[#This Row],[Quartile]]="ThirdQuartile", 3,
 IF(Table13[[#This Row],[Quartile]]="FourthQuartile", 4, ""))))</f>
        <v>3</v>
      </c>
      <c r="F971" s="9" t="s">
        <v>456</v>
      </c>
      <c r="G971" s="9" t="str" cm="1">
        <f t="array" ref="G971">IFERROR(
  INDEX(Table13[Quartile],
    MATCH(1,
      (Table13[[#This Row],[OrgName]]=Table13[OrgName]) *
      (Table13[[#This Row],[Month Number]]-1=Table13[Month Number]),
    0)
  ),
"")</f>
        <v>ThirdQuartile</v>
      </c>
      <c r="H971" s="9">
        <f>IF(Table13[[#This Row],[Previous Quartile]]="TopQuartile", 1,
 IF(Table13[[#This Row],[Previous Quartile]]="SecondQuartile", 2,
 IF(Table13[[#This Row],[Previous Quartile]]="ThirdQuartile", 3,
 IF(Table13[[#This Row],[Previous Quartile]]="FourthQuartile", 4, ""))))</f>
        <v>3</v>
      </c>
      <c r="I971" s="9" t="str">
        <f>IF(Table13[[#This Row],[Previous Quartile Value]]="", "",
   IF(Table13[[#This Row],[Quartile Value]] &lt; Table13[[#This Row],[Previous Quartile Value]], "Improved",
   IF(Table13[[#This Row],[Quartile Value]] &gt; Table13[[#This Row],[Previous Quartile Value]], "Dropped", "Same")))</f>
        <v>Same</v>
      </c>
      <c r="J971" s="9" t="s">
        <v>20</v>
      </c>
      <c r="K971" s="7" t="str">
        <f>VLOOKUP(J971,Introduction!$B$6:$C$14,2)</f>
        <v>East of England</v>
      </c>
      <c r="L971" s="11">
        <v>360</v>
      </c>
      <c r="M971" s="12" t="s">
        <v>425</v>
      </c>
    </row>
    <row r="972" spans="1:13" ht="19.95" customHeight="1" x14ac:dyDescent="0.25">
      <c r="A972" s="41">
        <v>45383</v>
      </c>
      <c r="B972" s="47">
        <f>MONTH(Table13[[#This Row],[YearMonth]])</f>
        <v>4</v>
      </c>
      <c r="C972" s="9" t="s">
        <v>207</v>
      </c>
      <c r="D972" s="6" t="s">
        <v>341</v>
      </c>
      <c r="E972" s="6">
        <f>IF(Table13[[#This Row],[Quartile]]="TopQuartile", 1,
 IF(Table13[[#This Row],[Quartile]]="SecondQuartile", 2,
 IF(Table13[[#This Row],[Quartile]]="ThirdQuartile", 3,
 IF(Table13[[#This Row],[Quartile]]="FourthQuartile", 4, ""))))</f>
        <v>3</v>
      </c>
      <c r="F972" s="9" t="s">
        <v>455</v>
      </c>
      <c r="G972" s="9" t="str" cm="1">
        <f t="array" ref="G972">IFERROR(
  INDEX(Table13[Quartile],
    MATCH(1,
      (Table13[[#This Row],[OrgName]]=Table13[OrgName]) *
      (Table13[[#This Row],[Month Number]]-1=Table13[Month Number]),
    0)
  ),
"")</f>
        <v>TopQuartile</v>
      </c>
      <c r="H972" s="9">
        <f>IF(Table13[[#This Row],[Previous Quartile]]="TopQuartile", 1,
 IF(Table13[[#This Row],[Previous Quartile]]="SecondQuartile", 2,
 IF(Table13[[#This Row],[Previous Quartile]]="ThirdQuartile", 3,
 IF(Table13[[#This Row],[Previous Quartile]]="FourthQuartile", 4, ""))))</f>
        <v>1</v>
      </c>
      <c r="I972" s="9" t="str">
        <f>IF(Table13[[#This Row],[Previous Quartile Value]]="", "",
   IF(Table13[[#This Row],[Quartile Value]] &lt; Table13[[#This Row],[Previous Quartile Value]], "Improved",
   IF(Table13[[#This Row],[Quartile Value]] &gt; Table13[[#This Row],[Previous Quartile Value]], "Dropped", "Same")))</f>
        <v>Dropped</v>
      </c>
      <c r="J972" s="9" t="s">
        <v>20</v>
      </c>
      <c r="K972" s="7" t="str">
        <f>VLOOKUP(J972,Introduction!$B$6:$C$14,2)</f>
        <v>East of England</v>
      </c>
      <c r="L972" s="11">
        <v>177</v>
      </c>
      <c r="M972" s="12" t="s">
        <v>425</v>
      </c>
    </row>
    <row r="973" spans="1:13" ht="19.95" customHeight="1" x14ac:dyDescent="0.25">
      <c r="A973" s="41">
        <v>45383</v>
      </c>
      <c r="B973" s="47">
        <f>MONTH(Table13[[#This Row],[YearMonth]])</f>
        <v>4</v>
      </c>
      <c r="C973" s="9" t="s">
        <v>198</v>
      </c>
      <c r="D973" s="6" t="s">
        <v>341</v>
      </c>
      <c r="E973" s="6">
        <f>IF(Table13[[#This Row],[Quartile]]="TopQuartile", 1,
 IF(Table13[[#This Row],[Quartile]]="SecondQuartile", 2,
 IF(Table13[[#This Row],[Quartile]]="ThirdQuartile", 3,
 IF(Table13[[#This Row],[Quartile]]="FourthQuartile", 4, ""))))</f>
        <v>3</v>
      </c>
      <c r="F973" s="9" t="s">
        <v>454</v>
      </c>
      <c r="G973" s="9" t="str" cm="1">
        <f t="array" ref="G973">IFERROR(
  INDEX(Table13[Quartile],
    MATCH(1,
      (Table13[[#This Row],[OrgName]]=Table13[OrgName]) *
      (Table13[[#This Row],[Month Number]]-1=Table13[Month Number]),
    0)
  ),
"")</f>
        <v>ThirdQuartile</v>
      </c>
      <c r="H973" s="9">
        <f>IF(Table13[[#This Row],[Previous Quartile]]="TopQuartile", 1,
 IF(Table13[[#This Row],[Previous Quartile]]="SecondQuartile", 2,
 IF(Table13[[#This Row],[Previous Quartile]]="ThirdQuartile", 3,
 IF(Table13[[#This Row],[Previous Quartile]]="FourthQuartile", 4, ""))))</f>
        <v>3</v>
      </c>
      <c r="I973" s="9" t="str">
        <f>IF(Table13[[#This Row],[Previous Quartile Value]]="", "",
   IF(Table13[[#This Row],[Quartile Value]] &lt; Table13[[#This Row],[Previous Quartile Value]], "Improved",
   IF(Table13[[#This Row],[Quartile Value]] &gt; Table13[[#This Row],[Previous Quartile Value]], "Dropped", "Same")))</f>
        <v>Same</v>
      </c>
      <c r="J973" s="9" t="s">
        <v>22</v>
      </c>
      <c r="K973" s="7" t="str">
        <f>VLOOKUP(J973,Introduction!$B$6:$C$14,2)</f>
        <v>North West</v>
      </c>
      <c r="L973" s="11">
        <v>370</v>
      </c>
      <c r="M973" s="12" t="s">
        <v>425</v>
      </c>
    </row>
    <row r="974" spans="1:13" ht="19.95" customHeight="1" x14ac:dyDescent="0.25">
      <c r="A974" s="41">
        <v>45383</v>
      </c>
      <c r="B974" s="47">
        <f>MONTH(Table13[[#This Row],[YearMonth]])</f>
        <v>4</v>
      </c>
      <c r="C974" s="9" t="s">
        <v>179</v>
      </c>
      <c r="D974" s="6" t="s">
        <v>341</v>
      </c>
      <c r="E974" s="6">
        <f>IF(Table13[[#This Row],[Quartile]]="TopQuartile", 1,
 IF(Table13[[#This Row],[Quartile]]="SecondQuartile", 2,
 IF(Table13[[#This Row],[Quartile]]="ThirdQuartile", 3,
 IF(Table13[[#This Row],[Quartile]]="FourthQuartile", 4, ""))))</f>
        <v>3</v>
      </c>
      <c r="F974" s="9" t="s">
        <v>447</v>
      </c>
      <c r="G974" s="9" t="str" cm="1">
        <f t="array" ref="G974">IFERROR(
  INDEX(Table13[Quartile],
    MATCH(1,
      (Table13[[#This Row],[OrgName]]=Table13[OrgName]) *
      (Table13[[#This Row],[Month Number]]-1=Table13[Month Number]),
    0)
  ),
"")</f>
        <v>ThirdQuartile</v>
      </c>
      <c r="H974" s="9">
        <f>IF(Table13[[#This Row],[Previous Quartile]]="TopQuartile", 1,
 IF(Table13[[#This Row],[Previous Quartile]]="SecondQuartile", 2,
 IF(Table13[[#This Row],[Previous Quartile]]="ThirdQuartile", 3,
 IF(Table13[[#This Row],[Previous Quartile]]="FourthQuartile", 4, ""))))</f>
        <v>3</v>
      </c>
      <c r="I974" s="9" t="str">
        <f>IF(Table13[[#This Row],[Previous Quartile Value]]="", "",
   IF(Table13[[#This Row],[Quartile Value]] &lt; Table13[[#This Row],[Previous Quartile Value]], "Improved",
   IF(Table13[[#This Row],[Quartile Value]] &gt; Table13[[#This Row],[Previous Quartile Value]], "Dropped", "Same")))</f>
        <v>Same</v>
      </c>
      <c r="J974" s="9" t="s">
        <v>20</v>
      </c>
      <c r="K974" s="7" t="str">
        <f>VLOOKUP(J974,Introduction!$B$6:$C$14,2)</f>
        <v>East of England</v>
      </c>
      <c r="L974" s="11">
        <v>430</v>
      </c>
      <c r="M974" s="12" t="s">
        <v>425</v>
      </c>
    </row>
    <row r="975" spans="1:13" ht="19.95" customHeight="1" x14ac:dyDescent="0.25">
      <c r="A975" s="41">
        <v>45383</v>
      </c>
      <c r="B975" s="47">
        <f>MONTH(Table13[[#This Row],[YearMonth]])</f>
        <v>4</v>
      </c>
      <c r="C975" s="9" t="s">
        <v>195</v>
      </c>
      <c r="D975" s="6" t="s">
        <v>341</v>
      </c>
      <c r="E975" s="6">
        <f>IF(Table13[[#This Row],[Quartile]]="TopQuartile", 1,
 IF(Table13[[#This Row],[Quartile]]="SecondQuartile", 2,
 IF(Table13[[#This Row],[Quartile]]="ThirdQuartile", 3,
 IF(Table13[[#This Row],[Quartile]]="FourthQuartile", 4, ""))))</f>
        <v>3</v>
      </c>
      <c r="F975" s="9" t="s">
        <v>452</v>
      </c>
      <c r="G975" s="9" t="str" cm="1">
        <f t="array" ref="G975">IFERROR(
  INDEX(Table13[Quartile],
    MATCH(1,
      (Table13[[#This Row],[OrgName]]=Table13[OrgName]) *
      (Table13[[#This Row],[Month Number]]-1=Table13[Month Number]),
    0)
  ),
"")</f>
        <v>ThirdQuartile</v>
      </c>
      <c r="H975" s="9">
        <f>IF(Table13[[#This Row],[Previous Quartile]]="TopQuartile", 1,
 IF(Table13[[#This Row],[Previous Quartile]]="SecondQuartile", 2,
 IF(Table13[[#This Row],[Previous Quartile]]="ThirdQuartile", 3,
 IF(Table13[[#This Row],[Previous Quartile]]="FourthQuartile", 4, ""))))</f>
        <v>3</v>
      </c>
      <c r="I975" s="9" t="str">
        <f>IF(Table13[[#This Row],[Previous Quartile Value]]="", "",
   IF(Table13[[#This Row],[Quartile Value]] &lt; Table13[[#This Row],[Previous Quartile Value]], "Improved",
   IF(Table13[[#This Row],[Quartile Value]] &gt; Table13[[#This Row],[Previous Quartile Value]], "Dropped", "Same")))</f>
        <v>Same</v>
      </c>
      <c r="J975" s="9" t="s">
        <v>24</v>
      </c>
      <c r="K975" s="7" t="str">
        <f>VLOOKUP(J975,Introduction!$B$6:$C$14,2)</f>
        <v>North East and Yorkshire</v>
      </c>
      <c r="L975" s="11">
        <v>377</v>
      </c>
      <c r="M975" s="12" t="s">
        <v>425</v>
      </c>
    </row>
    <row r="976" spans="1:13" ht="19.95" customHeight="1" x14ac:dyDescent="0.25">
      <c r="A976" s="41">
        <v>45383</v>
      </c>
      <c r="B976" s="47">
        <f>MONTH(Table13[[#This Row],[YearMonth]])</f>
        <v>4</v>
      </c>
      <c r="C976" s="9" t="s">
        <v>211</v>
      </c>
      <c r="D976" s="6" t="s">
        <v>341</v>
      </c>
      <c r="E976" s="6">
        <f>IF(Table13[[#This Row],[Quartile]]="TopQuartile", 1,
 IF(Table13[[#This Row],[Quartile]]="SecondQuartile", 2,
 IF(Table13[[#This Row],[Quartile]]="ThirdQuartile", 3,
 IF(Table13[[#This Row],[Quartile]]="FourthQuartile", 4, ""))))</f>
        <v>3</v>
      </c>
      <c r="F976" s="9" t="s">
        <v>457</v>
      </c>
      <c r="G976" s="9" t="str" cm="1">
        <f t="array" ref="G976">IFERROR(
  INDEX(Table13[Quartile],
    MATCH(1,
      (Table13[[#This Row],[OrgName]]=Table13[OrgName]) *
      (Table13[[#This Row],[Month Number]]-1=Table13[Month Number]),
    0)
  ),
"")</f>
        <v>ThirdQuartile</v>
      </c>
      <c r="H976" s="9">
        <f>IF(Table13[[#This Row],[Previous Quartile]]="TopQuartile", 1,
 IF(Table13[[#This Row],[Previous Quartile]]="SecondQuartile", 2,
 IF(Table13[[#This Row],[Previous Quartile]]="ThirdQuartile", 3,
 IF(Table13[[#This Row],[Previous Quartile]]="FourthQuartile", 4, ""))))</f>
        <v>3</v>
      </c>
      <c r="I976" s="9" t="str">
        <f>IF(Table13[[#This Row],[Previous Quartile Value]]="", "",
   IF(Table13[[#This Row],[Quartile Value]] &lt; Table13[[#This Row],[Previous Quartile Value]], "Improved",
   IF(Table13[[#This Row],[Quartile Value]] &gt; Table13[[#This Row],[Previous Quartile Value]], "Dropped", "Same")))</f>
        <v>Same</v>
      </c>
      <c r="J976" s="9" t="s">
        <v>12</v>
      </c>
      <c r="K976" s="7" t="str">
        <f>VLOOKUP(J976,Introduction!$B$6:$C$14,2)</f>
        <v>London</v>
      </c>
      <c r="L976" s="11">
        <v>213</v>
      </c>
      <c r="M976" s="12" t="s">
        <v>425</v>
      </c>
    </row>
    <row r="977" spans="1:13" ht="19.95" customHeight="1" x14ac:dyDescent="0.25">
      <c r="A977" s="41">
        <v>45383</v>
      </c>
      <c r="B977" s="47">
        <f>MONTH(Table13[[#This Row],[YearMonth]])</f>
        <v>4</v>
      </c>
      <c r="C977" s="9" t="s">
        <v>168</v>
      </c>
      <c r="D977" s="6" t="s">
        <v>341</v>
      </c>
      <c r="E977" s="6">
        <f>IF(Table13[[#This Row],[Quartile]]="TopQuartile", 1,
 IF(Table13[[#This Row],[Quartile]]="SecondQuartile", 2,
 IF(Table13[[#This Row],[Quartile]]="ThirdQuartile", 3,
 IF(Table13[[#This Row],[Quartile]]="FourthQuartile", 4, ""))))</f>
        <v>3</v>
      </c>
      <c r="F977" s="9" t="s">
        <v>444</v>
      </c>
      <c r="G977" s="9" t="str" cm="1">
        <f t="array" ref="G977">IFERROR(
  INDEX(Table13[Quartile],
    MATCH(1,
      (Table13[[#This Row],[OrgName]]=Table13[OrgName]) *
      (Table13[[#This Row],[Month Number]]-1=Table13[Month Number]),
    0)
  ),
"")</f>
        <v>ThirdQuartile</v>
      </c>
      <c r="H977" s="9">
        <f>IF(Table13[[#This Row],[Previous Quartile]]="TopQuartile", 1,
 IF(Table13[[#This Row],[Previous Quartile]]="SecondQuartile", 2,
 IF(Table13[[#This Row],[Previous Quartile]]="ThirdQuartile", 3,
 IF(Table13[[#This Row],[Previous Quartile]]="FourthQuartile", 4, ""))))</f>
        <v>3</v>
      </c>
      <c r="I977" s="9" t="str">
        <f>IF(Table13[[#This Row],[Previous Quartile Value]]="", "",
   IF(Table13[[#This Row],[Quartile Value]] &lt; Table13[[#This Row],[Previous Quartile Value]], "Improved",
   IF(Table13[[#This Row],[Quartile Value]] &gt; Table13[[#This Row],[Previous Quartile Value]], "Dropped", "Same")))</f>
        <v>Same</v>
      </c>
      <c r="J977" s="9" t="s">
        <v>12</v>
      </c>
      <c r="K977" s="7" t="str">
        <f>VLOOKUP(J977,Introduction!$B$6:$C$14,2)</f>
        <v>London</v>
      </c>
      <c r="L977" s="11">
        <v>309</v>
      </c>
      <c r="M977" s="12" t="s">
        <v>425</v>
      </c>
    </row>
    <row r="978" spans="1:13" ht="19.95" customHeight="1" x14ac:dyDescent="0.25">
      <c r="A978" s="41">
        <v>45383</v>
      </c>
      <c r="B978" s="47">
        <f>MONTH(Table13[[#This Row],[YearMonth]])</f>
        <v>4</v>
      </c>
      <c r="C978" s="9" t="s">
        <v>222</v>
      </c>
      <c r="D978" s="6" t="s">
        <v>341</v>
      </c>
      <c r="E978" s="6">
        <f>IF(Table13[[#This Row],[Quartile]]="TopQuartile", 1,
 IF(Table13[[#This Row],[Quartile]]="SecondQuartile", 2,
 IF(Table13[[#This Row],[Quartile]]="ThirdQuartile", 3,
 IF(Table13[[#This Row],[Quartile]]="FourthQuartile", 4, ""))))</f>
        <v>3</v>
      </c>
      <c r="F978" s="9" t="s">
        <v>458</v>
      </c>
      <c r="G978" s="9" t="str" cm="1">
        <f t="array" ref="G978">IFERROR(
  INDEX(Table13[Quartile],
    MATCH(1,
      (Table13[[#This Row],[OrgName]]=Table13[OrgName]) *
      (Table13[[#This Row],[Month Number]]-1=Table13[Month Number]),
    0)
  ),
"")</f>
        <v>ThirdQuartile</v>
      </c>
      <c r="H978" s="9">
        <f>IF(Table13[[#This Row],[Previous Quartile]]="TopQuartile", 1,
 IF(Table13[[#This Row],[Previous Quartile]]="SecondQuartile", 2,
 IF(Table13[[#This Row],[Previous Quartile]]="ThirdQuartile", 3,
 IF(Table13[[#This Row],[Previous Quartile]]="FourthQuartile", 4, ""))))</f>
        <v>3</v>
      </c>
      <c r="I978" s="9" t="str">
        <f>IF(Table13[[#This Row],[Previous Quartile Value]]="", "",
   IF(Table13[[#This Row],[Quartile Value]] &lt; Table13[[#This Row],[Previous Quartile Value]], "Improved",
   IF(Table13[[#This Row],[Quartile Value]] &gt; Table13[[#This Row],[Previous Quartile Value]], "Dropped", "Same")))</f>
        <v>Same</v>
      </c>
      <c r="J978" s="9" t="s">
        <v>24</v>
      </c>
      <c r="K978" s="7" t="str">
        <f>VLOOKUP(J978,Introduction!$B$6:$C$14,2)</f>
        <v>North East and Yorkshire</v>
      </c>
      <c r="L978" s="11">
        <v>298</v>
      </c>
      <c r="M978" s="12" t="s">
        <v>425</v>
      </c>
    </row>
    <row r="979" spans="1:13" ht="19.95" customHeight="1" x14ac:dyDescent="0.25">
      <c r="A979" s="41">
        <v>45383</v>
      </c>
      <c r="B979" s="47">
        <f>MONTH(Table13[[#This Row],[YearMonth]])</f>
        <v>4</v>
      </c>
      <c r="C979" s="9" t="s">
        <v>225</v>
      </c>
      <c r="D979" s="6" t="s">
        <v>341</v>
      </c>
      <c r="E979" s="6">
        <f>IF(Table13[[#This Row],[Quartile]]="TopQuartile", 1,
 IF(Table13[[#This Row],[Quartile]]="SecondQuartile", 2,
 IF(Table13[[#This Row],[Quartile]]="ThirdQuartile", 3,
 IF(Table13[[#This Row],[Quartile]]="FourthQuartile", 4, ""))))</f>
        <v>3</v>
      </c>
      <c r="F979" s="9" t="s">
        <v>460</v>
      </c>
      <c r="G979" s="9" t="str" cm="1">
        <f t="array" ref="G979">IFERROR(
  INDEX(Table13[Quartile],
    MATCH(1,
      (Table13[[#This Row],[OrgName]]=Table13[OrgName]) *
      (Table13[[#This Row],[Month Number]]-1=Table13[Month Number]),
    0)
  ),
"")</f>
        <v>ThirdQuartile</v>
      </c>
      <c r="H979" s="9">
        <f>IF(Table13[[#This Row],[Previous Quartile]]="TopQuartile", 1,
 IF(Table13[[#This Row],[Previous Quartile]]="SecondQuartile", 2,
 IF(Table13[[#This Row],[Previous Quartile]]="ThirdQuartile", 3,
 IF(Table13[[#This Row],[Previous Quartile]]="FourthQuartile", 4, ""))))</f>
        <v>3</v>
      </c>
      <c r="I979" s="9" t="str">
        <f>IF(Table13[[#This Row],[Previous Quartile Value]]="", "",
   IF(Table13[[#This Row],[Quartile Value]] &lt; Table13[[#This Row],[Previous Quartile Value]], "Improved",
   IF(Table13[[#This Row],[Quartile Value]] &gt; Table13[[#This Row],[Previous Quartile Value]], "Dropped", "Same")))</f>
        <v>Same</v>
      </c>
      <c r="J979" s="9" t="s">
        <v>14</v>
      </c>
      <c r="K979" s="7" t="str">
        <f>VLOOKUP(J979,Introduction!$B$6:$C$14,2)</f>
        <v>South West</v>
      </c>
      <c r="L979" s="11">
        <v>216</v>
      </c>
      <c r="M979" s="12" t="s">
        <v>425</v>
      </c>
    </row>
    <row r="980" spans="1:13" ht="19.95" customHeight="1" x14ac:dyDescent="0.25">
      <c r="A980" s="41">
        <v>45383</v>
      </c>
      <c r="B980" s="47">
        <f>MONTH(Table13[[#This Row],[YearMonth]])</f>
        <v>4</v>
      </c>
      <c r="C980" s="9" t="s">
        <v>223</v>
      </c>
      <c r="D980" s="6" t="s">
        <v>341</v>
      </c>
      <c r="E980" s="6">
        <f>IF(Table13[[#This Row],[Quartile]]="TopQuartile", 1,
 IF(Table13[[#This Row],[Quartile]]="SecondQuartile", 2,
 IF(Table13[[#This Row],[Quartile]]="ThirdQuartile", 3,
 IF(Table13[[#This Row],[Quartile]]="FourthQuartile", 4, ""))))</f>
        <v>3</v>
      </c>
      <c r="F980" s="9" t="s">
        <v>459</v>
      </c>
      <c r="G980" s="9" t="str" cm="1">
        <f t="array" ref="G980">IFERROR(
  INDEX(Table13[Quartile],
    MATCH(1,
      (Table13[[#This Row],[OrgName]]=Table13[OrgName]) *
      (Table13[[#This Row],[Month Number]]-1=Table13[Month Number]),
    0)
  ),
"")</f>
        <v>ThirdQuartile</v>
      </c>
      <c r="H980" s="9">
        <f>IF(Table13[[#This Row],[Previous Quartile]]="TopQuartile", 1,
 IF(Table13[[#This Row],[Previous Quartile]]="SecondQuartile", 2,
 IF(Table13[[#This Row],[Previous Quartile]]="ThirdQuartile", 3,
 IF(Table13[[#This Row],[Previous Quartile]]="FourthQuartile", 4, ""))))</f>
        <v>3</v>
      </c>
      <c r="I980" s="9" t="str">
        <f>IF(Table13[[#This Row],[Previous Quartile Value]]="", "",
   IF(Table13[[#This Row],[Quartile Value]] &lt; Table13[[#This Row],[Previous Quartile Value]], "Improved",
   IF(Table13[[#This Row],[Quartile Value]] &gt; Table13[[#This Row],[Previous Quartile Value]], "Dropped", "Same")))</f>
        <v>Same</v>
      </c>
      <c r="J980" s="9" t="s">
        <v>22</v>
      </c>
      <c r="K980" s="7" t="str">
        <f>VLOOKUP(J980,Introduction!$B$6:$C$14,2)</f>
        <v>North West</v>
      </c>
      <c r="L980" s="11">
        <v>382</v>
      </c>
      <c r="M980" s="12" t="s">
        <v>425</v>
      </c>
    </row>
    <row r="981" spans="1:13" ht="19.95" customHeight="1" x14ac:dyDescent="0.25">
      <c r="A981" s="41">
        <v>45383</v>
      </c>
      <c r="B981" s="47">
        <f>MONTH(Table13[[#This Row],[YearMonth]])</f>
        <v>4</v>
      </c>
      <c r="C981" s="9" t="s">
        <v>235</v>
      </c>
      <c r="D981" s="6" t="s">
        <v>341</v>
      </c>
      <c r="E981" s="6">
        <f>IF(Table13[[#This Row],[Quartile]]="TopQuartile", 1,
 IF(Table13[[#This Row],[Quartile]]="SecondQuartile", 2,
 IF(Table13[[#This Row],[Quartile]]="ThirdQuartile", 3,
 IF(Table13[[#This Row],[Quartile]]="FourthQuartile", 4, ""))))</f>
        <v>3</v>
      </c>
      <c r="F981" s="9" t="s">
        <v>461</v>
      </c>
      <c r="G981" s="9" t="str" cm="1">
        <f t="array" ref="G981">IFERROR(
  INDEX(Table13[Quartile],
    MATCH(1,
      (Table13[[#This Row],[OrgName]]=Table13[OrgName]) *
      (Table13[[#This Row],[Month Number]]-1=Table13[Month Number]),
    0)
  ),
"")</f>
        <v>ThirdQuartile</v>
      </c>
      <c r="H981" s="9">
        <f>IF(Table13[[#This Row],[Previous Quartile]]="TopQuartile", 1,
 IF(Table13[[#This Row],[Previous Quartile]]="SecondQuartile", 2,
 IF(Table13[[#This Row],[Previous Quartile]]="ThirdQuartile", 3,
 IF(Table13[[#This Row],[Previous Quartile]]="FourthQuartile", 4, ""))))</f>
        <v>3</v>
      </c>
      <c r="I981" s="9" t="str">
        <f>IF(Table13[[#This Row],[Previous Quartile Value]]="", "",
   IF(Table13[[#This Row],[Quartile Value]] &lt; Table13[[#This Row],[Previous Quartile Value]], "Improved",
   IF(Table13[[#This Row],[Quartile Value]] &gt; Table13[[#This Row],[Previous Quartile Value]], "Dropped", "Same")))</f>
        <v>Same</v>
      </c>
      <c r="J981" s="9" t="s">
        <v>12</v>
      </c>
      <c r="K981" s="7" t="str">
        <f>VLOOKUP(J981,Introduction!$B$6:$C$14,2)</f>
        <v>London</v>
      </c>
      <c r="L981" s="11">
        <v>337</v>
      </c>
      <c r="M981" s="12" t="s">
        <v>425</v>
      </c>
    </row>
    <row r="982" spans="1:13" ht="19.95" customHeight="1" x14ac:dyDescent="0.25">
      <c r="A982" s="41">
        <v>45383</v>
      </c>
      <c r="B982" s="47">
        <f>MONTH(Table13[[#This Row],[YearMonth]])</f>
        <v>4</v>
      </c>
      <c r="C982" s="9" t="s">
        <v>241</v>
      </c>
      <c r="D982" s="6" t="s">
        <v>341</v>
      </c>
      <c r="E982" s="6">
        <f>IF(Table13[[#This Row],[Quartile]]="TopQuartile", 1,
 IF(Table13[[#This Row],[Quartile]]="SecondQuartile", 2,
 IF(Table13[[#This Row],[Quartile]]="ThirdQuartile", 3,
 IF(Table13[[#This Row],[Quartile]]="FourthQuartile", 4, ""))))</f>
        <v>3</v>
      </c>
      <c r="F982" s="9" t="s">
        <v>462</v>
      </c>
      <c r="G982" s="9" t="str" cm="1">
        <f t="array" ref="G982">IFERROR(
  INDEX(Table13[Quartile],
    MATCH(1,
      (Table13[[#This Row],[OrgName]]=Table13[OrgName]) *
      (Table13[[#This Row],[Month Number]]-1=Table13[Month Number]),
    0)
  ),
"")</f>
        <v>ThirdQuartile</v>
      </c>
      <c r="H982" s="9">
        <f>IF(Table13[[#This Row],[Previous Quartile]]="TopQuartile", 1,
 IF(Table13[[#This Row],[Previous Quartile]]="SecondQuartile", 2,
 IF(Table13[[#This Row],[Previous Quartile]]="ThirdQuartile", 3,
 IF(Table13[[#This Row],[Previous Quartile]]="FourthQuartile", 4, ""))))</f>
        <v>3</v>
      </c>
      <c r="I982" s="9" t="str">
        <f>IF(Table13[[#This Row],[Previous Quartile Value]]="", "",
   IF(Table13[[#This Row],[Quartile Value]] &lt; Table13[[#This Row],[Previous Quartile Value]], "Improved",
   IF(Table13[[#This Row],[Quartile Value]] &gt; Table13[[#This Row],[Previous Quartile Value]], "Dropped", "Same")))</f>
        <v>Same</v>
      </c>
      <c r="J982" s="9" t="s">
        <v>22</v>
      </c>
      <c r="K982" s="7" t="str">
        <f>VLOOKUP(J982,Introduction!$B$6:$C$14,2)</f>
        <v>North West</v>
      </c>
      <c r="L982" s="11">
        <v>287</v>
      </c>
      <c r="M982" s="12" t="s">
        <v>425</v>
      </c>
    </row>
    <row r="983" spans="1:13" ht="19.95" customHeight="1" x14ac:dyDescent="0.25">
      <c r="A983" s="41">
        <v>45383</v>
      </c>
      <c r="B983" s="47">
        <f>MONTH(Table13[[#This Row],[YearMonth]])</f>
        <v>4</v>
      </c>
      <c r="C983" s="9" t="s">
        <v>251</v>
      </c>
      <c r="D983" s="6" t="s">
        <v>341</v>
      </c>
      <c r="E983" s="6">
        <f>IF(Table13[[#This Row],[Quartile]]="TopQuartile", 1,
 IF(Table13[[#This Row],[Quartile]]="SecondQuartile", 2,
 IF(Table13[[#This Row],[Quartile]]="ThirdQuartile", 3,
 IF(Table13[[#This Row],[Quartile]]="FourthQuartile", 4, ""))))</f>
        <v>3</v>
      </c>
      <c r="F983" s="9" t="s">
        <v>463</v>
      </c>
      <c r="G983" s="9" t="str" cm="1">
        <f t="array" ref="G983">IFERROR(
  INDEX(Table13[Quartile],
    MATCH(1,
      (Table13[[#This Row],[OrgName]]=Table13[OrgName]) *
      (Table13[[#This Row],[Month Number]]-1=Table13[Month Number]),
    0)
  ),
"")</f>
        <v>ThirdQuartile</v>
      </c>
      <c r="H983" s="9">
        <f>IF(Table13[[#This Row],[Previous Quartile]]="TopQuartile", 1,
 IF(Table13[[#This Row],[Previous Quartile]]="SecondQuartile", 2,
 IF(Table13[[#This Row],[Previous Quartile]]="ThirdQuartile", 3,
 IF(Table13[[#This Row],[Previous Quartile]]="FourthQuartile", 4, ""))))</f>
        <v>3</v>
      </c>
      <c r="I983" s="9" t="str">
        <f>IF(Table13[[#This Row],[Previous Quartile Value]]="", "",
   IF(Table13[[#This Row],[Quartile Value]] &lt; Table13[[#This Row],[Previous Quartile Value]], "Improved",
   IF(Table13[[#This Row],[Quartile Value]] &gt; Table13[[#This Row],[Previous Quartile Value]], "Dropped", "Same")))</f>
        <v>Same</v>
      </c>
      <c r="J983" s="9" t="s">
        <v>22</v>
      </c>
      <c r="K983" s="7" t="str">
        <f>VLOOKUP(J983,Introduction!$B$6:$C$14,2)</f>
        <v>North West</v>
      </c>
      <c r="L983" s="11">
        <v>349</v>
      </c>
      <c r="M983" s="12" t="s">
        <v>425</v>
      </c>
    </row>
    <row r="984" spans="1:13" ht="19.95" customHeight="1" x14ac:dyDescent="0.25">
      <c r="A984" s="41">
        <v>45383</v>
      </c>
      <c r="B984" s="47">
        <f>MONTH(Table13[[#This Row],[YearMonth]])</f>
        <v>4</v>
      </c>
      <c r="C984" s="9" t="s">
        <v>253</v>
      </c>
      <c r="D984" s="6" t="s">
        <v>341</v>
      </c>
      <c r="E984" s="6">
        <f>IF(Table13[[#This Row],[Quartile]]="TopQuartile", 1,
 IF(Table13[[#This Row],[Quartile]]="SecondQuartile", 2,
 IF(Table13[[#This Row],[Quartile]]="ThirdQuartile", 3,
 IF(Table13[[#This Row],[Quartile]]="FourthQuartile", 4, ""))))</f>
        <v>3</v>
      </c>
      <c r="F984" s="9" t="s">
        <v>464</v>
      </c>
      <c r="G984" s="9" t="str" cm="1">
        <f t="array" ref="G984">IFERROR(
  INDEX(Table13[Quartile],
    MATCH(1,
      (Table13[[#This Row],[OrgName]]=Table13[OrgName]) *
      (Table13[[#This Row],[Month Number]]-1=Table13[Month Number]),
    0)
  ),
"")</f>
        <v>FourthQuartile</v>
      </c>
      <c r="H984" s="9">
        <f>IF(Table13[[#This Row],[Previous Quartile]]="TopQuartile", 1,
 IF(Table13[[#This Row],[Previous Quartile]]="SecondQuartile", 2,
 IF(Table13[[#This Row],[Previous Quartile]]="ThirdQuartile", 3,
 IF(Table13[[#This Row],[Previous Quartile]]="FourthQuartile", 4, ""))))</f>
        <v>4</v>
      </c>
      <c r="I984" s="9" t="str">
        <f>IF(Table13[[#This Row],[Previous Quartile Value]]="", "",
   IF(Table13[[#This Row],[Quartile Value]] &lt; Table13[[#This Row],[Previous Quartile Value]], "Improved",
   IF(Table13[[#This Row],[Quartile Value]] &gt; Table13[[#This Row],[Previous Quartile Value]], "Dropped", "Same")))</f>
        <v>Improved</v>
      </c>
      <c r="J984" s="9" t="s">
        <v>12</v>
      </c>
      <c r="K984" s="7" t="str">
        <f>VLOOKUP(J984,Introduction!$B$6:$C$14,2)</f>
        <v>London</v>
      </c>
      <c r="L984" s="11">
        <v>196</v>
      </c>
      <c r="M984" s="12" t="s">
        <v>425</v>
      </c>
    </row>
    <row r="985" spans="1:13" ht="19.95" customHeight="1" x14ac:dyDescent="0.25">
      <c r="A985" s="41">
        <v>45383</v>
      </c>
      <c r="B985" s="47">
        <f>MONTH(Table13[[#This Row],[YearMonth]])</f>
        <v>4</v>
      </c>
      <c r="C985" s="9" t="s">
        <v>160</v>
      </c>
      <c r="D985" s="6" t="s">
        <v>350</v>
      </c>
      <c r="E985" s="6">
        <f>IF(Table13[[#This Row],[Quartile]]="TopQuartile", 1,
 IF(Table13[[#This Row],[Quartile]]="SecondQuartile", 2,
 IF(Table13[[#This Row],[Quartile]]="ThirdQuartile", 3,
 IF(Table13[[#This Row],[Quartile]]="FourthQuartile", 4, ""))))</f>
        <v>4</v>
      </c>
      <c r="F985" s="9" t="s">
        <v>441</v>
      </c>
      <c r="G985" s="9" t="str" cm="1">
        <f t="array" ref="G985">IFERROR(
  INDEX(Table13[Quartile],
    MATCH(1,
      (Table13[[#This Row],[OrgName]]=Table13[OrgName]) *
      (Table13[[#This Row],[Month Number]]-1=Table13[Month Number]),
    0)
  ),
"")</f>
        <v>FourthQuartile</v>
      </c>
      <c r="H985" s="9">
        <f>IF(Table13[[#This Row],[Previous Quartile]]="TopQuartile", 1,
 IF(Table13[[#This Row],[Previous Quartile]]="SecondQuartile", 2,
 IF(Table13[[#This Row],[Previous Quartile]]="ThirdQuartile", 3,
 IF(Table13[[#This Row],[Previous Quartile]]="FourthQuartile", 4, ""))))</f>
        <v>4</v>
      </c>
      <c r="I985" s="9" t="str">
        <f>IF(Table13[[#This Row],[Previous Quartile Value]]="", "",
   IF(Table13[[#This Row],[Quartile Value]] &lt; Table13[[#This Row],[Previous Quartile Value]], "Improved",
   IF(Table13[[#This Row],[Quartile Value]] &gt; Table13[[#This Row],[Previous Quartile Value]], "Dropped", "Same")))</f>
        <v>Same</v>
      </c>
      <c r="J985" s="9" t="s">
        <v>24</v>
      </c>
      <c r="K985" s="7" t="str">
        <f>VLOOKUP(J985,Introduction!$B$6:$C$14,2)</f>
        <v>North East and Yorkshire</v>
      </c>
      <c r="L985" s="11">
        <v>272</v>
      </c>
      <c r="M985" s="12" t="s">
        <v>425</v>
      </c>
    </row>
    <row r="986" spans="1:13" ht="19.95" customHeight="1" x14ac:dyDescent="0.25">
      <c r="A986" s="41">
        <v>45383</v>
      </c>
      <c r="B986" s="47">
        <f>MONTH(Table13[[#This Row],[YearMonth]])</f>
        <v>4</v>
      </c>
      <c r="C986" s="9" t="s">
        <v>258</v>
      </c>
      <c r="D986" s="6" t="s">
        <v>350</v>
      </c>
      <c r="E986" s="6">
        <f>IF(Table13[[#This Row],[Quartile]]="TopQuartile", 1,
 IF(Table13[[#This Row],[Quartile]]="SecondQuartile", 2,
 IF(Table13[[#This Row],[Quartile]]="ThirdQuartile", 3,
 IF(Table13[[#This Row],[Quartile]]="FourthQuartile", 4, ""))))</f>
        <v>4</v>
      </c>
      <c r="F986" s="9" t="s">
        <v>465</v>
      </c>
      <c r="G986" s="9" t="str" cm="1">
        <f t="array" ref="G986">IFERROR(
  INDEX(Table13[Quartile],
    MATCH(1,
      (Table13[[#This Row],[OrgName]]=Table13[OrgName]) *
      (Table13[[#This Row],[Month Number]]-1=Table13[Month Number]),
    0)
  ),
"")</f>
        <v>FourthQuartile</v>
      </c>
      <c r="H986" s="9">
        <f>IF(Table13[[#This Row],[Previous Quartile]]="TopQuartile", 1,
 IF(Table13[[#This Row],[Previous Quartile]]="SecondQuartile", 2,
 IF(Table13[[#This Row],[Previous Quartile]]="ThirdQuartile", 3,
 IF(Table13[[#This Row],[Previous Quartile]]="FourthQuartile", 4, ""))))</f>
        <v>4</v>
      </c>
      <c r="I986" s="9" t="str">
        <f>IF(Table13[[#This Row],[Previous Quartile Value]]="", "",
   IF(Table13[[#This Row],[Quartile Value]] &lt; Table13[[#This Row],[Previous Quartile Value]], "Improved",
   IF(Table13[[#This Row],[Quartile Value]] &gt; Table13[[#This Row],[Previous Quartile Value]], "Dropped", "Same")))</f>
        <v>Same</v>
      </c>
      <c r="J986" s="9" t="s">
        <v>16</v>
      </c>
      <c r="K986" s="7" t="str">
        <f>VLOOKUP(J986,Introduction!$B$6:$C$14,2)</f>
        <v>South East</v>
      </c>
      <c r="L986" s="11">
        <v>321</v>
      </c>
      <c r="M986" s="12" t="s">
        <v>425</v>
      </c>
    </row>
    <row r="987" spans="1:13" ht="19.95" customHeight="1" x14ac:dyDescent="0.25">
      <c r="A987" s="41">
        <v>45383</v>
      </c>
      <c r="B987" s="47">
        <f>MONTH(Table13[[#This Row],[YearMonth]])</f>
        <v>4</v>
      </c>
      <c r="C987" s="9" t="s">
        <v>267</v>
      </c>
      <c r="D987" s="6" t="s">
        <v>350</v>
      </c>
      <c r="E987" s="6">
        <f>IF(Table13[[#This Row],[Quartile]]="TopQuartile", 1,
 IF(Table13[[#This Row],[Quartile]]="SecondQuartile", 2,
 IF(Table13[[#This Row],[Quartile]]="ThirdQuartile", 3,
 IF(Table13[[#This Row],[Quartile]]="FourthQuartile", 4, ""))))</f>
        <v>4</v>
      </c>
      <c r="F987" s="9" t="s">
        <v>466</v>
      </c>
      <c r="G987" s="9" t="str" cm="1">
        <f t="array" ref="G987">IFERROR(
  INDEX(Table13[Quartile],
    MATCH(1,
      (Table13[[#This Row],[OrgName]]=Table13[OrgName]) *
      (Table13[[#This Row],[Month Number]]-1=Table13[Month Number]),
    0)
  ),
"")</f>
        <v>FourthQuartile</v>
      </c>
      <c r="H987" s="9">
        <f>IF(Table13[[#This Row],[Previous Quartile]]="TopQuartile", 1,
 IF(Table13[[#This Row],[Previous Quartile]]="SecondQuartile", 2,
 IF(Table13[[#This Row],[Previous Quartile]]="ThirdQuartile", 3,
 IF(Table13[[#This Row],[Previous Quartile]]="FourthQuartile", 4, ""))))</f>
        <v>4</v>
      </c>
      <c r="I987" s="9" t="str">
        <f>IF(Table13[[#This Row],[Previous Quartile Value]]="", "",
   IF(Table13[[#This Row],[Quartile Value]] &lt; Table13[[#This Row],[Previous Quartile Value]], "Improved",
   IF(Table13[[#This Row],[Quartile Value]] &gt; Table13[[#This Row],[Previous Quartile Value]], "Dropped", "Same")))</f>
        <v>Same</v>
      </c>
      <c r="J987" s="9" t="s">
        <v>18</v>
      </c>
      <c r="K987" s="7" t="str">
        <f>VLOOKUP(J987,Introduction!$B$6:$C$14,2)</f>
        <v>Midlands</v>
      </c>
      <c r="L987" s="11">
        <v>304</v>
      </c>
      <c r="M987" s="12" t="s">
        <v>425</v>
      </c>
    </row>
    <row r="988" spans="1:13" ht="19.95" customHeight="1" x14ac:dyDescent="0.25">
      <c r="A988" s="41">
        <v>45383</v>
      </c>
      <c r="B988" s="47">
        <f>MONTH(Table13[[#This Row],[YearMonth]])</f>
        <v>4</v>
      </c>
      <c r="C988" s="9" t="s">
        <v>269</v>
      </c>
      <c r="D988" s="6" t="s">
        <v>350</v>
      </c>
      <c r="E988" s="6">
        <f>IF(Table13[[#This Row],[Quartile]]="TopQuartile", 1,
 IF(Table13[[#This Row],[Quartile]]="SecondQuartile", 2,
 IF(Table13[[#This Row],[Quartile]]="ThirdQuartile", 3,
 IF(Table13[[#This Row],[Quartile]]="FourthQuartile", 4, ""))))</f>
        <v>4</v>
      </c>
      <c r="F988" s="9" t="s">
        <v>467</v>
      </c>
      <c r="G988" s="9" t="str" cm="1">
        <f t="array" ref="G988">IFERROR(
  INDEX(Table13[Quartile],
    MATCH(1,
      (Table13[[#This Row],[OrgName]]=Table13[OrgName]) *
      (Table13[[#This Row],[Month Number]]-1=Table13[Month Number]),
    0)
  ),
"")</f>
        <v>FourthQuartile</v>
      </c>
      <c r="H988" s="9">
        <f>IF(Table13[[#This Row],[Previous Quartile]]="TopQuartile", 1,
 IF(Table13[[#This Row],[Previous Quartile]]="SecondQuartile", 2,
 IF(Table13[[#This Row],[Previous Quartile]]="ThirdQuartile", 3,
 IF(Table13[[#This Row],[Previous Quartile]]="FourthQuartile", 4, ""))))</f>
        <v>4</v>
      </c>
      <c r="I988" s="9" t="str">
        <f>IF(Table13[[#This Row],[Previous Quartile Value]]="", "",
   IF(Table13[[#This Row],[Quartile Value]] &lt; Table13[[#This Row],[Previous Quartile Value]], "Improved",
   IF(Table13[[#This Row],[Quartile Value]] &gt; Table13[[#This Row],[Previous Quartile Value]], "Dropped", "Same")))</f>
        <v>Same</v>
      </c>
      <c r="J988" s="9" t="s">
        <v>14</v>
      </c>
      <c r="K988" s="7" t="str">
        <f>VLOOKUP(J988,Introduction!$B$6:$C$14,2)</f>
        <v>South West</v>
      </c>
      <c r="L988" s="11">
        <v>387</v>
      </c>
      <c r="M988" s="12" t="s">
        <v>425</v>
      </c>
    </row>
    <row r="989" spans="1:13" ht="19.95" customHeight="1" x14ac:dyDescent="0.25">
      <c r="A989" s="41">
        <v>45383</v>
      </c>
      <c r="B989" s="47">
        <f>MONTH(Table13[[#This Row],[YearMonth]])</f>
        <v>4</v>
      </c>
      <c r="C989" s="9" t="s">
        <v>281</v>
      </c>
      <c r="D989" s="6" t="s">
        <v>350</v>
      </c>
      <c r="E989" s="6">
        <f>IF(Table13[[#This Row],[Quartile]]="TopQuartile", 1,
 IF(Table13[[#This Row],[Quartile]]="SecondQuartile", 2,
 IF(Table13[[#This Row],[Quartile]]="ThirdQuartile", 3,
 IF(Table13[[#This Row],[Quartile]]="FourthQuartile", 4, ""))))</f>
        <v>4</v>
      </c>
      <c r="F989" s="9" t="s">
        <v>469</v>
      </c>
      <c r="G989" s="9" t="str" cm="1">
        <f t="array" ref="G989">IFERROR(
  INDEX(Table13[Quartile],
    MATCH(1,
      (Table13[[#This Row],[OrgName]]=Table13[OrgName]) *
      (Table13[[#This Row],[Month Number]]-1=Table13[Month Number]),
    0)
  ),
"")</f>
        <v>FourthQuartile</v>
      </c>
      <c r="H989" s="9">
        <f>IF(Table13[[#This Row],[Previous Quartile]]="TopQuartile", 1,
 IF(Table13[[#This Row],[Previous Quartile]]="SecondQuartile", 2,
 IF(Table13[[#This Row],[Previous Quartile]]="ThirdQuartile", 3,
 IF(Table13[[#This Row],[Previous Quartile]]="FourthQuartile", 4, ""))))</f>
        <v>4</v>
      </c>
      <c r="I989" s="9" t="str">
        <f>IF(Table13[[#This Row],[Previous Quartile Value]]="", "",
   IF(Table13[[#This Row],[Quartile Value]] &lt; Table13[[#This Row],[Previous Quartile Value]], "Improved",
   IF(Table13[[#This Row],[Quartile Value]] &gt; Table13[[#This Row],[Previous Quartile Value]], "Dropped", "Same")))</f>
        <v>Same</v>
      </c>
      <c r="J989" s="9" t="s">
        <v>18</v>
      </c>
      <c r="K989" s="7" t="str">
        <f>VLOOKUP(J989,Introduction!$B$6:$C$14,2)</f>
        <v>Midlands</v>
      </c>
      <c r="L989" s="11">
        <v>205</v>
      </c>
      <c r="M989" s="12" t="s">
        <v>425</v>
      </c>
    </row>
    <row r="990" spans="1:13" ht="19.95" customHeight="1" x14ac:dyDescent="0.25">
      <c r="A990" s="41">
        <v>45383</v>
      </c>
      <c r="B990" s="47">
        <f>MONTH(Table13[[#This Row],[YearMonth]])</f>
        <v>4</v>
      </c>
      <c r="C990" s="9" t="s">
        <v>277</v>
      </c>
      <c r="D990" s="6" t="s">
        <v>350</v>
      </c>
      <c r="E990" s="6">
        <f>IF(Table13[[#This Row],[Quartile]]="TopQuartile", 1,
 IF(Table13[[#This Row],[Quartile]]="SecondQuartile", 2,
 IF(Table13[[#This Row],[Quartile]]="ThirdQuartile", 3,
 IF(Table13[[#This Row],[Quartile]]="FourthQuartile", 4, ""))))</f>
        <v>4</v>
      </c>
      <c r="F990" s="9" t="s">
        <v>468</v>
      </c>
      <c r="G990" s="9" t="str" cm="1">
        <f t="array" ref="G990">IFERROR(
  INDEX(Table13[Quartile],
    MATCH(1,
      (Table13[[#This Row],[OrgName]]=Table13[OrgName]) *
      (Table13[[#This Row],[Month Number]]-1=Table13[Month Number]),
    0)
  ),
"")</f>
        <v>FourthQuartile</v>
      </c>
      <c r="H990" s="9">
        <f>IF(Table13[[#This Row],[Previous Quartile]]="TopQuartile", 1,
 IF(Table13[[#This Row],[Previous Quartile]]="SecondQuartile", 2,
 IF(Table13[[#This Row],[Previous Quartile]]="ThirdQuartile", 3,
 IF(Table13[[#This Row],[Previous Quartile]]="FourthQuartile", 4, ""))))</f>
        <v>4</v>
      </c>
      <c r="I990" s="9" t="str">
        <f>IF(Table13[[#This Row],[Previous Quartile Value]]="", "",
   IF(Table13[[#This Row],[Quartile Value]] &lt; Table13[[#This Row],[Previous Quartile Value]], "Improved",
   IF(Table13[[#This Row],[Quartile Value]] &gt; Table13[[#This Row],[Previous Quartile Value]], "Dropped", "Same")))</f>
        <v>Same</v>
      </c>
      <c r="J990" s="9" t="s">
        <v>24</v>
      </c>
      <c r="K990" s="7" t="str">
        <f>VLOOKUP(J990,Introduction!$B$6:$C$14,2)</f>
        <v>North East and Yorkshire</v>
      </c>
      <c r="L990" s="11">
        <v>419</v>
      </c>
      <c r="M990" s="12" t="s">
        <v>425</v>
      </c>
    </row>
    <row r="991" spans="1:13" ht="19.95" customHeight="1" x14ac:dyDescent="0.25">
      <c r="A991" s="41">
        <v>45383</v>
      </c>
      <c r="B991" s="47">
        <f>MONTH(Table13[[#This Row],[YearMonth]])</f>
        <v>4</v>
      </c>
      <c r="C991" s="9" t="s">
        <v>282</v>
      </c>
      <c r="D991" s="6" t="s">
        <v>350</v>
      </c>
      <c r="E991" s="6">
        <f>IF(Table13[[#This Row],[Quartile]]="TopQuartile", 1,
 IF(Table13[[#This Row],[Quartile]]="SecondQuartile", 2,
 IF(Table13[[#This Row],[Quartile]]="ThirdQuartile", 3,
 IF(Table13[[#This Row],[Quartile]]="FourthQuartile", 4, ""))))</f>
        <v>4</v>
      </c>
      <c r="F991" s="9" t="s">
        <v>470</v>
      </c>
      <c r="G991" s="9" t="str" cm="1">
        <f t="array" ref="G991">IFERROR(
  INDEX(Table13[Quartile],
    MATCH(1,
      (Table13[[#This Row],[OrgName]]=Table13[OrgName]) *
      (Table13[[#This Row],[Month Number]]-1=Table13[Month Number]),
    0)
  ),
"")</f>
        <v>FourthQuartile</v>
      </c>
      <c r="H991" s="9">
        <f>IF(Table13[[#This Row],[Previous Quartile]]="TopQuartile", 1,
 IF(Table13[[#This Row],[Previous Quartile]]="SecondQuartile", 2,
 IF(Table13[[#This Row],[Previous Quartile]]="ThirdQuartile", 3,
 IF(Table13[[#This Row],[Previous Quartile]]="FourthQuartile", 4, ""))))</f>
        <v>4</v>
      </c>
      <c r="I991" s="9" t="str">
        <f>IF(Table13[[#This Row],[Previous Quartile Value]]="", "",
   IF(Table13[[#This Row],[Quartile Value]] &lt; Table13[[#This Row],[Previous Quartile Value]], "Improved",
   IF(Table13[[#This Row],[Quartile Value]] &gt; Table13[[#This Row],[Previous Quartile Value]], "Dropped", "Same")))</f>
        <v>Same</v>
      </c>
      <c r="J991" s="9" t="s">
        <v>12</v>
      </c>
      <c r="K991" s="7" t="str">
        <f>VLOOKUP(J991,Introduction!$B$6:$C$14,2)</f>
        <v>London</v>
      </c>
      <c r="L991" s="11">
        <v>290</v>
      </c>
      <c r="M991" s="12" t="s">
        <v>425</v>
      </c>
    </row>
    <row r="992" spans="1:13" ht="19.95" customHeight="1" x14ac:dyDescent="0.25">
      <c r="A992" s="41">
        <v>45383</v>
      </c>
      <c r="B992" s="47">
        <f>MONTH(Table13[[#This Row],[YearMonth]])</f>
        <v>4</v>
      </c>
      <c r="C992" s="9" t="s">
        <v>287</v>
      </c>
      <c r="D992" s="6" t="s">
        <v>350</v>
      </c>
      <c r="E992" s="6">
        <f>IF(Table13[[#This Row],[Quartile]]="TopQuartile", 1,
 IF(Table13[[#This Row],[Quartile]]="SecondQuartile", 2,
 IF(Table13[[#This Row],[Quartile]]="ThirdQuartile", 3,
 IF(Table13[[#This Row],[Quartile]]="FourthQuartile", 4, ""))))</f>
        <v>4</v>
      </c>
      <c r="F992" s="9" t="s">
        <v>471</v>
      </c>
      <c r="G992" s="9" t="str" cm="1">
        <f t="array" ref="G992">IFERROR(
  INDEX(Table13[Quartile],
    MATCH(1,
      (Table13[[#This Row],[OrgName]]=Table13[OrgName]) *
      (Table13[[#This Row],[Month Number]]-1=Table13[Month Number]),
    0)
  ),
"")</f>
        <v>FourthQuartile</v>
      </c>
      <c r="H992" s="9">
        <f>IF(Table13[[#This Row],[Previous Quartile]]="TopQuartile", 1,
 IF(Table13[[#This Row],[Previous Quartile]]="SecondQuartile", 2,
 IF(Table13[[#This Row],[Previous Quartile]]="ThirdQuartile", 3,
 IF(Table13[[#This Row],[Previous Quartile]]="FourthQuartile", 4, ""))))</f>
        <v>4</v>
      </c>
      <c r="I992" s="9" t="str">
        <f>IF(Table13[[#This Row],[Previous Quartile Value]]="", "",
   IF(Table13[[#This Row],[Quartile Value]] &lt; Table13[[#This Row],[Previous Quartile Value]], "Improved",
   IF(Table13[[#This Row],[Quartile Value]] &gt; Table13[[#This Row],[Previous Quartile Value]], "Dropped", "Same")))</f>
        <v>Same</v>
      </c>
      <c r="J992" s="9" t="s">
        <v>12</v>
      </c>
      <c r="K992" s="7" t="str">
        <f>VLOOKUP(J992,Introduction!$B$6:$C$14,2)</f>
        <v>London</v>
      </c>
      <c r="L992" s="11">
        <v>289</v>
      </c>
      <c r="M992" s="12" t="s">
        <v>425</v>
      </c>
    </row>
    <row r="993" spans="1:13" ht="19.95" customHeight="1" x14ac:dyDescent="0.25">
      <c r="A993" s="41">
        <v>45383</v>
      </c>
      <c r="B993" s="47">
        <f>MONTH(Table13[[#This Row],[YearMonth]])</f>
        <v>4</v>
      </c>
      <c r="C993" s="9" t="s">
        <v>301</v>
      </c>
      <c r="D993" s="6" t="s">
        <v>350</v>
      </c>
      <c r="E993" s="6">
        <f>IF(Table13[[#This Row],[Quartile]]="TopQuartile", 1,
 IF(Table13[[#This Row],[Quartile]]="SecondQuartile", 2,
 IF(Table13[[#This Row],[Quartile]]="ThirdQuartile", 3,
 IF(Table13[[#This Row],[Quartile]]="FourthQuartile", 4, ""))))</f>
        <v>4</v>
      </c>
      <c r="F993" s="9" t="s">
        <v>472</v>
      </c>
      <c r="G993" s="9" t="str" cm="1">
        <f t="array" ref="G993">IFERROR(
  INDEX(Table13[Quartile],
    MATCH(1,
      (Table13[[#This Row],[OrgName]]=Table13[OrgName]) *
      (Table13[[#This Row],[Month Number]]-1=Table13[Month Number]),
    0)
  ),
"")</f>
        <v>FourthQuartile</v>
      </c>
      <c r="H993" s="9">
        <f>IF(Table13[[#This Row],[Previous Quartile]]="TopQuartile", 1,
 IF(Table13[[#This Row],[Previous Quartile]]="SecondQuartile", 2,
 IF(Table13[[#This Row],[Previous Quartile]]="ThirdQuartile", 3,
 IF(Table13[[#This Row],[Previous Quartile]]="FourthQuartile", 4, ""))))</f>
        <v>4</v>
      </c>
      <c r="I993" s="9" t="str">
        <f>IF(Table13[[#This Row],[Previous Quartile Value]]="", "",
   IF(Table13[[#This Row],[Quartile Value]] &lt; Table13[[#This Row],[Previous Quartile Value]], "Improved",
   IF(Table13[[#This Row],[Quartile Value]] &gt; Table13[[#This Row],[Previous Quartile Value]], "Dropped", "Same")))</f>
        <v>Same</v>
      </c>
      <c r="J993" s="9" t="s">
        <v>14</v>
      </c>
      <c r="K993" s="7" t="str">
        <f>VLOOKUP(J993,Introduction!$B$6:$C$14,2)</f>
        <v>South West</v>
      </c>
      <c r="L993" s="11">
        <v>153</v>
      </c>
      <c r="M993" s="12" t="s">
        <v>425</v>
      </c>
    </row>
    <row r="994" spans="1:13" ht="19.95" customHeight="1" x14ac:dyDescent="0.25">
      <c r="A994" s="41">
        <v>45383</v>
      </c>
      <c r="B994" s="47">
        <f>MONTH(Table13[[#This Row],[YearMonth]])</f>
        <v>4</v>
      </c>
      <c r="C994" s="9" t="s">
        <v>307</v>
      </c>
      <c r="D994" s="6" t="s">
        <v>350</v>
      </c>
      <c r="E994" s="6">
        <f>IF(Table13[[#This Row],[Quartile]]="TopQuartile", 1,
 IF(Table13[[#This Row],[Quartile]]="SecondQuartile", 2,
 IF(Table13[[#This Row],[Quartile]]="ThirdQuartile", 3,
 IF(Table13[[#This Row],[Quartile]]="FourthQuartile", 4, ""))))</f>
        <v>4</v>
      </c>
      <c r="F994" s="9" t="s">
        <v>473</v>
      </c>
      <c r="G994" s="9" t="str" cm="1">
        <f t="array" ref="G994">IFERROR(
  INDEX(Table13[Quartile],
    MATCH(1,
      (Table13[[#This Row],[OrgName]]=Table13[OrgName]) *
      (Table13[[#This Row],[Month Number]]-1=Table13[Month Number]),
    0)
  ),
"")</f>
        <v>FourthQuartile</v>
      </c>
      <c r="H994" s="9">
        <f>IF(Table13[[#This Row],[Previous Quartile]]="TopQuartile", 1,
 IF(Table13[[#This Row],[Previous Quartile]]="SecondQuartile", 2,
 IF(Table13[[#This Row],[Previous Quartile]]="ThirdQuartile", 3,
 IF(Table13[[#This Row],[Previous Quartile]]="FourthQuartile", 4, ""))))</f>
        <v>4</v>
      </c>
      <c r="I994" s="9" t="str">
        <f>IF(Table13[[#This Row],[Previous Quartile Value]]="", "",
   IF(Table13[[#This Row],[Quartile Value]] &lt; Table13[[#This Row],[Previous Quartile Value]], "Improved",
   IF(Table13[[#This Row],[Quartile Value]] &gt; Table13[[#This Row],[Previous Quartile Value]], "Dropped", "Same")))</f>
        <v>Same</v>
      </c>
      <c r="J994" s="9" t="s">
        <v>18</v>
      </c>
      <c r="K994" s="7" t="str">
        <f>VLOOKUP(J994,Introduction!$B$6:$C$14,2)</f>
        <v>Midlands</v>
      </c>
      <c r="L994" s="11">
        <v>164</v>
      </c>
      <c r="M994" s="12" t="s">
        <v>425</v>
      </c>
    </row>
    <row r="995" spans="1:13" ht="19.95" customHeight="1" x14ac:dyDescent="0.25">
      <c r="A995" s="41">
        <v>45383</v>
      </c>
      <c r="B995" s="47">
        <f>MONTH(Table13[[#This Row],[YearMonth]])</f>
        <v>4</v>
      </c>
      <c r="C995" s="9" t="s">
        <v>309</v>
      </c>
      <c r="D995" s="6" t="s">
        <v>350</v>
      </c>
      <c r="E995" s="6">
        <f>IF(Table13[[#This Row],[Quartile]]="TopQuartile", 1,
 IF(Table13[[#This Row],[Quartile]]="SecondQuartile", 2,
 IF(Table13[[#This Row],[Quartile]]="ThirdQuartile", 3,
 IF(Table13[[#This Row],[Quartile]]="FourthQuartile", 4, ""))))</f>
        <v>4</v>
      </c>
      <c r="F995" s="9" t="s">
        <v>474</v>
      </c>
      <c r="G995" s="9" t="str" cm="1">
        <f t="array" ref="G995">IFERROR(
  INDEX(Table13[Quartile],
    MATCH(1,
      (Table13[[#This Row],[OrgName]]=Table13[OrgName]) *
      (Table13[[#This Row],[Month Number]]-1=Table13[Month Number]),
    0)
  ),
"")</f>
        <v>FourthQuartile</v>
      </c>
      <c r="H995" s="9">
        <f>IF(Table13[[#This Row],[Previous Quartile]]="TopQuartile", 1,
 IF(Table13[[#This Row],[Previous Quartile]]="SecondQuartile", 2,
 IF(Table13[[#This Row],[Previous Quartile]]="ThirdQuartile", 3,
 IF(Table13[[#This Row],[Previous Quartile]]="FourthQuartile", 4, ""))))</f>
        <v>4</v>
      </c>
      <c r="I995" s="9" t="str">
        <f>IF(Table13[[#This Row],[Previous Quartile Value]]="", "",
   IF(Table13[[#This Row],[Quartile Value]] &lt; Table13[[#This Row],[Previous Quartile Value]], "Improved",
   IF(Table13[[#This Row],[Quartile Value]] &gt; Table13[[#This Row],[Previous Quartile Value]], "Dropped", "Same")))</f>
        <v>Same</v>
      </c>
      <c r="J995" s="9" t="s">
        <v>20</v>
      </c>
      <c r="K995" s="7" t="str">
        <f>VLOOKUP(J995,Introduction!$B$6:$C$14,2)</f>
        <v>East of England</v>
      </c>
      <c r="L995" s="11">
        <v>234</v>
      </c>
      <c r="M995" s="12" t="s">
        <v>425</v>
      </c>
    </row>
    <row r="996" spans="1:13" ht="19.95" customHeight="1" x14ac:dyDescent="0.25">
      <c r="A996" s="41">
        <v>45383</v>
      </c>
      <c r="B996" s="47">
        <f>MONTH(Table13[[#This Row],[YearMonth]])</f>
        <v>4</v>
      </c>
      <c r="C996" s="9" t="s">
        <v>183</v>
      </c>
      <c r="D996" s="6" t="s">
        <v>338</v>
      </c>
      <c r="E996" s="6">
        <f>IF(Table13[[#This Row],[Quartile]]="TopQuartile", 1,
 IF(Table13[[#This Row],[Quartile]]="SecondQuartile", 2,
 IF(Table13[[#This Row],[Quartile]]="ThirdQuartile", 3,
 IF(Table13[[#This Row],[Quartile]]="FourthQuartile", 4, ""))))</f>
        <v>2</v>
      </c>
      <c r="F996" s="9" t="s">
        <v>477</v>
      </c>
      <c r="G996" s="9" t="str" cm="1">
        <f t="array" ref="G996">IFERROR(
  INDEX(Table13[Quartile],
    MATCH(1,
      (Table13[[#This Row],[OrgName]]=Table13[OrgName]) *
      (Table13[[#This Row],[Month Number]]-1=Table13[Month Number]),
    0)
  ),
"")</f>
        <v>SecondQuartile</v>
      </c>
      <c r="H996" s="9">
        <f>IF(Table13[[#This Row],[Previous Quartile]]="TopQuartile", 1,
 IF(Table13[[#This Row],[Previous Quartile]]="SecondQuartile", 2,
 IF(Table13[[#This Row],[Previous Quartile]]="ThirdQuartile", 3,
 IF(Table13[[#This Row],[Previous Quartile]]="FourthQuartile", 4, ""))))</f>
        <v>2</v>
      </c>
      <c r="I996" s="9" t="str">
        <f>IF(Table13[[#This Row],[Previous Quartile Value]]="", "",
   IF(Table13[[#This Row],[Quartile Value]] &lt; Table13[[#This Row],[Previous Quartile Value]], "Improved",
   IF(Table13[[#This Row],[Quartile Value]] &gt; Table13[[#This Row],[Previous Quartile Value]], "Dropped", "Same")))</f>
        <v>Same</v>
      </c>
      <c r="J996" s="9" t="s">
        <v>18</v>
      </c>
      <c r="K996" s="7" t="str">
        <f>VLOOKUP(J996,Introduction!$B$6:$C$14,2)</f>
        <v>Midlands</v>
      </c>
      <c r="L996" s="11">
        <v>217</v>
      </c>
      <c r="M996" s="12" t="s">
        <v>476</v>
      </c>
    </row>
    <row r="997" spans="1:13" ht="19.95" customHeight="1" x14ac:dyDescent="0.25">
      <c r="A997" s="41">
        <v>45383</v>
      </c>
      <c r="B997" s="47">
        <f>MONTH(Table13[[#This Row],[YearMonth]])</f>
        <v>4</v>
      </c>
      <c r="C997" s="9" t="s">
        <v>180</v>
      </c>
      <c r="D997" s="6" t="s">
        <v>341</v>
      </c>
      <c r="E997" s="6">
        <f>IF(Table13[[#This Row],[Quartile]]="TopQuartile", 1,
 IF(Table13[[#This Row],[Quartile]]="SecondQuartile", 2,
 IF(Table13[[#This Row],[Quartile]]="ThirdQuartile", 3,
 IF(Table13[[#This Row],[Quartile]]="FourthQuartile", 4, ""))))</f>
        <v>3</v>
      </c>
      <c r="F997" s="9" t="s">
        <v>475</v>
      </c>
      <c r="G997" s="9" t="str" cm="1">
        <f t="array" ref="G997">IFERROR(
  INDEX(Table13[Quartile],
    MATCH(1,
      (Table13[[#This Row],[OrgName]]=Table13[OrgName]) *
      (Table13[[#This Row],[Month Number]]-1=Table13[Month Number]),
    0)
  ),
"")</f>
        <v>ThirdQuartile</v>
      </c>
      <c r="H997" s="9">
        <f>IF(Table13[[#This Row],[Previous Quartile]]="TopQuartile", 1,
 IF(Table13[[#This Row],[Previous Quartile]]="SecondQuartile", 2,
 IF(Table13[[#This Row],[Previous Quartile]]="ThirdQuartile", 3,
 IF(Table13[[#This Row],[Previous Quartile]]="FourthQuartile", 4, ""))))</f>
        <v>3</v>
      </c>
      <c r="I997" s="9" t="str">
        <f>IF(Table13[[#This Row],[Previous Quartile Value]]="", "",
   IF(Table13[[#This Row],[Quartile Value]] &lt; Table13[[#This Row],[Previous Quartile Value]], "Improved",
   IF(Table13[[#This Row],[Quartile Value]] &gt; Table13[[#This Row],[Previous Quartile Value]], "Dropped", "Same")))</f>
        <v>Same</v>
      </c>
      <c r="J997" s="9" t="s">
        <v>16</v>
      </c>
      <c r="K997" s="7" t="str">
        <f>VLOOKUP(J997,Introduction!$B$6:$C$14,2)</f>
        <v>South East</v>
      </c>
      <c r="L997" s="11">
        <v>278</v>
      </c>
      <c r="M997" s="12" t="s">
        <v>476</v>
      </c>
    </row>
    <row r="998" spans="1:13" ht="19.95" customHeight="1" x14ac:dyDescent="0.25">
      <c r="A998" s="41">
        <v>45383</v>
      </c>
      <c r="B998" s="47">
        <f>MONTH(Table13[[#This Row],[YearMonth]])</f>
        <v>4</v>
      </c>
      <c r="C998" s="9" t="s">
        <v>201</v>
      </c>
      <c r="D998" s="6" t="s">
        <v>341</v>
      </c>
      <c r="E998" s="6">
        <f>IF(Table13[[#This Row],[Quartile]]="TopQuartile", 1,
 IF(Table13[[#This Row],[Quartile]]="SecondQuartile", 2,
 IF(Table13[[#This Row],[Quartile]]="ThirdQuartile", 3,
 IF(Table13[[#This Row],[Quartile]]="FourthQuartile", 4, ""))))</f>
        <v>3</v>
      </c>
      <c r="F998" s="9" t="s">
        <v>478</v>
      </c>
      <c r="G998" s="9" t="str" cm="1">
        <f t="array" ref="G998">IFERROR(
  INDEX(Table13[Quartile],
    MATCH(1,
      (Table13[[#This Row],[OrgName]]=Table13[OrgName]) *
      (Table13[[#This Row],[Month Number]]-1=Table13[Month Number]),
    0)
  ),
"")</f>
        <v>ThirdQuartile</v>
      </c>
      <c r="H998" s="9">
        <f>IF(Table13[[#This Row],[Previous Quartile]]="TopQuartile", 1,
 IF(Table13[[#This Row],[Previous Quartile]]="SecondQuartile", 2,
 IF(Table13[[#This Row],[Previous Quartile]]="ThirdQuartile", 3,
 IF(Table13[[#This Row],[Previous Quartile]]="FourthQuartile", 4, ""))))</f>
        <v>3</v>
      </c>
      <c r="I998" s="9" t="str">
        <f>IF(Table13[[#This Row],[Previous Quartile Value]]="", "",
   IF(Table13[[#This Row],[Quartile Value]] &lt; Table13[[#This Row],[Previous Quartile Value]], "Improved",
   IF(Table13[[#This Row],[Quartile Value]] &gt; Table13[[#This Row],[Previous Quartile Value]], "Dropped", "Same")))</f>
        <v>Same</v>
      </c>
      <c r="J998" s="9" t="s">
        <v>16</v>
      </c>
      <c r="K998" s="7" t="str">
        <f>VLOOKUP(J998,Introduction!$B$6:$C$14,2)</f>
        <v>South East</v>
      </c>
      <c r="L998" s="11">
        <v>195</v>
      </c>
      <c r="M998" s="12" t="s">
        <v>476</v>
      </c>
    </row>
    <row r="999" spans="1:13" ht="19.95" customHeight="1" x14ac:dyDescent="0.25">
      <c r="A999" s="41">
        <v>45383</v>
      </c>
      <c r="B999" s="47">
        <f>MONTH(Table13[[#This Row],[YearMonth]])</f>
        <v>4</v>
      </c>
      <c r="C999" s="9" t="s">
        <v>263</v>
      </c>
      <c r="D999" s="6" t="s">
        <v>350</v>
      </c>
      <c r="E999" s="6">
        <f>IF(Table13[[#This Row],[Quartile]]="TopQuartile", 1,
 IF(Table13[[#This Row],[Quartile]]="SecondQuartile", 2,
 IF(Table13[[#This Row],[Quartile]]="ThirdQuartile", 3,
 IF(Table13[[#This Row],[Quartile]]="FourthQuartile", 4, ""))))</f>
        <v>4</v>
      </c>
      <c r="F999" s="9" t="s">
        <v>479</v>
      </c>
      <c r="G999" s="9" t="str" cm="1">
        <f t="array" ref="G999">IFERROR(
  INDEX(Table13[Quartile],
    MATCH(1,
      (Table13[[#This Row],[OrgName]]=Table13[OrgName]) *
      (Table13[[#This Row],[Month Number]]-1=Table13[Month Number]),
    0)
  ),
"")</f>
        <v>FourthQuartile</v>
      </c>
      <c r="H999" s="9">
        <f>IF(Table13[[#This Row],[Previous Quartile]]="TopQuartile", 1,
 IF(Table13[[#This Row],[Previous Quartile]]="SecondQuartile", 2,
 IF(Table13[[#This Row],[Previous Quartile]]="ThirdQuartile", 3,
 IF(Table13[[#This Row],[Previous Quartile]]="FourthQuartile", 4, ""))))</f>
        <v>4</v>
      </c>
      <c r="I999" s="9" t="str">
        <f>IF(Table13[[#This Row],[Previous Quartile Value]]="", "",
   IF(Table13[[#This Row],[Quartile Value]] &lt; Table13[[#This Row],[Previous Quartile Value]], "Improved",
   IF(Table13[[#This Row],[Quartile Value]] &gt; Table13[[#This Row],[Previous Quartile Value]], "Dropped", "Same")))</f>
        <v>Same</v>
      </c>
      <c r="J999" s="9" t="s">
        <v>24</v>
      </c>
      <c r="K999" s="7" t="str">
        <f>VLOOKUP(J999,Introduction!$B$6:$C$14,2)</f>
        <v>North East and Yorkshire</v>
      </c>
      <c r="L999" s="11">
        <v>340</v>
      </c>
      <c r="M999" s="12" t="s">
        <v>476</v>
      </c>
    </row>
    <row r="1000" spans="1:13" ht="19.95" customHeight="1" x14ac:dyDescent="0.25">
      <c r="A1000" s="41">
        <v>45383</v>
      </c>
      <c r="B1000" s="47">
        <f>MONTH(Table13[[#This Row],[YearMonth]])</f>
        <v>4</v>
      </c>
      <c r="C1000" s="9" t="s">
        <v>278</v>
      </c>
      <c r="D1000" s="6" t="s">
        <v>350</v>
      </c>
      <c r="E1000" s="6">
        <f>IF(Table13[[#This Row],[Quartile]]="TopQuartile", 1,
 IF(Table13[[#This Row],[Quartile]]="SecondQuartile", 2,
 IF(Table13[[#This Row],[Quartile]]="ThirdQuartile", 3,
 IF(Table13[[#This Row],[Quartile]]="FourthQuartile", 4, ""))))</f>
        <v>4</v>
      </c>
      <c r="F1000" s="9" t="s">
        <v>481</v>
      </c>
      <c r="G1000" s="9" t="str" cm="1">
        <f t="array" ref="G1000">IFERROR(
  INDEX(Table13[Quartile],
    MATCH(1,
      (Table13[[#This Row],[OrgName]]=Table13[OrgName]) *
      (Table13[[#This Row],[Month Number]]-1=Table13[Month Number]),
    0)
  ),
"")</f>
        <v>FourthQuartile</v>
      </c>
      <c r="H1000" s="9">
        <f>IF(Table13[[#This Row],[Previous Quartile]]="TopQuartile", 1,
 IF(Table13[[#This Row],[Previous Quartile]]="SecondQuartile", 2,
 IF(Table13[[#This Row],[Previous Quartile]]="ThirdQuartile", 3,
 IF(Table13[[#This Row],[Previous Quartile]]="FourthQuartile", 4, ""))))</f>
        <v>4</v>
      </c>
      <c r="I1000" s="9" t="str">
        <f>IF(Table13[[#This Row],[Previous Quartile Value]]="", "",
   IF(Table13[[#This Row],[Quartile Value]] &lt; Table13[[#This Row],[Previous Quartile Value]], "Improved",
   IF(Table13[[#This Row],[Quartile Value]] &gt; Table13[[#This Row],[Previous Quartile Value]], "Dropped", "Same")))</f>
        <v>Same</v>
      </c>
      <c r="J1000" s="9" t="s">
        <v>20</v>
      </c>
      <c r="K1000" s="7" t="str">
        <f>VLOOKUP(J1000,Introduction!$B$6:$C$14,2)</f>
        <v>East of England</v>
      </c>
      <c r="L1000" s="11">
        <v>247</v>
      </c>
      <c r="M1000" s="12" t="s">
        <v>476</v>
      </c>
    </row>
    <row r="1001" spans="1:13" ht="19.95" customHeight="1" x14ac:dyDescent="0.25">
      <c r="A1001" s="41">
        <v>45383</v>
      </c>
      <c r="B1001" s="47">
        <f>MONTH(Table13[[#This Row],[YearMonth]])</f>
        <v>4</v>
      </c>
      <c r="C1001" s="9" t="s">
        <v>298</v>
      </c>
      <c r="D1001" s="6" t="s">
        <v>350</v>
      </c>
      <c r="E1001" s="6">
        <f>IF(Table13[[#This Row],[Quartile]]="TopQuartile", 1,
 IF(Table13[[#This Row],[Quartile]]="SecondQuartile", 2,
 IF(Table13[[#This Row],[Quartile]]="ThirdQuartile", 3,
 IF(Table13[[#This Row],[Quartile]]="FourthQuartile", 4, ""))))</f>
        <v>4</v>
      </c>
      <c r="F1001" s="9" t="s">
        <v>484</v>
      </c>
      <c r="G1001" s="9" t="str" cm="1">
        <f t="array" ref="G1001">IFERROR(
  INDEX(Table13[Quartile],
    MATCH(1,
      (Table13[[#This Row],[OrgName]]=Table13[OrgName]) *
      (Table13[[#This Row],[Month Number]]-1=Table13[Month Number]),
    0)
  ),
"")</f>
        <v>FourthQuartile</v>
      </c>
      <c r="H1001" s="9">
        <f>IF(Table13[[#This Row],[Previous Quartile]]="TopQuartile", 1,
 IF(Table13[[#This Row],[Previous Quartile]]="SecondQuartile", 2,
 IF(Table13[[#This Row],[Previous Quartile]]="ThirdQuartile", 3,
 IF(Table13[[#This Row],[Previous Quartile]]="FourthQuartile", 4, ""))))</f>
        <v>4</v>
      </c>
      <c r="I1001" s="9" t="str">
        <f>IF(Table13[[#This Row],[Previous Quartile Value]]="", "",
   IF(Table13[[#This Row],[Quartile Value]] &lt; Table13[[#This Row],[Previous Quartile Value]], "Improved",
   IF(Table13[[#This Row],[Quartile Value]] &gt; Table13[[#This Row],[Previous Quartile Value]], "Dropped", "Same")))</f>
        <v>Same</v>
      </c>
      <c r="J1001" s="9" t="s">
        <v>14</v>
      </c>
      <c r="K1001" s="7" t="str">
        <f>VLOOKUP(J1001,Introduction!$B$6:$C$14,2)</f>
        <v>South West</v>
      </c>
      <c r="L1001" s="11">
        <v>202</v>
      </c>
      <c r="M1001" s="12" t="s">
        <v>476</v>
      </c>
    </row>
    <row r="1002" spans="1:13" ht="19.95" customHeight="1" x14ac:dyDescent="0.25">
      <c r="A1002" s="41">
        <v>45383</v>
      </c>
      <c r="B1002" s="47">
        <f>MONTH(Table13[[#This Row],[YearMonth]])</f>
        <v>4</v>
      </c>
      <c r="C1002" s="9" t="s">
        <v>274</v>
      </c>
      <c r="D1002" s="6" t="s">
        <v>350</v>
      </c>
      <c r="E1002" s="6">
        <f>IF(Table13[[#This Row],[Quartile]]="TopQuartile", 1,
 IF(Table13[[#This Row],[Quartile]]="SecondQuartile", 2,
 IF(Table13[[#This Row],[Quartile]]="ThirdQuartile", 3,
 IF(Table13[[#This Row],[Quartile]]="FourthQuartile", 4, ""))))</f>
        <v>4</v>
      </c>
      <c r="F1002" s="9" t="s">
        <v>480</v>
      </c>
      <c r="G1002" s="9" t="str" cm="1">
        <f t="array" ref="G1002">IFERROR(
  INDEX(Table13[Quartile],
    MATCH(1,
      (Table13[[#This Row],[OrgName]]=Table13[OrgName]) *
      (Table13[[#This Row],[Month Number]]-1=Table13[Month Number]),
    0)
  ),
"")</f>
        <v>FourthQuartile</v>
      </c>
      <c r="H1002" s="9">
        <f>IF(Table13[[#This Row],[Previous Quartile]]="TopQuartile", 1,
 IF(Table13[[#This Row],[Previous Quartile]]="SecondQuartile", 2,
 IF(Table13[[#This Row],[Previous Quartile]]="ThirdQuartile", 3,
 IF(Table13[[#This Row],[Previous Quartile]]="FourthQuartile", 4, ""))))</f>
        <v>4</v>
      </c>
      <c r="I1002" s="9" t="str">
        <f>IF(Table13[[#This Row],[Previous Quartile Value]]="", "",
   IF(Table13[[#This Row],[Quartile Value]] &lt; Table13[[#This Row],[Previous Quartile Value]], "Improved",
   IF(Table13[[#This Row],[Quartile Value]] &gt; Table13[[#This Row],[Previous Quartile Value]], "Dropped", "Same")))</f>
        <v>Same</v>
      </c>
      <c r="J1002" s="9" t="s">
        <v>24</v>
      </c>
      <c r="K1002" s="7" t="str">
        <f>VLOOKUP(J1002,Introduction!$B$6:$C$14,2)</f>
        <v>North East and Yorkshire</v>
      </c>
      <c r="L1002" s="11">
        <v>174</v>
      </c>
      <c r="M1002" s="12" t="s">
        <v>476</v>
      </c>
    </row>
    <row r="1003" spans="1:13" ht="19.95" customHeight="1" x14ac:dyDescent="0.25">
      <c r="A1003" s="41">
        <v>45383</v>
      </c>
      <c r="B1003" s="47">
        <f>MONTH(Table13[[#This Row],[YearMonth]])</f>
        <v>4</v>
      </c>
      <c r="C1003" s="9" t="s">
        <v>285</v>
      </c>
      <c r="D1003" s="6" t="s">
        <v>350</v>
      </c>
      <c r="E1003" s="6">
        <f>IF(Table13[[#This Row],[Quartile]]="TopQuartile", 1,
 IF(Table13[[#This Row],[Quartile]]="SecondQuartile", 2,
 IF(Table13[[#This Row],[Quartile]]="ThirdQuartile", 3,
 IF(Table13[[#This Row],[Quartile]]="FourthQuartile", 4, ""))))</f>
        <v>4</v>
      </c>
      <c r="F1003" s="9" t="s">
        <v>483</v>
      </c>
      <c r="G1003" s="9" t="str" cm="1">
        <f t="array" ref="G1003">IFERROR(
  INDEX(Table13[Quartile],
    MATCH(1,
      (Table13[[#This Row],[OrgName]]=Table13[OrgName]) *
      (Table13[[#This Row],[Month Number]]-1=Table13[Month Number]),
    0)
  ),
"")</f>
        <v>FourthQuartile</v>
      </c>
      <c r="H1003" s="9">
        <f>IF(Table13[[#This Row],[Previous Quartile]]="TopQuartile", 1,
 IF(Table13[[#This Row],[Previous Quartile]]="SecondQuartile", 2,
 IF(Table13[[#This Row],[Previous Quartile]]="ThirdQuartile", 3,
 IF(Table13[[#This Row],[Previous Quartile]]="FourthQuartile", 4, ""))))</f>
        <v>4</v>
      </c>
      <c r="I1003" s="9" t="str">
        <f>IF(Table13[[#This Row],[Previous Quartile Value]]="", "",
   IF(Table13[[#This Row],[Quartile Value]] &lt; Table13[[#This Row],[Previous Quartile Value]], "Improved",
   IF(Table13[[#This Row],[Quartile Value]] &gt; Table13[[#This Row],[Previous Quartile Value]], "Dropped", "Same")))</f>
        <v>Same</v>
      </c>
      <c r="J1003" s="9" t="s">
        <v>22</v>
      </c>
      <c r="K1003" s="7" t="str">
        <f>VLOOKUP(J1003,Introduction!$B$6:$C$14,2)</f>
        <v>North West</v>
      </c>
      <c r="L1003" s="11">
        <v>242</v>
      </c>
      <c r="M1003" s="12" t="s">
        <v>476</v>
      </c>
    </row>
    <row r="1004" spans="1:13" ht="19.95" customHeight="1" x14ac:dyDescent="0.25">
      <c r="A1004" s="41">
        <v>45383</v>
      </c>
      <c r="B1004" s="47">
        <f>MONTH(Table13[[#This Row],[YearMonth]])</f>
        <v>4</v>
      </c>
      <c r="C1004" s="9" t="s">
        <v>279</v>
      </c>
      <c r="D1004" s="6" t="s">
        <v>350</v>
      </c>
      <c r="E1004" s="6">
        <f>IF(Table13[[#This Row],[Quartile]]="TopQuartile", 1,
 IF(Table13[[#This Row],[Quartile]]="SecondQuartile", 2,
 IF(Table13[[#This Row],[Quartile]]="ThirdQuartile", 3,
 IF(Table13[[#This Row],[Quartile]]="FourthQuartile", 4, ""))))</f>
        <v>4</v>
      </c>
      <c r="F1004" s="9" t="s">
        <v>482</v>
      </c>
      <c r="G1004" s="9" t="str" cm="1">
        <f t="array" ref="G1004">IFERROR(
  INDEX(Table13[Quartile],
    MATCH(1,
      (Table13[[#This Row],[OrgName]]=Table13[OrgName]) *
      (Table13[[#This Row],[Month Number]]-1=Table13[Month Number]),
    0)
  ),
"")</f>
        <v>FourthQuartile</v>
      </c>
      <c r="H1004" s="9">
        <f>IF(Table13[[#This Row],[Previous Quartile]]="TopQuartile", 1,
 IF(Table13[[#This Row],[Previous Quartile]]="SecondQuartile", 2,
 IF(Table13[[#This Row],[Previous Quartile]]="ThirdQuartile", 3,
 IF(Table13[[#This Row],[Previous Quartile]]="FourthQuartile", 4, ""))))</f>
        <v>4</v>
      </c>
      <c r="I1004" s="9" t="str">
        <f>IF(Table13[[#This Row],[Previous Quartile Value]]="", "",
   IF(Table13[[#This Row],[Quartile Value]] &lt; Table13[[#This Row],[Previous Quartile Value]], "Improved",
   IF(Table13[[#This Row],[Quartile Value]] &gt; Table13[[#This Row],[Previous Quartile Value]], "Dropped", "Same")))</f>
        <v>Same</v>
      </c>
      <c r="J1004" s="9" t="s">
        <v>12</v>
      </c>
      <c r="K1004" s="7" t="str">
        <f>VLOOKUP(J1004,Introduction!$B$6:$C$14,2)</f>
        <v>London</v>
      </c>
      <c r="L1004" s="11">
        <v>308</v>
      </c>
      <c r="M1004" s="12" t="s">
        <v>476</v>
      </c>
    </row>
    <row r="1005" spans="1:13" ht="19.95" customHeight="1" x14ac:dyDescent="0.25">
      <c r="A1005" s="41">
        <v>45383</v>
      </c>
      <c r="B1005" s="47">
        <f>MONTH(Table13[[#This Row],[YearMonth]])</f>
        <v>4</v>
      </c>
      <c r="C1005" s="9" t="s">
        <v>308</v>
      </c>
      <c r="D1005" s="6" t="s">
        <v>350</v>
      </c>
      <c r="E1005" s="6">
        <f>IF(Table13[[#This Row],[Quartile]]="TopQuartile", 1,
 IF(Table13[[#This Row],[Quartile]]="SecondQuartile", 2,
 IF(Table13[[#This Row],[Quartile]]="ThirdQuartile", 3,
 IF(Table13[[#This Row],[Quartile]]="FourthQuartile", 4, ""))))</f>
        <v>4</v>
      </c>
      <c r="F1005" s="9" t="s">
        <v>485</v>
      </c>
      <c r="G1005" s="9" t="str" cm="1">
        <f t="array" ref="G1005">IFERROR(
  INDEX(Table13[Quartile],
    MATCH(1,
      (Table13[[#This Row],[OrgName]]=Table13[OrgName]) *
      (Table13[[#This Row],[Month Number]]-1=Table13[Month Number]),
    0)
  ),
"")</f>
        <v>FourthQuartile</v>
      </c>
      <c r="H1005" s="9">
        <f>IF(Table13[[#This Row],[Previous Quartile]]="TopQuartile", 1,
 IF(Table13[[#This Row],[Previous Quartile]]="SecondQuartile", 2,
 IF(Table13[[#This Row],[Previous Quartile]]="ThirdQuartile", 3,
 IF(Table13[[#This Row],[Previous Quartile]]="FourthQuartile", 4, ""))))</f>
        <v>4</v>
      </c>
      <c r="I1005" s="9" t="str">
        <f>IF(Table13[[#This Row],[Previous Quartile Value]]="", "",
   IF(Table13[[#This Row],[Quartile Value]] &lt; Table13[[#This Row],[Previous Quartile Value]], "Improved",
   IF(Table13[[#This Row],[Quartile Value]] &gt; Table13[[#This Row],[Previous Quartile Value]], "Dropped", "Same")))</f>
        <v>Same</v>
      </c>
      <c r="J1005" s="9" t="s">
        <v>18</v>
      </c>
      <c r="K1005" s="7" t="str">
        <f>VLOOKUP(J1005,Introduction!$B$6:$C$14,2)</f>
        <v>Midlands</v>
      </c>
      <c r="L1005" s="11">
        <v>335</v>
      </c>
      <c r="M1005" s="12" t="s">
        <v>476</v>
      </c>
    </row>
    <row r="1006" spans="1:13" ht="19.95" customHeight="1" x14ac:dyDescent="0.25">
      <c r="A1006" s="41">
        <v>45383</v>
      </c>
      <c r="B1006" s="47">
        <f>MONTH(Table13[[#This Row],[YearMonth]])</f>
        <v>4</v>
      </c>
      <c r="C1006" s="9" t="s">
        <v>90</v>
      </c>
      <c r="D1006" s="6" t="s">
        <v>338</v>
      </c>
      <c r="E1006" s="6">
        <f>IF(Table13[[#This Row],[Quartile]]="TopQuartile", 1,
 IF(Table13[[#This Row],[Quartile]]="SecondQuartile", 2,
 IF(Table13[[#This Row],[Quartile]]="ThirdQuartile", 3,
 IF(Table13[[#This Row],[Quartile]]="FourthQuartile", 4, ""))))</f>
        <v>2</v>
      </c>
      <c r="F1006" s="9" t="s">
        <v>486</v>
      </c>
      <c r="G1006" s="9" t="str" cm="1">
        <f t="array" ref="G1006">IFERROR(
  INDEX(Table13[Quartile],
    MATCH(1,
      (Table13[[#This Row],[OrgName]]=Table13[OrgName]) *
      (Table13[[#This Row],[Month Number]]-1=Table13[Month Number]),
    0)
  ),
"")</f>
        <v>SecondQuartile</v>
      </c>
      <c r="H1006" s="9">
        <f>IF(Table13[[#This Row],[Previous Quartile]]="TopQuartile", 1,
 IF(Table13[[#This Row],[Previous Quartile]]="SecondQuartile", 2,
 IF(Table13[[#This Row],[Previous Quartile]]="ThirdQuartile", 3,
 IF(Table13[[#This Row],[Previous Quartile]]="FourthQuartile", 4, ""))))</f>
        <v>2</v>
      </c>
      <c r="I1006" s="9" t="str">
        <f>IF(Table13[[#This Row],[Previous Quartile Value]]="", "",
   IF(Table13[[#This Row],[Quartile Value]] &lt; Table13[[#This Row],[Previous Quartile Value]], "Improved",
   IF(Table13[[#This Row],[Quartile Value]] &gt; Table13[[#This Row],[Previous Quartile Value]], "Dropped", "Same")))</f>
        <v>Same</v>
      </c>
      <c r="J1006" s="9" t="s">
        <v>24</v>
      </c>
      <c r="K1006" s="7" t="str">
        <f>VLOOKUP(J1006,Introduction!$B$6:$C$14,2)</f>
        <v>North East and Yorkshire</v>
      </c>
      <c r="L1006" s="11">
        <v>453</v>
      </c>
      <c r="M1006" s="12" t="s">
        <v>487</v>
      </c>
    </row>
    <row r="1007" spans="1:13" ht="19.95" customHeight="1" x14ac:dyDescent="0.25">
      <c r="A1007" s="41">
        <v>45383</v>
      </c>
      <c r="B1007" s="47">
        <f>MONTH(Table13[[#This Row],[YearMonth]])</f>
        <v>4</v>
      </c>
      <c r="C1007" s="9" t="s">
        <v>132</v>
      </c>
      <c r="D1007" s="6" t="s">
        <v>338</v>
      </c>
      <c r="E1007" s="6">
        <f>IF(Table13[[#This Row],[Quartile]]="TopQuartile", 1,
 IF(Table13[[#This Row],[Quartile]]="SecondQuartile", 2,
 IF(Table13[[#This Row],[Quartile]]="ThirdQuartile", 3,
 IF(Table13[[#This Row],[Quartile]]="FourthQuartile", 4, ""))))</f>
        <v>2</v>
      </c>
      <c r="F1007" s="9" t="s">
        <v>488</v>
      </c>
      <c r="G1007" s="9" t="str" cm="1">
        <f t="array" ref="G1007">IFERROR(
  INDEX(Table13[Quartile],
    MATCH(1,
      (Table13[[#This Row],[OrgName]]=Table13[OrgName]) *
      (Table13[[#This Row],[Month Number]]-1=Table13[Month Number]),
    0)
  ),
"")</f>
        <v>SecondQuartile</v>
      </c>
      <c r="H1007" s="9">
        <f>IF(Table13[[#This Row],[Previous Quartile]]="TopQuartile", 1,
 IF(Table13[[#This Row],[Previous Quartile]]="SecondQuartile", 2,
 IF(Table13[[#This Row],[Previous Quartile]]="ThirdQuartile", 3,
 IF(Table13[[#This Row],[Previous Quartile]]="FourthQuartile", 4, ""))))</f>
        <v>2</v>
      </c>
      <c r="I1007" s="9" t="str">
        <f>IF(Table13[[#This Row],[Previous Quartile Value]]="", "",
   IF(Table13[[#This Row],[Quartile Value]] &lt; Table13[[#This Row],[Previous Quartile Value]], "Improved",
   IF(Table13[[#This Row],[Quartile Value]] &gt; Table13[[#This Row],[Previous Quartile Value]], "Dropped", "Same")))</f>
        <v>Same</v>
      </c>
      <c r="J1007" s="9" t="s">
        <v>24</v>
      </c>
      <c r="K1007" s="7" t="str">
        <f>VLOOKUP(J1007,Introduction!$B$6:$C$14,2)</f>
        <v>North East and Yorkshire</v>
      </c>
      <c r="L1007" s="11">
        <v>457</v>
      </c>
      <c r="M1007" s="12" t="s">
        <v>487</v>
      </c>
    </row>
    <row r="1008" spans="1:13" ht="19.95" customHeight="1" x14ac:dyDescent="0.25">
      <c r="A1008" s="41">
        <v>45383</v>
      </c>
      <c r="B1008" s="47">
        <f>MONTH(Table13[[#This Row],[YearMonth]])</f>
        <v>4</v>
      </c>
      <c r="C1008" s="9" t="s">
        <v>181</v>
      </c>
      <c r="D1008" s="6" t="s">
        <v>350</v>
      </c>
      <c r="E1008" s="6">
        <f>IF(Table13[[#This Row],[Quartile]]="TopQuartile", 1,
 IF(Table13[[#This Row],[Quartile]]="SecondQuartile", 2,
 IF(Table13[[#This Row],[Quartile]]="ThirdQuartile", 3,
 IF(Table13[[#This Row],[Quartile]]="FourthQuartile", 4, ""))))</f>
        <v>4</v>
      </c>
      <c r="F1008" s="9" t="s">
        <v>489</v>
      </c>
      <c r="G1008" s="9" t="str" cm="1">
        <f t="array" ref="G1008">IFERROR(
  INDEX(Table13[Quartile],
    MATCH(1,
      (Table13[[#This Row],[OrgName]]=Table13[OrgName]) *
      (Table13[[#This Row],[Month Number]]-1=Table13[Month Number]),
    0)
  ),
"")</f>
        <v>FourthQuartile</v>
      </c>
      <c r="H1008" s="9">
        <f>IF(Table13[[#This Row],[Previous Quartile]]="TopQuartile", 1,
 IF(Table13[[#This Row],[Previous Quartile]]="SecondQuartile", 2,
 IF(Table13[[#This Row],[Previous Quartile]]="ThirdQuartile", 3,
 IF(Table13[[#This Row],[Previous Quartile]]="FourthQuartile", 4, ""))))</f>
        <v>4</v>
      </c>
      <c r="I1008" s="9" t="str">
        <f>IF(Table13[[#This Row],[Previous Quartile Value]]="", "",
   IF(Table13[[#This Row],[Quartile Value]] &lt; Table13[[#This Row],[Previous Quartile Value]], "Improved",
   IF(Table13[[#This Row],[Quartile Value]] &gt; Table13[[#This Row],[Previous Quartile Value]], "Dropped", "Same")))</f>
        <v>Same</v>
      </c>
      <c r="J1008" s="9" t="s">
        <v>12</v>
      </c>
      <c r="K1008" s="7" t="str">
        <f>VLOOKUP(J1008,Introduction!$B$6:$C$14,2)</f>
        <v>London</v>
      </c>
      <c r="L1008" s="11">
        <v>455</v>
      </c>
      <c r="M1008" s="12" t="s">
        <v>487</v>
      </c>
    </row>
    <row r="1009" spans="1:13" ht="19.95" customHeight="1" x14ac:dyDescent="0.25">
      <c r="A1009" s="41">
        <v>45383</v>
      </c>
      <c r="B1009" s="47">
        <f>MONTH(Table13[[#This Row],[YearMonth]])</f>
        <v>4</v>
      </c>
      <c r="C1009" s="9" t="s">
        <v>45</v>
      </c>
      <c r="D1009" s="6" t="s">
        <v>330</v>
      </c>
      <c r="E1009" s="6">
        <f>IF(Table13[[#This Row],[Quartile]]="TopQuartile", 1,
 IF(Table13[[#This Row],[Quartile]]="SecondQuartile", 2,
 IF(Table13[[#This Row],[Quartile]]="ThirdQuartile", 3,
 IF(Table13[[#This Row],[Quartile]]="FourthQuartile", 4, ""))))</f>
        <v>1</v>
      </c>
      <c r="F1009" s="9" t="s">
        <v>493</v>
      </c>
      <c r="G1009" s="9" t="str" cm="1">
        <f t="array" ref="G1009">IFERROR(
  INDEX(Table13[Quartile],
    MATCH(1,
      (Table13[[#This Row],[OrgName]]=Table13[OrgName]) *
      (Table13[[#This Row],[Month Number]]-1=Table13[Month Number]),
    0)
  ),
"")</f>
        <v>TopQuartile</v>
      </c>
      <c r="H1009" s="9">
        <f>IF(Table13[[#This Row],[Previous Quartile]]="TopQuartile", 1,
 IF(Table13[[#This Row],[Previous Quartile]]="SecondQuartile", 2,
 IF(Table13[[#This Row],[Previous Quartile]]="ThirdQuartile", 3,
 IF(Table13[[#This Row],[Previous Quartile]]="FourthQuartile", 4, ""))))</f>
        <v>1</v>
      </c>
      <c r="I1009" s="9" t="str">
        <f>IF(Table13[[#This Row],[Previous Quartile Value]]="", "",
   IF(Table13[[#This Row],[Quartile Value]] &lt; Table13[[#This Row],[Previous Quartile Value]], "Improved",
   IF(Table13[[#This Row],[Quartile Value]] &gt; Table13[[#This Row],[Previous Quartile Value]], "Dropped", "Same")))</f>
        <v>Same</v>
      </c>
      <c r="J1009" s="9" t="s">
        <v>10</v>
      </c>
      <c r="K1009" s="7" t="str">
        <f>VLOOKUP(J1009,Introduction!$B$6:$C$14,2)</f>
        <v>Special Health Authorities and other statutory bodies</v>
      </c>
      <c r="L1009" s="11">
        <v>877</v>
      </c>
      <c r="M1009" s="12" t="s">
        <v>491</v>
      </c>
    </row>
    <row r="1010" spans="1:13" ht="19.95" customHeight="1" x14ac:dyDescent="0.25">
      <c r="A1010" s="41">
        <v>45383</v>
      </c>
      <c r="B1010" s="47">
        <f>MONTH(Table13[[#This Row],[YearMonth]])</f>
        <v>4</v>
      </c>
      <c r="C1010" s="9" t="s">
        <v>35</v>
      </c>
      <c r="D1010" s="6" t="s">
        <v>330</v>
      </c>
      <c r="E1010" s="6">
        <f>IF(Table13[[#This Row],[Quartile]]="TopQuartile", 1,
 IF(Table13[[#This Row],[Quartile]]="SecondQuartile", 2,
 IF(Table13[[#This Row],[Quartile]]="ThirdQuartile", 3,
 IF(Table13[[#This Row],[Quartile]]="FourthQuartile", 4, ""))))</f>
        <v>1</v>
      </c>
      <c r="F1010" s="9" t="s">
        <v>492</v>
      </c>
      <c r="G1010" s="9" t="str" cm="1">
        <f t="array" ref="G1010">IFERROR(
  INDEX(Table13[Quartile],
    MATCH(1,
      (Table13[[#This Row],[OrgName]]=Table13[OrgName]) *
      (Table13[[#This Row],[Month Number]]-1=Table13[Month Number]),
    0)
  ),
"")</f>
        <v>TopQuartile</v>
      </c>
      <c r="H1010" s="9">
        <f>IF(Table13[[#This Row],[Previous Quartile]]="TopQuartile", 1,
 IF(Table13[[#This Row],[Previous Quartile]]="SecondQuartile", 2,
 IF(Table13[[#This Row],[Previous Quartile]]="ThirdQuartile", 3,
 IF(Table13[[#This Row],[Previous Quartile]]="FourthQuartile", 4, ""))))</f>
        <v>1</v>
      </c>
      <c r="I1010" s="9" t="str">
        <f>IF(Table13[[#This Row],[Previous Quartile Value]]="", "",
   IF(Table13[[#This Row],[Quartile Value]] &lt; Table13[[#This Row],[Previous Quartile Value]], "Improved",
   IF(Table13[[#This Row],[Quartile Value]] &gt; Table13[[#This Row],[Previous Quartile Value]], "Dropped", "Same")))</f>
        <v>Same</v>
      </c>
      <c r="J1010" s="9" t="s">
        <v>10</v>
      </c>
      <c r="K1010" s="7" t="str">
        <f>VLOOKUP(J1010,Introduction!$B$6:$C$14,2)</f>
        <v>Special Health Authorities and other statutory bodies</v>
      </c>
      <c r="L1010" s="11">
        <v>891</v>
      </c>
      <c r="M1010" s="12" t="s">
        <v>491</v>
      </c>
    </row>
    <row r="1011" spans="1:13" ht="19.95" customHeight="1" x14ac:dyDescent="0.25">
      <c r="A1011" s="41">
        <v>45383</v>
      </c>
      <c r="B1011" s="47">
        <f>MONTH(Table13[[#This Row],[YearMonth]])</f>
        <v>4</v>
      </c>
      <c r="C1011" s="9" t="s">
        <v>130</v>
      </c>
      <c r="D1011" s="6" t="s">
        <v>338</v>
      </c>
      <c r="E1011" s="6">
        <f>IF(Table13[[#This Row],[Quartile]]="TopQuartile", 1,
 IF(Table13[[#This Row],[Quartile]]="SecondQuartile", 2,
 IF(Table13[[#This Row],[Quartile]]="ThirdQuartile", 3,
 IF(Table13[[#This Row],[Quartile]]="FourthQuartile", 4, ""))))</f>
        <v>2</v>
      </c>
      <c r="F1011" s="9" t="s">
        <v>494</v>
      </c>
      <c r="G1011" s="9" t="str" cm="1">
        <f t="array" ref="G1011">IFERROR(
  INDEX(Table13[Quartile],
    MATCH(1,
      (Table13[[#This Row],[OrgName]]=Table13[OrgName]) *
      (Table13[[#This Row],[Month Number]]-1=Table13[Month Number]),
    0)
  ),
"")</f>
        <v>SecondQuartile</v>
      </c>
      <c r="H1011" s="9">
        <f>IF(Table13[[#This Row],[Previous Quartile]]="TopQuartile", 1,
 IF(Table13[[#This Row],[Previous Quartile]]="SecondQuartile", 2,
 IF(Table13[[#This Row],[Previous Quartile]]="ThirdQuartile", 3,
 IF(Table13[[#This Row],[Previous Quartile]]="FourthQuartile", 4, ""))))</f>
        <v>2</v>
      </c>
      <c r="I1011" s="9" t="str">
        <f>IF(Table13[[#This Row],[Previous Quartile Value]]="", "",
   IF(Table13[[#This Row],[Quartile Value]] &lt; Table13[[#This Row],[Previous Quartile Value]], "Improved",
   IF(Table13[[#This Row],[Quartile Value]] &gt; Table13[[#This Row],[Previous Quartile Value]], "Dropped", "Same")))</f>
        <v>Same</v>
      </c>
      <c r="J1011" s="9" t="s">
        <v>10</v>
      </c>
      <c r="K1011" s="7" t="str">
        <f>VLOOKUP(J1011,Introduction!$B$6:$C$14,2)</f>
        <v>Special Health Authorities and other statutory bodies</v>
      </c>
      <c r="L1011" s="11">
        <v>880</v>
      </c>
      <c r="M1011" s="12" t="s">
        <v>491</v>
      </c>
    </row>
    <row r="1012" spans="1:13" ht="19.95" customHeight="1" x14ac:dyDescent="0.25">
      <c r="A1012" s="41">
        <v>45383</v>
      </c>
      <c r="B1012" s="47">
        <f>MONTH(Table13[[#This Row],[YearMonth]])</f>
        <v>4</v>
      </c>
      <c r="C1012" s="9" t="s">
        <v>27</v>
      </c>
      <c r="D1012" s="6" t="s">
        <v>350</v>
      </c>
      <c r="E1012" s="6">
        <f>IF(Table13[[#This Row],[Quartile]]="TopQuartile", 1,
 IF(Table13[[#This Row],[Quartile]]="SecondQuartile", 2,
 IF(Table13[[#This Row],[Quartile]]="ThirdQuartile", 3,
 IF(Table13[[#This Row],[Quartile]]="FourthQuartile", 4, ""))))</f>
        <v>4</v>
      </c>
      <c r="F1012" s="9" t="s">
        <v>490</v>
      </c>
      <c r="G1012" s="9" t="str" cm="1">
        <f t="array" ref="G1012">IFERROR(
  INDEX(Table13[Quartile],
    MATCH(1,
      (Table13[[#This Row],[OrgName]]=Table13[OrgName]) *
      (Table13[[#This Row],[Month Number]]-1=Table13[Month Number]),
    0)
  ),
"")</f>
        <v>FourthQuartile</v>
      </c>
      <c r="H1012" s="9">
        <f>IF(Table13[[#This Row],[Previous Quartile]]="TopQuartile", 1,
 IF(Table13[[#This Row],[Previous Quartile]]="SecondQuartile", 2,
 IF(Table13[[#This Row],[Previous Quartile]]="ThirdQuartile", 3,
 IF(Table13[[#This Row],[Previous Quartile]]="FourthQuartile", 4, ""))))</f>
        <v>4</v>
      </c>
      <c r="I1012" s="9" t="str">
        <f>IF(Table13[[#This Row],[Previous Quartile Value]]="", "",
   IF(Table13[[#This Row],[Quartile Value]] &lt; Table13[[#This Row],[Previous Quartile Value]], "Improved",
   IF(Table13[[#This Row],[Quartile Value]] &gt; Table13[[#This Row],[Previous Quartile Value]], "Dropped", "Same")))</f>
        <v>Same</v>
      </c>
      <c r="J1012" s="9" t="s">
        <v>10</v>
      </c>
      <c r="K1012" s="7" t="str">
        <f>VLOOKUP(J1012,Introduction!$B$6:$C$14,2)</f>
        <v>Special Health Authorities and other statutory bodies</v>
      </c>
      <c r="L1012" s="11">
        <v>869</v>
      </c>
      <c r="M1012" s="12" t="s">
        <v>491</v>
      </c>
    </row>
    <row r="1013" spans="1:13" ht="19.95" customHeight="1" x14ac:dyDescent="0.25">
      <c r="A1013" s="41">
        <v>45383</v>
      </c>
      <c r="B1013" s="47">
        <f>MONTH(Table13[[#This Row],[YearMonth]])</f>
        <v>4</v>
      </c>
      <c r="C1013" s="9" t="s">
        <v>47</v>
      </c>
      <c r="D1013" s="6" t="s">
        <v>330</v>
      </c>
      <c r="E1013" s="6">
        <f>IF(Table13[[#This Row],[Quartile]]="TopQuartile", 1,
 IF(Table13[[#This Row],[Quartile]]="SecondQuartile", 2,
 IF(Table13[[#This Row],[Quartile]]="ThirdQuartile", 3,
 IF(Table13[[#This Row],[Quartile]]="FourthQuartile", 4, ""))))</f>
        <v>1</v>
      </c>
      <c r="F1013" s="9" t="s">
        <v>498</v>
      </c>
      <c r="G1013" s="9" t="str" cm="1">
        <f t="array" ref="G1013">IFERROR(
  INDEX(Table13[Quartile],
    MATCH(1,
      (Table13[[#This Row],[OrgName]]=Table13[OrgName]) *
      (Table13[[#This Row],[Month Number]]-1=Table13[Month Number]),
    0)
  ),
"")</f>
        <v>TopQuartile</v>
      </c>
      <c r="H1013" s="9">
        <f>IF(Table13[[#This Row],[Previous Quartile]]="TopQuartile", 1,
 IF(Table13[[#This Row],[Previous Quartile]]="SecondQuartile", 2,
 IF(Table13[[#This Row],[Previous Quartile]]="ThirdQuartile", 3,
 IF(Table13[[#This Row],[Previous Quartile]]="FourthQuartile", 4, ""))))</f>
        <v>1</v>
      </c>
      <c r="I1013" s="9" t="str">
        <f>IF(Table13[[#This Row],[Previous Quartile Value]]="", "",
   IF(Table13[[#This Row],[Quartile Value]] &lt; Table13[[#This Row],[Previous Quartile Value]], "Improved",
   IF(Table13[[#This Row],[Quartile Value]] &gt; Table13[[#This Row],[Previous Quartile Value]], "Dropped", "Same")))</f>
        <v>Same</v>
      </c>
      <c r="J1013" s="9" t="s">
        <v>16</v>
      </c>
      <c r="K1013" s="7" t="str">
        <f>VLOOKUP(J1013,Introduction!$B$6:$C$14,2)</f>
        <v>South East</v>
      </c>
      <c r="L1013" s="11">
        <v>846</v>
      </c>
      <c r="M1013" s="12" t="s">
        <v>496</v>
      </c>
    </row>
    <row r="1014" spans="1:13" ht="19.95" customHeight="1" x14ac:dyDescent="0.25">
      <c r="A1014" s="41">
        <v>45383</v>
      </c>
      <c r="B1014" s="47">
        <f>MONTH(Table13[[#This Row],[YearMonth]])</f>
        <v>4</v>
      </c>
      <c r="C1014" s="9" t="s">
        <v>31</v>
      </c>
      <c r="D1014" s="6" t="s">
        <v>330</v>
      </c>
      <c r="E1014" s="6">
        <f>IF(Table13[[#This Row],[Quartile]]="TopQuartile", 1,
 IF(Table13[[#This Row],[Quartile]]="SecondQuartile", 2,
 IF(Table13[[#This Row],[Quartile]]="ThirdQuartile", 3,
 IF(Table13[[#This Row],[Quartile]]="FourthQuartile", 4, ""))))</f>
        <v>1</v>
      </c>
      <c r="F1014" s="9" t="s">
        <v>495</v>
      </c>
      <c r="G1014" s="9" t="str" cm="1">
        <f t="array" ref="G1014">IFERROR(
  INDEX(Table13[Quartile],
    MATCH(1,
      (Table13[[#This Row],[OrgName]]=Table13[OrgName]) *
      (Table13[[#This Row],[Month Number]]-1=Table13[Month Number]),
    0)
  ),
"")</f>
        <v>TopQuartile</v>
      </c>
      <c r="H1014" s="9">
        <f>IF(Table13[[#This Row],[Previous Quartile]]="TopQuartile", 1,
 IF(Table13[[#This Row],[Previous Quartile]]="SecondQuartile", 2,
 IF(Table13[[#This Row],[Previous Quartile]]="ThirdQuartile", 3,
 IF(Table13[[#This Row],[Previous Quartile]]="FourthQuartile", 4, ""))))</f>
        <v>1</v>
      </c>
      <c r="I1014" s="9" t="str">
        <f>IF(Table13[[#This Row],[Previous Quartile Value]]="", "",
   IF(Table13[[#This Row],[Quartile Value]] &lt; Table13[[#This Row],[Previous Quartile Value]], "Improved",
   IF(Table13[[#This Row],[Quartile Value]] &gt; Table13[[#This Row],[Previous Quartile Value]], "Dropped", "Same")))</f>
        <v>Same</v>
      </c>
      <c r="J1014" s="9" t="s">
        <v>16</v>
      </c>
      <c r="K1014" s="7" t="str">
        <f>VLOOKUP(J1014,Introduction!$B$6:$C$14,2)</f>
        <v>South East</v>
      </c>
      <c r="L1014" s="11">
        <v>449</v>
      </c>
      <c r="M1014" s="12" t="s">
        <v>496</v>
      </c>
    </row>
    <row r="1015" spans="1:13" ht="19.95" customHeight="1" x14ac:dyDescent="0.25">
      <c r="A1015" s="41">
        <v>45383</v>
      </c>
      <c r="B1015" s="47">
        <f>MONTH(Table13[[#This Row],[YearMonth]])</f>
        <v>4</v>
      </c>
      <c r="C1015" s="9" t="s">
        <v>98</v>
      </c>
      <c r="D1015" s="6" t="s">
        <v>330</v>
      </c>
      <c r="E1015" s="6">
        <f>IF(Table13[[#This Row],[Quartile]]="TopQuartile", 1,
 IF(Table13[[#This Row],[Quartile]]="SecondQuartile", 2,
 IF(Table13[[#This Row],[Quartile]]="ThirdQuartile", 3,
 IF(Table13[[#This Row],[Quartile]]="FourthQuartile", 4, ""))))</f>
        <v>1</v>
      </c>
      <c r="F1015" s="9" t="s">
        <v>503</v>
      </c>
      <c r="G1015" s="9" t="str" cm="1">
        <f t="array" ref="G1015">IFERROR(
  INDEX(Table13[Quartile],
    MATCH(1,
      (Table13[[#This Row],[OrgName]]=Table13[OrgName]) *
      (Table13[[#This Row],[Month Number]]-1=Table13[Month Number]),
    0)
  ),
"")</f>
        <v>TopQuartile</v>
      </c>
      <c r="H1015" s="9">
        <f>IF(Table13[[#This Row],[Previous Quartile]]="TopQuartile", 1,
 IF(Table13[[#This Row],[Previous Quartile]]="SecondQuartile", 2,
 IF(Table13[[#This Row],[Previous Quartile]]="ThirdQuartile", 3,
 IF(Table13[[#This Row],[Previous Quartile]]="FourthQuartile", 4, ""))))</f>
        <v>1</v>
      </c>
      <c r="I1015" s="9" t="str">
        <f>IF(Table13[[#This Row],[Previous Quartile Value]]="", "",
   IF(Table13[[#This Row],[Quartile Value]] &lt; Table13[[#This Row],[Previous Quartile Value]], "Improved",
   IF(Table13[[#This Row],[Quartile Value]] &gt; Table13[[#This Row],[Previous Quartile Value]], "Dropped", "Same")))</f>
        <v>Same</v>
      </c>
      <c r="J1015" s="9" t="s">
        <v>18</v>
      </c>
      <c r="K1015" s="7" t="str">
        <f>VLOOKUP(J1015,Introduction!$B$6:$C$14,2)</f>
        <v>Midlands</v>
      </c>
      <c r="L1015" s="11">
        <v>825</v>
      </c>
      <c r="M1015" s="12" t="s">
        <v>496</v>
      </c>
    </row>
    <row r="1016" spans="1:13" ht="19.95" customHeight="1" x14ac:dyDescent="0.25">
      <c r="A1016" s="41">
        <v>45383</v>
      </c>
      <c r="B1016" s="47">
        <f>MONTH(Table13[[#This Row],[YearMonth]])</f>
        <v>4</v>
      </c>
      <c r="C1016" s="9" t="s">
        <v>79</v>
      </c>
      <c r="D1016" s="6" t="s">
        <v>330</v>
      </c>
      <c r="E1016" s="6">
        <f>IF(Table13[[#This Row],[Quartile]]="TopQuartile", 1,
 IF(Table13[[#This Row],[Quartile]]="SecondQuartile", 2,
 IF(Table13[[#This Row],[Quartile]]="ThirdQuartile", 3,
 IF(Table13[[#This Row],[Quartile]]="FourthQuartile", 4, ""))))</f>
        <v>1</v>
      </c>
      <c r="F1016" s="9" t="s">
        <v>80</v>
      </c>
      <c r="G1016" s="9" t="str" cm="1">
        <f t="array" ref="G1016">IFERROR(
  INDEX(Table13[Quartile],
    MATCH(1,
      (Table13[[#This Row],[OrgName]]=Table13[OrgName]) *
      (Table13[[#This Row],[Month Number]]-1=Table13[Month Number]),
    0)
  ),
"")</f>
        <v>TopQuartile</v>
      </c>
      <c r="H1016" s="9">
        <f>IF(Table13[[#This Row],[Previous Quartile]]="TopQuartile", 1,
 IF(Table13[[#This Row],[Previous Quartile]]="SecondQuartile", 2,
 IF(Table13[[#This Row],[Previous Quartile]]="ThirdQuartile", 3,
 IF(Table13[[#This Row],[Previous Quartile]]="FourthQuartile", 4, ""))))</f>
        <v>1</v>
      </c>
      <c r="I1016" s="9" t="str">
        <f>IF(Table13[[#This Row],[Previous Quartile Value]]="", "",
   IF(Table13[[#This Row],[Quartile Value]] &lt; Table13[[#This Row],[Previous Quartile Value]], "Improved",
   IF(Table13[[#This Row],[Quartile Value]] &gt; Table13[[#This Row],[Previous Quartile Value]], "Dropped", "Same")))</f>
        <v>Same</v>
      </c>
      <c r="J1016" s="9" t="s">
        <v>24</v>
      </c>
      <c r="K1016" s="7" t="str">
        <f>VLOOKUP(J1016,Introduction!$B$6:$C$14,2)</f>
        <v>North East and Yorkshire</v>
      </c>
      <c r="L1016" s="11">
        <v>98</v>
      </c>
      <c r="M1016" s="12" t="s">
        <v>496</v>
      </c>
    </row>
    <row r="1017" spans="1:13" ht="19.95" customHeight="1" x14ac:dyDescent="0.25">
      <c r="A1017" s="41">
        <v>45383</v>
      </c>
      <c r="B1017" s="47">
        <f>MONTH(Table13[[#This Row],[YearMonth]])</f>
        <v>4</v>
      </c>
      <c r="C1017" s="9" t="s">
        <v>46</v>
      </c>
      <c r="D1017" s="6" t="s">
        <v>330</v>
      </c>
      <c r="E1017" s="6">
        <f>IF(Table13[[#This Row],[Quartile]]="TopQuartile", 1,
 IF(Table13[[#This Row],[Quartile]]="SecondQuartile", 2,
 IF(Table13[[#This Row],[Quartile]]="ThirdQuartile", 3,
 IF(Table13[[#This Row],[Quartile]]="FourthQuartile", 4, ""))))</f>
        <v>1</v>
      </c>
      <c r="F1017" s="9" t="s">
        <v>497</v>
      </c>
      <c r="G1017" s="9" t="str" cm="1">
        <f t="array" ref="G1017">IFERROR(
  INDEX(Table13[Quartile],
    MATCH(1,
      (Table13[[#This Row],[OrgName]]=Table13[OrgName]) *
      (Table13[[#This Row],[Month Number]]-1=Table13[Month Number]),
    0)
  ),
"")</f>
        <v>TopQuartile</v>
      </c>
      <c r="H1017" s="9">
        <f>IF(Table13[[#This Row],[Previous Quartile]]="TopQuartile", 1,
 IF(Table13[[#This Row],[Previous Quartile]]="SecondQuartile", 2,
 IF(Table13[[#This Row],[Previous Quartile]]="ThirdQuartile", 3,
 IF(Table13[[#This Row],[Previous Quartile]]="FourthQuartile", 4, ""))))</f>
        <v>1</v>
      </c>
      <c r="I1017" s="9" t="str">
        <f>IF(Table13[[#This Row],[Previous Quartile Value]]="", "",
   IF(Table13[[#This Row],[Quartile Value]] &lt; Table13[[#This Row],[Previous Quartile Value]], "Improved",
   IF(Table13[[#This Row],[Quartile Value]] &gt; Table13[[#This Row],[Previous Quartile Value]], "Dropped", "Same")))</f>
        <v>Same</v>
      </c>
      <c r="J1017" s="9" t="s">
        <v>16</v>
      </c>
      <c r="K1017" s="7" t="str">
        <f>VLOOKUP(J1017,Introduction!$B$6:$C$14,2)</f>
        <v>South East</v>
      </c>
      <c r="L1017" s="11">
        <v>813</v>
      </c>
      <c r="M1017" s="12" t="s">
        <v>496</v>
      </c>
    </row>
    <row r="1018" spans="1:13" ht="19.95" customHeight="1" x14ac:dyDescent="0.25">
      <c r="A1018" s="41">
        <v>45383</v>
      </c>
      <c r="B1018" s="47">
        <f>MONTH(Table13[[#This Row],[YearMonth]])</f>
        <v>4</v>
      </c>
      <c r="C1018" s="9" t="s">
        <v>112</v>
      </c>
      <c r="D1018" s="6" t="s">
        <v>330</v>
      </c>
      <c r="E1018" s="6">
        <f>IF(Table13[[#This Row],[Quartile]]="TopQuartile", 1,
 IF(Table13[[#This Row],[Quartile]]="SecondQuartile", 2,
 IF(Table13[[#This Row],[Quartile]]="ThirdQuartile", 3,
 IF(Table13[[#This Row],[Quartile]]="FourthQuartile", 4, ""))))</f>
        <v>1</v>
      </c>
      <c r="F1018" s="9" t="s">
        <v>113</v>
      </c>
      <c r="G1018" s="9" t="str" cm="1">
        <f t="array" ref="G1018">IFERROR(
  INDEX(Table13[Quartile],
    MATCH(1,
      (Table13[[#This Row],[OrgName]]=Table13[OrgName]) *
      (Table13[[#This Row],[Month Number]]-1=Table13[Month Number]),
    0)
  ),
"")</f>
        <v>TopQuartile</v>
      </c>
      <c r="H1018" s="9">
        <f>IF(Table13[[#This Row],[Previous Quartile]]="TopQuartile", 1,
 IF(Table13[[#This Row],[Previous Quartile]]="SecondQuartile", 2,
 IF(Table13[[#This Row],[Previous Quartile]]="ThirdQuartile", 3,
 IF(Table13[[#This Row],[Previous Quartile]]="FourthQuartile", 4, ""))))</f>
        <v>1</v>
      </c>
      <c r="I1018" s="9" t="str">
        <f>IF(Table13[[#This Row],[Previous Quartile Value]]="", "",
   IF(Table13[[#This Row],[Quartile Value]] &lt; Table13[[#This Row],[Previous Quartile Value]], "Improved",
   IF(Table13[[#This Row],[Quartile Value]] &gt; Table13[[#This Row],[Previous Quartile Value]], "Dropped", "Same")))</f>
        <v>Same</v>
      </c>
      <c r="J1018" s="9" t="s">
        <v>20</v>
      </c>
      <c r="K1018" s="7" t="str">
        <f>VLOOKUP(J1018,Introduction!$B$6:$C$14,2)</f>
        <v>East of England</v>
      </c>
      <c r="L1018" s="11">
        <v>828</v>
      </c>
      <c r="M1018" s="12" t="s">
        <v>496</v>
      </c>
    </row>
    <row r="1019" spans="1:13" ht="19.95" customHeight="1" x14ac:dyDescent="0.25">
      <c r="A1019" s="41">
        <v>45383</v>
      </c>
      <c r="B1019" s="47">
        <f>MONTH(Table13[[#This Row],[YearMonth]])</f>
        <v>4</v>
      </c>
      <c r="C1019" s="9" t="s">
        <v>86</v>
      </c>
      <c r="D1019" s="6" t="s">
        <v>330</v>
      </c>
      <c r="E1019" s="6">
        <f>IF(Table13[[#This Row],[Quartile]]="TopQuartile", 1,
 IF(Table13[[#This Row],[Quartile]]="SecondQuartile", 2,
 IF(Table13[[#This Row],[Quartile]]="ThirdQuartile", 3,
 IF(Table13[[#This Row],[Quartile]]="FourthQuartile", 4, ""))))</f>
        <v>1</v>
      </c>
      <c r="F1019" s="9" t="s">
        <v>501</v>
      </c>
      <c r="G1019" s="9" t="str" cm="1">
        <f t="array" ref="G1019">IFERROR(
  INDEX(Table13[Quartile],
    MATCH(1,
      (Table13[[#This Row],[OrgName]]=Table13[OrgName]) *
      (Table13[[#This Row],[Month Number]]-1=Table13[Month Number]),
    0)
  ),
"")</f>
        <v>SecondQuartile</v>
      </c>
      <c r="H1019" s="9">
        <f>IF(Table13[[#This Row],[Previous Quartile]]="TopQuartile", 1,
 IF(Table13[[#This Row],[Previous Quartile]]="SecondQuartile", 2,
 IF(Table13[[#This Row],[Previous Quartile]]="ThirdQuartile", 3,
 IF(Table13[[#This Row],[Previous Quartile]]="FourthQuartile", 4, ""))))</f>
        <v>2</v>
      </c>
      <c r="I1019" s="9" t="str">
        <f>IF(Table13[[#This Row],[Previous Quartile Value]]="", "",
   IF(Table13[[#This Row],[Quartile Value]] &lt; Table13[[#This Row],[Previous Quartile Value]], "Improved",
   IF(Table13[[#This Row],[Quartile Value]] &gt; Table13[[#This Row],[Previous Quartile Value]], "Dropped", "Same")))</f>
        <v>Improved</v>
      </c>
      <c r="J1019" s="9" t="s">
        <v>16</v>
      </c>
      <c r="K1019" s="7" t="str">
        <f>VLOOKUP(J1019,Introduction!$B$6:$C$14,2)</f>
        <v>South East</v>
      </c>
      <c r="L1019" s="11">
        <v>150</v>
      </c>
      <c r="M1019" s="12" t="s">
        <v>496</v>
      </c>
    </row>
    <row r="1020" spans="1:13" ht="19.95" customHeight="1" x14ac:dyDescent="0.25">
      <c r="A1020" s="41">
        <v>45383</v>
      </c>
      <c r="B1020" s="47">
        <f>MONTH(Table13[[#This Row],[YearMonth]])</f>
        <v>4</v>
      </c>
      <c r="C1020" s="9" t="s">
        <v>66</v>
      </c>
      <c r="D1020" s="6" t="s">
        <v>330</v>
      </c>
      <c r="E1020" s="6">
        <f>IF(Table13[[#This Row],[Quartile]]="TopQuartile", 1,
 IF(Table13[[#This Row],[Quartile]]="SecondQuartile", 2,
 IF(Table13[[#This Row],[Quartile]]="ThirdQuartile", 3,
 IF(Table13[[#This Row],[Quartile]]="FourthQuartile", 4, ""))))</f>
        <v>1</v>
      </c>
      <c r="F1020" s="9" t="s">
        <v>500</v>
      </c>
      <c r="G1020" s="9" t="str" cm="1">
        <f t="array" ref="G1020">IFERROR(
  INDEX(Table13[Quartile],
    MATCH(1,
      (Table13[[#This Row],[OrgName]]=Table13[OrgName]) *
      (Table13[[#This Row],[Month Number]]-1=Table13[Month Number]),
    0)
  ),
"")</f>
        <v>SecondQuartile</v>
      </c>
      <c r="H1020" s="9">
        <f>IF(Table13[[#This Row],[Previous Quartile]]="TopQuartile", 1,
 IF(Table13[[#This Row],[Previous Quartile]]="SecondQuartile", 2,
 IF(Table13[[#This Row],[Previous Quartile]]="ThirdQuartile", 3,
 IF(Table13[[#This Row],[Previous Quartile]]="FourthQuartile", 4, ""))))</f>
        <v>2</v>
      </c>
      <c r="I1020" s="9" t="str">
        <f>IF(Table13[[#This Row],[Previous Quartile Value]]="", "",
   IF(Table13[[#This Row],[Quartile Value]] &lt; Table13[[#This Row],[Previous Quartile Value]], "Improved",
   IF(Table13[[#This Row],[Quartile Value]] &gt; Table13[[#This Row],[Previous Quartile Value]], "Dropped", "Same")))</f>
        <v>Improved</v>
      </c>
      <c r="J1020" s="9" t="s">
        <v>18</v>
      </c>
      <c r="K1020" s="7" t="str">
        <f>VLOOKUP(J1020,Introduction!$B$6:$C$14,2)</f>
        <v>Midlands</v>
      </c>
      <c r="L1020" s="11">
        <v>818</v>
      </c>
      <c r="M1020" s="12" t="s">
        <v>496</v>
      </c>
    </row>
    <row r="1021" spans="1:13" ht="19.95" customHeight="1" x14ac:dyDescent="0.25">
      <c r="A1021" s="41">
        <v>45383</v>
      </c>
      <c r="B1021" s="47">
        <f>MONTH(Table13[[#This Row],[YearMonth]])</f>
        <v>4</v>
      </c>
      <c r="C1021" s="9" t="s">
        <v>117</v>
      </c>
      <c r="D1021" s="6" t="s">
        <v>338</v>
      </c>
      <c r="E1021" s="6">
        <f>IF(Table13[[#This Row],[Quartile]]="TopQuartile", 1,
 IF(Table13[[#This Row],[Quartile]]="SecondQuartile", 2,
 IF(Table13[[#This Row],[Quartile]]="ThirdQuartile", 3,
 IF(Table13[[#This Row],[Quartile]]="FourthQuartile", 4, ""))))</f>
        <v>2</v>
      </c>
      <c r="F1021" s="9" t="s">
        <v>504</v>
      </c>
      <c r="G1021" s="9" t="str" cm="1">
        <f t="array" ref="G1021">IFERROR(
  INDEX(Table13[Quartile],
    MATCH(1,
      (Table13[[#This Row],[OrgName]]=Table13[OrgName]) *
      (Table13[[#This Row],[Month Number]]-1=Table13[Month Number]),
    0)
  ),
"")</f>
        <v>ThirdQuartile</v>
      </c>
      <c r="H1021" s="9">
        <f>IF(Table13[[#This Row],[Previous Quartile]]="TopQuartile", 1,
 IF(Table13[[#This Row],[Previous Quartile]]="SecondQuartile", 2,
 IF(Table13[[#This Row],[Previous Quartile]]="ThirdQuartile", 3,
 IF(Table13[[#This Row],[Previous Quartile]]="FourthQuartile", 4, ""))))</f>
        <v>3</v>
      </c>
      <c r="I1021" s="9" t="str">
        <f>IF(Table13[[#This Row],[Previous Quartile Value]]="", "",
   IF(Table13[[#This Row],[Quartile Value]] &lt; Table13[[#This Row],[Previous Quartile Value]], "Improved",
   IF(Table13[[#This Row],[Quartile Value]] &gt; Table13[[#This Row],[Previous Quartile Value]], "Dropped", "Same")))</f>
        <v>Improved</v>
      </c>
      <c r="J1021" s="9" t="s">
        <v>24</v>
      </c>
      <c r="K1021" s="7" t="str">
        <f>VLOOKUP(J1021,Introduction!$B$6:$C$14,2)</f>
        <v>North East and Yorkshire</v>
      </c>
      <c r="L1021" s="11">
        <v>847</v>
      </c>
      <c r="M1021" s="12" t="s">
        <v>496</v>
      </c>
    </row>
    <row r="1022" spans="1:13" ht="19.95" customHeight="1" x14ac:dyDescent="0.25">
      <c r="A1022" s="41">
        <v>45383</v>
      </c>
      <c r="B1022" s="47">
        <f>MONTH(Table13[[#This Row],[YearMonth]])</f>
        <v>4</v>
      </c>
      <c r="C1022" s="9" t="s">
        <v>134</v>
      </c>
      <c r="D1022" s="6" t="s">
        <v>338</v>
      </c>
      <c r="E1022" s="6">
        <f>IF(Table13[[#This Row],[Quartile]]="TopQuartile", 1,
 IF(Table13[[#This Row],[Quartile]]="SecondQuartile", 2,
 IF(Table13[[#This Row],[Quartile]]="ThirdQuartile", 3,
 IF(Table13[[#This Row],[Quartile]]="FourthQuartile", 4, ""))))</f>
        <v>2</v>
      </c>
      <c r="F1022" s="9" t="s">
        <v>506</v>
      </c>
      <c r="G1022" s="9" t="str" cm="1">
        <f t="array" ref="G1022">IFERROR(
  INDEX(Table13[Quartile],
    MATCH(1,
      (Table13[[#This Row],[OrgName]]=Table13[OrgName]) *
      (Table13[[#This Row],[Month Number]]-1=Table13[Month Number]),
    0)
  ),
"")</f>
        <v>SecondQuartile</v>
      </c>
      <c r="H1022" s="9">
        <f>IF(Table13[[#This Row],[Previous Quartile]]="TopQuartile", 1,
 IF(Table13[[#This Row],[Previous Quartile]]="SecondQuartile", 2,
 IF(Table13[[#This Row],[Previous Quartile]]="ThirdQuartile", 3,
 IF(Table13[[#This Row],[Previous Quartile]]="FourthQuartile", 4, ""))))</f>
        <v>2</v>
      </c>
      <c r="I1022" s="9" t="str">
        <f>IF(Table13[[#This Row],[Previous Quartile Value]]="", "",
   IF(Table13[[#This Row],[Quartile Value]] &lt; Table13[[#This Row],[Previous Quartile Value]], "Improved",
   IF(Table13[[#This Row],[Quartile Value]] &gt; Table13[[#This Row],[Previous Quartile Value]], "Dropped", "Same")))</f>
        <v>Same</v>
      </c>
      <c r="J1022" s="9" t="s">
        <v>24</v>
      </c>
      <c r="K1022" s="7" t="str">
        <f>VLOOKUP(J1022,Introduction!$B$6:$C$14,2)</f>
        <v>North East and Yorkshire</v>
      </c>
      <c r="L1022" s="11">
        <v>814</v>
      </c>
      <c r="M1022" s="12" t="s">
        <v>496</v>
      </c>
    </row>
    <row r="1023" spans="1:13" ht="19.95" customHeight="1" x14ac:dyDescent="0.25">
      <c r="A1023" s="41">
        <v>45383</v>
      </c>
      <c r="B1023" s="47">
        <f>MONTH(Table13[[#This Row],[YearMonth]])</f>
        <v>4</v>
      </c>
      <c r="C1023" s="9" t="s">
        <v>145</v>
      </c>
      <c r="D1023" s="6" t="s">
        <v>338</v>
      </c>
      <c r="E1023" s="6">
        <f>IF(Table13[[#This Row],[Quartile]]="TopQuartile", 1,
 IF(Table13[[#This Row],[Quartile]]="SecondQuartile", 2,
 IF(Table13[[#This Row],[Quartile]]="ThirdQuartile", 3,
 IF(Table13[[#This Row],[Quartile]]="FourthQuartile", 4, ""))))</f>
        <v>2</v>
      </c>
      <c r="F1023" s="9" t="s">
        <v>507</v>
      </c>
      <c r="G1023" s="9" t="str" cm="1">
        <f t="array" ref="G1023">IFERROR(
  INDEX(Table13[Quartile],
    MATCH(1,
      (Table13[[#This Row],[OrgName]]=Table13[OrgName]) *
      (Table13[[#This Row],[Month Number]]-1=Table13[Month Number]),
    0)
  ),
"")</f>
        <v>SecondQuartile</v>
      </c>
      <c r="H1023" s="9">
        <f>IF(Table13[[#This Row],[Previous Quartile]]="TopQuartile", 1,
 IF(Table13[[#This Row],[Previous Quartile]]="SecondQuartile", 2,
 IF(Table13[[#This Row],[Previous Quartile]]="ThirdQuartile", 3,
 IF(Table13[[#This Row],[Previous Quartile]]="FourthQuartile", 4, ""))))</f>
        <v>2</v>
      </c>
      <c r="I1023" s="9" t="str">
        <f>IF(Table13[[#This Row],[Previous Quartile Value]]="", "",
   IF(Table13[[#This Row],[Quartile Value]] &lt; Table13[[#This Row],[Previous Quartile Value]], "Improved",
   IF(Table13[[#This Row],[Quartile Value]] &gt; Table13[[#This Row],[Previous Quartile Value]], "Dropped", "Same")))</f>
        <v>Same</v>
      </c>
      <c r="J1023" s="9" t="s">
        <v>12</v>
      </c>
      <c r="K1023" s="7" t="str">
        <f>VLOOKUP(J1023,Introduction!$B$6:$C$14,2)</f>
        <v>London</v>
      </c>
      <c r="L1023" s="11">
        <v>811</v>
      </c>
      <c r="M1023" s="12" t="s">
        <v>496</v>
      </c>
    </row>
    <row r="1024" spans="1:13" ht="19.95" customHeight="1" x14ac:dyDescent="0.25">
      <c r="A1024" s="41">
        <v>45383</v>
      </c>
      <c r="B1024" s="47">
        <f>MONTH(Table13[[#This Row],[YearMonth]])</f>
        <v>4</v>
      </c>
      <c r="C1024" s="9" t="s">
        <v>133</v>
      </c>
      <c r="D1024" s="6" t="s">
        <v>338</v>
      </c>
      <c r="E1024" s="6">
        <f>IF(Table13[[#This Row],[Quartile]]="TopQuartile", 1,
 IF(Table13[[#This Row],[Quartile]]="SecondQuartile", 2,
 IF(Table13[[#This Row],[Quartile]]="ThirdQuartile", 3,
 IF(Table13[[#This Row],[Quartile]]="FourthQuartile", 4, ""))))</f>
        <v>2</v>
      </c>
      <c r="F1024" s="9" t="s">
        <v>505</v>
      </c>
      <c r="G1024" s="9" t="str" cm="1">
        <f t="array" ref="G1024">IFERROR(
  INDEX(Table13[Quartile],
    MATCH(1,
      (Table13[[#This Row],[OrgName]]=Table13[OrgName]) *
      (Table13[[#This Row],[Month Number]]-1=Table13[Month Number]),
    0)
  ),
"")</f>
        <v>SecondQuartile</v>
      </c>
      <c r="H1024" s="9">
        <f>IF(Table13[[#This Row],[Previous Quartile]]="TopQuartile", 1,
 IF(Table13[[#This Row],[Previous Quartile]]="SecondQuartile", 2,
 IF(Table13[[#This Row],[Previous Quartile]]="ThirdQuartile", 3,
 IF(Table13[[#This Row],[Previous Quartile]]="FourthQuartile", 4, ""))))</f>
        <v>2</v>
      </c>
      <c r="I1024" s="9" t="str">
        <f>IF(Table13[[#This Row],[Previous Quartile Value]]="", "",
   IF(Table13[[#This Row],[Quartile Value]] &lt; Table13[[#This Row],[Previous Quartile Value]], "Improved",
   IF(Table13[[#This Row],[Quartile Value]] &gt; Table13[[#This Row],[Previous Quartile Value]], "Dropped", "Same")))</f>
        <v>Same</v>
      </c>
      <c r="J1024" s="9" t="s">
        <v>20</v>
      </c>
      <c r="K1024" s="7" t="str">
        <f>VLOOKUP(J1024,Introduction!$B$6:$C$14,2)</f>
        <v>East of England</v>
      </c>
      <c r="L1024" s="11">
        <v>849</v>
      </c>
      <c r="M1024" s="12" t="s">
        <v>496</v>
      </c>
    </row>
    <row r="1025" spans="1:13" ht="19.95" customHeight="1" x14ac:dyDescent="0.25">
      <c r="A1025" s="41">
        <v>45383</v>
      </c>
      <c r="B1025" s="47">
        <f>MONTH(Table13[[#This Row],[YearMonth]])</f>
        <v>4</v>
      </c>
      <c r="C1025" s="9" t="s">
        <v>87</v>
      </c>
      <c r="D1025" s="6" t="s">
        <v>338</v>
      </c>
      <c r="E1025" s="6">
        <f>IF(Table13[[#This Row],[Quartile]]="TopQuartile", 1,
 IF(Table13[[#This Row],[Quartile]]="SecondQuartile", 2,
 IF(Table13[[#This Row],[Quartile]]="ThirdQuartile", 3,
 IF(Table13[[#This Row],[Quartile]]="FourthQuartile", 4, ""))))</f>
        <v>2</v>
      </c>
      <c r="F1025" s="9" t="s">
        <v>502</v>
      </c>
      <c r="G1025" s="9" t="str" cm="1">
        <f t="array" ref="G1025">IFERROR(
  INDEX(Table13[Quartile],
    MATCH(1,
      (Table13[[#This Row],[OrgName]]=Table13[OrgName]) *
      (Table13[[#This Row],[Month Number]]-1=Table13[Month Number]),
    0)
  ),
"")</f>
        <v>SecondQuartile</v>
      </c>
      <c r="H1025" s="9">
        <f>IF(Table13[[#This Row],[Previous Quartile]]="TopQuartile", 1,
 IF(Table13[[#This Row],[Previous Quartile]]="SecondQuartile", 2,
 IF(Table13[[#This Row],[Previous Quartile]]="ThirdQuartile", 3,
 IF(Table13[[#This Row],[Previous Quartile]]="FourthQuartile", 4, ""))))</f>
        <v>2</v>
      </c>
      <c r="I1025" s="9" t="str">
        <f>IF(Table13[[#This Row],[Previous Quartile Value]]="", "",
   IF(Table13[[#This Row],[Quartile Value]] &lt; Table13[[#This Row],[Previous Quartile Value]], "Improved",
   IF(Table13[[#This Row],[Quartile Value]] &gt; Table13[[#This Row],[Previous Quartile Value]], "Dropped", "Same")))</f>
        <v>Same</v>
      </c>
      <c r="J1025" s="9" t="s">
        <v>22</v>
      </c>
      <c r="K1025" s="7" t="str">
        <f>VLOOKUP(J1025,Introduction!$B$6:$C$14,2)</f>
        <v>North West</v>
      </c>
      <c r="L1025" s="11">
        <v>844</v>
      </c>
      <c r="M1025" s="12" t="s">
        <v>496</v>
      </c>
    </row>
    <row r="1026" spans="1:13" ht="19.95" customHeight="1" x14ac:dyDescent="0.25">
      <c r="A1026" s="41">
        <v>45383</v>
      </c>
      <c r="B1026" s="47">
        <f>MONTH(Table13[[#This Row],[YearMonth]])</f>
        <v>4</v>
      </c>
      <c r="C1026" s="9" t="s">
        <v>154</v>
      </c>
      <c r="D1026" s="6" t="s">
        <v>338</v>
      </c>
      <c r="E1026" s="6">
        <f>IF(Table13[[#This Row],[Quartile]]="TopQuartile", 1,
 IF(Table13[[#This Row],[Quartile]]="SecondQuartile", 2,
 IF(Table13[[#This Row],[Quartile]]="ThirdQuartile", 3,
 IF(Table13[[#This Row],[Quartile]]="FourthQuartile", 4, ""))))</f>
        <v>2</v>
      </c>
      <c r="F1026" s="9" t="s">
        <v>508</v>
      </c>
      <c r="G1026" s="9" t="str" cm="1">
        <f t="array" ref="G1026">IFERROR(
  INDEX(Table13[Quartile],
    MATCH(1,
      (Table13[[#This Row],[OrgName]]=Table13[OrgName]) *
      (Table13[[#This Row],[Month Number]]-1=Table13[Month Number]),
    0)
  ),
"")</f>
        <v>SecondQuartile</v>
      </c>
      <c r="H1026" s="9">
        <f>IF(Table13[[#This Row],[Previous Quartile]]="TopQuartile", 1,
 IF(Table13[[#This Row],[Previous Quartile]]="SecondQuartile", 2,
 IF(Table13[[#This Row],[Previous Quartile]]="ThirdQuartile", 3,
 IF(Table13[[#This Row],[Previous Quartile]]="FourthQuartile", 4, ""))))</f>
        <v>2</v>
      </c>
      <c r="I1026" s="9" t="str">
        <f>IF(Table13[[#This Row],[Previous Quartile Value]]="", "",
   IF(Table13[[#This Row],[Quartile Value]] &lt; Table13[[#This Row],[Previous Quartile Value]], "Improved",
   IF(Table13[[#This Row],[Quartile Value]] &gt; Table13[[#This Row],[Previous Quartile Value]], "Dropped", "Same")))</f>
        <v>Same</v>
      </c>
      <c r="J1026" s="9" t="s">
        <v>24</v>
      </c>
      <c r="K1026" s="7" t="str">
        <f>VLOOKUP(J1026,Introduction!$B$6:$C$14,2)</f>
        <v>North East and Yorkshire</v>
      </c>
      <c r="L1026" s="11">
        <v>816</v>
      </c>
      <c r="M1026" s="12" t="s">
        <v>496</v>
      </c>
    </row>
    <row r="1027" spans="1:13" ht="19.95" customHeight="1" x14ac:dyDescent="0.25">
      <c r="A1027" s="41">
        <v>45383</v>
      </c>
      <c r="B1027" s="47">
        <f>MONTH(Table13[[#This Row],[YearMonth]])</f>
        <v>4</v>
      </c>
      <c r="C1027" s="9" t="s">
        <v>158</v>
      </c>
      <c r="D1027" s="6" t="s">
        <v>338</v>
      </c>
      <c r="E1027" s="6">
        <f>IF(Table13[[#This Row],[Quartile]]="TopQuartile", 1,
 IF(Table13[[#This Row],[Quartile]]="SecondQuartile", 2,
 IF(Table13[[#This Row],[Quartile]]="ThirdQuartile", 3,
 IF(Table13[[#This Row],[Quartile]]="FourthQuartile", 4, ""))))</f>
        <v>2</v>
      </c>
      <c r="F1027" s="9" t="s">
        <v>510</v>
      </c>
      <c r="G1027" s="9" t="str" cm="1">
        <f t="array" ref="G1027">IFERROR(
  INDEX(Table13[Quartile],
    MATCH(1,
      (Table13[[#This Row],[OrgName]]=Table13[OrgName]) *
      (Table13[[#This Row],[Month Number]]-1=Table13[Month Number]),
    0)
  ),
"")</f>
        <v>SecondQuartile</v>
      </c>
      <c r="H1027" s="9">
        <f>IF(Table13[[#This Row],[Previous Quartile]]="TopQuartile", 1,
 IF(Table13[[#This Row],[Previous Quartile]]="SecondQuartile", 2,
 IF(Table13[[#This Row],[Previous Quartile]]="ThirdQuartile", 3,
 IF(Table13[[#This Row],[Previous Quartile]]="FourthQuartile", 4, ""))))</f>
        <v>2</v>
      </c>
      <c r="I1027" s="9" t="str">
        <f>IF(Table13[[#This Row],[Previous Quartile Value]]="", "",
   IF(Table13[[#This Row],[Quartile Value]] &lt; Table13[[#This Row],[Previous Quartile Value]], "Improved",
   IF(Table13[[#This Row],[Quartile Value]] &gt; Table13[[#This Row],[Previous Quartile Value]], "Dropped", "Same")))</f>
        <v>Same</v>
      </c>
      <c r="J1027" s="9" t="s">
        <v>12</v>
      </c>
      <c r="K1027" s="7" t="str">
        <f>VLOOKUP(J1027,Introduction!$B$6:$C$14,2)</f>
        <v>London</v>
      </c>
      <c r="L1027" s="11">
        <v>779</v>
      </c>
      <c r="M1027" s="12" t="s">
        <v>496</v>
      </c>
    </row>
    <row r="1028" spans="1:13" ht="19.95" customHeight="1" x14ac:dyDescent="0.25">
      <c r="A1028" s="41">
        <v>45383</v>
      </c>
      <c r="B1028" s="47">
        <f>MONTH(Table13[[#This Row],[YearMonth]])</f>
        <v>4</v>
      </c>
      <c r="C1028" s="9" t="s">
        <v>57</v>
      </c>
      <c r="D1028" s="6" t="s">
        <v>338</v>
      </c>
      <c r="E1028" s="6">
        <f>IF(Table13[[#This Row],[Quartile]]="TopQuartile", 1,
 IF(Table13[[#This Row],[Quartile]]="SecondQuartile", 2,
 IF(Table13[[#This Row],[Quartile]]="ThirdQuartile", 3,
 IF(Table13[[#This Row],[Quartile]]="FourthQuartile", 4, ""))))</f>
        <v>2</v>
      </c>
      <c r="F1028" s="9" t="s">
        <v>499</v>
      </c>
      <c r="G1028" s="9" t="str" cm="1">
        <f t="array" ref="G1028">IFERROR(
  INDEX(Table13[Quartile],
    MATCH(1,
      (Table13[[#This Row],[OrgName]]=Table13[OrgName]) *
      (Table13[[#This Row],[Month Number]]-1=Table13[Month Number]),
    0)
  ),
"")</f>
        <v>SecondQuartile</v>
      </c>
      <c r="H1028" s="9">
        <f>IF(Table13[[#This Row],[Previous Quartile]]="TopQuartile", 1,
 IF(Table13[[#This Row],[Previous Quartile]]="SecondQuartile", 2,
 IF(Table13[[#This Row],[Previous Quartile]]="ThirdQuartile", 3,
 IF(Table13[[#This Row],[Previous Quartile]]="FourthQuartile", 4, ""))))</f>
        <v>2</v>
      </c>
      <c r="I1028" s="9" t="str">
        <f>IF(Table13[[#This Row],[Previous Quartile Value]]="", "",
   IF(Table13[[#This Row],[Quartile Value]] &lt; Table13[[#This Row],[Previous Quartile Value]], "Improved",
   IF(Table13[[#This Row],[Quartile Value]] &gt; Table13[[#This Row],[Previous Quartile Value]], "Dropped", "Same")))</f>
        <v>Same</v>
      </c>
      <c r="J1028" s="9" t="s">
        <v>14</v>
      </c>
      <c r="K1028" s="7" t="str">
        <f>VLOOKUP(J1028,Introduction!$B$6:$C$14,2)</f>
        <v>South West</v>
      </c>
      <c r="L1028" s="11">
        <v>85</v>
      </c>
      <c r="M1028" s="12" t="s">
        <v>496</v>
      </c>
    </row>
    <row r="1029" spans="1:13" ht="19.95" customHeight="1" x14ac:dyDescent="0.25">
      <c r="A1029" s="41">
        <v>45383</v>
      </c>
      <c r="B1029" s="47">
        <f>MONTH(Table13[[#This Row],[YearMonth]])</f>
        <v>4</v>
      </c>
      <c r="C1029" s="9" t="s">
        <v>175</v>
      </c>
      <c r="D1029" s="6" t="s">
        <v>338</v>
      </c>
      <c r="E1029" s="6">
        <f>IF(Table13[[#This Row],[Quartile]]="TopQuartile", 1,
 IF(Table13[[#This Row],[Quartile]]="SecondQuartile", 2,
 IF(Table13[[#This Row],[Quartile]]="ThirdQuartile", 3,
 IF(Table13[[#This Row],[Quartile]]="FourthQuartile", 4, ""))))</f>
        <v>2</v>
      </c>
      <c r="F1029" s="9" t="s">
        <v>512</v>
      </c>
      <c r="G1029" s="9" t="str" cm="1">
        <f t="array" ref="G1029">IFERROR(
  INDEX(Table13[Quartile],
    MATCH(1,
      (Table13[[#This Row],[OrgName]]=Table13[OrgName]) *
      (Table13[[#This Row],[Month Number]]-1=Table13[Month Number]),
    0)
  ),
"")</f>
        <v>SecondQuartile</v>
      </c>
      <c r="H1029" s="9">
        <f>IF(Table13[[#This Row],[Previous Quartile]]="TopQuartile", 1,
 IF(Table13[[#This Row],[Previous Quartile]]="SecondQuartile", 2,
 IF(Table13[[#This Row],[Previous Quartile]]="ThirdQuartile", 3,
 IF(Table13[[#This Row],[Previous Quartile]]="FourthQuartile", 4, ""))))</f>
        <v>2</v>
      </c>
      <c r="I1029" s="9" t="str">
        <f>IF(Table13[[#This Row],[Previous Quartile Value]]="", "",
   IF(Table13[[#This Row],[Quartile Value]] &lt; Table13[[#This Row],[Previous Quartile Value]], "Improved",
   IF(Table13[[#This Row],[Quartile Value]] &gt; Table13[[#This Row],[Previous Quartile Value]], "Dropped", "Same")))</f>
        <v>Same</v>
      </c>
      <c r="J1029" s="9" t="s">
        <v>18</v>
      </c>
      <c r="K1029" s="7" t="str">
        <f>VLOOKUP(J1029,Introduction!$B$6:$C$14,2)</f>
        <v>Midlands</v>
      </c>
      <c r="L1029" s="11">
        <v>798</v>
      </c>
      <c r="M1029" s="12" t="s">
        <v>496</v>
      </c>
    </row>
    <row r="1030" spans="1:13" ht="19.95" customHeight="1" x14ac:dyDescent="0.25">
      <c r="A1030" s="41">
        <v>45383</v>
      </c>
      <c r="B1030" s="47">
        <f>MONTH(Table13[[#This Row],[YearMonth]])</f>
        <v>4</v>
      </c>
      <c r="C1030" s="9" t="s">
        <v>171</v>
      </c>
      <c r="D1030" s="6" t="s">
        <v>341</v>
      </c>
      <c r="E1030" s="6">
        <f>IF(Table13[[#This Row],[Quartile]]="TopQuartile", 1,
 IF(Table13[[#This Row],[Quartile]]="SecondQuartile", 2,
 IF(Table13[[#This Row],[Quartile]]="ThirdQuartile", 3,
 IF(Table13[[#This Row],[Quartile]]="FourthQuartile", 4, ""))))</f>
        <v>3</v>
      </c>
      <c r="F1030" s="9" t="s">
        <v>511</v>
      </c>
      <c r="G1030" s="9" t="str" cm="1">
        <f t="array" ref="G1030">IFERROR(
  INDEX(Table13[Quartile],
    MATCH(1,
      (Table13[[#This Row],[OrgName]]=Table13[OrgName]) *
      (Table13[[#This Row],[Month Number]]-1=Table13[Month Number]),
    0)
  ),
"")</f>
        <v>ThirdQuartile</v>
      </c>
      <c r="H1030" s="9">
        <f>IF(Table13[[#This Row],[Previous Quartile]]="TopQuartile", 1,
 IF(Table13[[#This Row],[Previous Quartile]]="SecondQuartile", 2,
 IF(Table13[[#This Row],[Previous Quartile]]="ThirdQuartile", 3,
 IF(Table13[[#This Row],[Previous Quartile]]="FourthQuartile", 4, ""))))</f>
        <v>3</v>
      </c>
      <c r="I1030" s="9" t="str">
        <f>IF(Table13[[#This Row],[Previous Quartile Value]]="", "",
   IF(Table13[[#This Row],[Quartile Value]] &lt; Table13[[#This Row],[Previous Quartile Value]], "Improved",
   IF(Table13[[#This Row],[Quartile Value]] &gt; Table13[[#This Row],[Previous Quartile Value]], "Dropped", "Same")))</f>
        <v>Same</v>
      </c>
      <c r="J1030" s="9" t="s">
        <v>20</v>
      </c>
      <c r="K1030" s="7" t="str">
        <f>VLOOKUP(J1030,Introduction!$B$6:$C$14,2)</f>
        <v>East of England</v>
      </c>
      <c r="L1030" s="11">
        <v>839</v>
      </c>
      <c r="M1030" s="12" t="s">
        <v>496</v>
      </c>
    </row>
    <row r="1031" spans="1:13" ht="19.95" customHeight="1" x14ac:dyDescent="0.25">
      <c r="A1031" s="41">
        <v>45383</v>
      </c>
      <c r="B1031" s="47">
        <f>MONTH(Table13[[#This Row],[YearMonth]])</f>
        <v>4</v>
      </c>
      <c r="C1031" s="9" t="s">
        <v>199</v>
      </c>
      <c r="D1031" s="6" t="s">
        <v>341</v>
      </c>
      <c r="E1031" s="6">
        <f>IF(Table13[[#This Row],[Quartile]]="TopQuartile", 1,
 IF(Table13[[#This Row],[Quartile]]="SecondQuartile", 2,
 IF(Table13[[#This Row],[Quartile]]="ThirdQuartile", 3,
 IF(Table13[[#This Row],[Quartile]]="FourthQuartile", 4, ""))))</f>
        <v>3</v>
      </c>
      <c r="F1031" s="9" t="s">
        <v>515</v>
      </c>
      <c r="G1031" s="9" t="str" cm="1">
        <f t="array" ref="G1031">IFERROR(
  INDEX(Table13[Quartile],
    MATCH(1,
      (Table13[[#This Row],[OrgName]]=Table13[OrgName]) *
      (Table13[[#This Row],[Month Number]]-1=Table13[Month Number]),
    0)
  ),
"")</f>
        <v>ThirdQuartile</v>
      </c>
      <c r="H1031" s="9">
        <f>IF(Table13[[#This Row],[Previous Quartile]]="TopQuartile", 1,
 IF(Table13[[#This Row],[Previous Quartile]]="SecondQuartile", 2,
 IF(Table13[[#This Row],[Previous Quartile]]="ThirdQuartile", 3,
 IF(Table13[[#This Row],[Previous Quartile]]="FourthQuartile", 4, ""))))</f>
        <v>3</v>
      </c>
      <c r="I1031" s="9" t="str">
        <f>IF(Table13[[#This Row],[Previous Quartile Value]]="", "",
   IF(Table13[[#This Row],[Quartile Value]] &lt; Table13[[#This Row],[Previous Quartile Value]], "Improved",
   IF(Table13[[#This Row],[Quartile Value]] &gt; Table13[[#This Row],[Previous Quartile Value]], "Dropped", "Same")))</f>
        <v>Same</v>
      </c>
      <c r="J1031" s="9" t="s">
        <v>24</v>
      </c>
      <c r="K1031" s="7" t="str">
        <f>VLOOKUP(J1031,Introduction!$B$6:$C$14,2)</f>
        <v>North East and Yorkshire</v>
      </c>
      <c r="L1031" s="11">
        <v>810</v>
      </c>
      <c r="M1031" s="12" t="s">
        <v>496</v>
      </c>
    </row>
    <row r="1032" spans="1:13" ht="19.95" customHeight="1" x14ac:dyDescent="0.25">
      <c r="A1032" s="41">
        <v>45383</v>
      </c>
      <c r="B1032" s="47">
        <f>MONTH(Table13[[#This Row],[YearMonth]])</f>
        <v>4</v>
      </c>
      <c r="C1032" s="9" t="s">
        <v>196</v>
      </c>
      <c r="D1032" s="6" t="s">
        <v>341</v>
      </c>
      <c r="E1032" s="6">
        <f>IF(Table13[[#This Row],[Quartile]]="TopQuartile", 1,
 IF(Table13[[#This Row],[Quartile]]="SecondQuartile", 2,
 IF(Table13[[#This Row],[Quartile]]="ThirdQuartile", 3,
 IF(Table13[[#This Row],[Quartile]]="FourthQuartile", 4, ""))))</f>
        <v>3</v>
      </c>
      <c r="F1032" s="9" t="s">
        <v>514</v>
      </c>
      <c r="G1032" s="9" t="str" cm="1">
        <f t="array" ref="G1032">IFERROR(
  INDEX(Table13[Quartile],
    MATCH(1,
      (Table13[[#This Row],[OrgName]]=Table13[OrgName]) *
      (Table13[[#This Row],[Month Number]]-1=Table13[Month Number]),
    0)
  ),
"")</f>
        <v>ThirdQuartile</v>
      </c>
      <c r="H1032" s="9">
        <f>IF(Table13[[#This Row],[Previous Quartile]]="TopQuartile", 1,
 IF(Table13[[#This Row],[Previous Quartile]]="SecondQuartile", 2,
 IF(Table13[[#This Row],[Previous Quartile]]="ThirdQuartile", 3,
 IF(Table13[[#This Row],[Previous Quartile]]="FourthQuartile", 4, ""))))</f>
        <v>3</v>
      </c>
      <c r="I1032" s="9" t="str">
        <f>IF(Table13[[#This Row],[Previous Quartile Value]]="", "",
   IF(Table13[[#This Row],[Quartile Value]] &lt; Table13[[#This Row],[Previous Quartile Value]], "Improved",
   IF(Table13[[#This Row],[Quartile Value]] &gt; Table13[[#This Row],[Previous Quartile Value]], "Dropped", "Same")))</f>
        <v>Same</v>
      </c>
      <c r="J1032" s="9" t="s">
        <v>18</v>
      </c>
      <c r="K1032" s="7" t="str">
        <f>VLOOKUP(J1032,Introduction!$B$6:$C$14,2)</f>
        <v>Midlands</v>
      </c>
      <c r="L1032" s="11">
        <v>842</v>
      </c>
      <c r="M1032" s="12" t="s">
        <v>496</v>
      </c>
    </row>
    <row r="1033" spans="1:13" ht="19.95" customHeight="1" x14ac:dyDescent="0.25">
      <c r="A1033" s="41">
        <v>45383</v>
      </c>
      <c r="B1033" s="47">
        <f>MONTH(Table13[[#This Row],[YearMonth]])</f>
        <v>4</v>
      </c>
      <c r="C1033" s="9" t="s">
        <v>193</v>
      </c>
      <c r="D1033" s="6" t="s">
        <v>341</v>
      </c>
      <c r="E1033" s="6">
        <f>IF(Table13[[#This Row],[Quartile]]="TopQuartile", 1,
 IF(Table13[[#This Row],[Quartile]]="SecondQuartile", 2,
 IF(Table13[[#This Row],[Quartile]]="ThirdQuartile", 3,
 IF(Table13[[#This Row],[Quartile]]="FourthQuartile", 4, ""))))</f>
        <v>3</v>
      </c>
      <c r="F1033" s="9" t="s">
        <v>513</v>
      </c>
      <c r="G1033" s="9" t="str" cm="1">
        <f t="array" ref="G1033">IFERROR(
  INDEX(Table13[Quartile],
    MATCH(1,
      (Table13[[#This Row],[OrgName]]=Table13[OrgName]) *
      (Table13[[#This Row],[Month Number]]-1=Table13[Month Number]),
    0)
  ),
"")</f>
        <v>ThirdQuartile</v>
      </c>
      <c r="H1033" s="9">
        <f>IF(Table13[[#This Row],[Previous Quartile]]="TopQuartile", 1,
 IF(Table13[[#This Row],[Previous Quartile]]="SecondQuartile", 2,
 IF(Table13[[#This Row],[Previous Quartile]]="ThirdQuartile", 3,
 IF(Table13[[#This Row],[Previous Quartile]]="FourthQuartile", 4, ""))))</f>
        <v>3</v>
      </c>
      <c r="I1033" s="9" t="str">
        <f>IF(Table13[[#This Row],[Previous Quartile Value]]="", "",
   IF(Table13[[#This Row],[Quartile Value]] &lt; Table13[[#This Row],[Previous Quartile Value]], "Improved",
   IF(Table13[[#This Row],[Quartile Value]] &gt; Table13[[#This Row],[Previous Quartile Value]], "Dropped", "Same")))</f>
        <v>Same</v>
      </c>
      <c r="J1033" s="9" t="s">
        <v>20</v>
      </c>
      <c r="K1033" s="7" t="str">
        <f>VLOOKUP(J1033,Introduction!$B$6:$C$14,2)</f>
        <v>East of England</v>
      </c>
      <c r="L1033" s="11">
        <v>448</v>
      </c>
      <c r="M1033" s="12" t="s">
        <v>496</v>
      </c>
    </row>
    <row r="1034" spans="1:13" ht="19.95" customHeight="1" x14ac:dyDescent="0.25">
      <c r="A1034" s="41">
        <v>45383</v>
      </c>
      <c r="B1034" s="47">
        <f>MONTH(Table13[[#This Row],[YearMonth]])</f>
        <v>4</v>
      </c>
      <c r="C1034" s="9" t="s">
        <v>156</v>
      </c>
      <c r="D1034" s="6" t="s">
        <v>341</v>
      </c>
      <c r="E1034" s="6">
        <f>IF(Table13[[#This Row],[Quartile]]="TopQuartile", 1,
 IF(Table13[[#This Row],[Quartile]]="SecondQuartile", 2,
 IF(Table13[[#This Row],[Quartile]]="ThirdQuartile", 3,
 IF(Table13[[#This Row],[Quartile]]="FourthQuartile", 4, ""))))</f>
        <v>3</v>
      </c>
      <c r="F1034" s="9" t="s">
        <v>509</v>
      </c>
      <c r="G1034" s="9" t="str" cm="1">
        <f t="array" ref="G1034">IFERROR(
  INDEX(Table13[Quartile],
    MATCH(1,
      (Table13[[#This Row],[OrgName]]=Table13[OrgName]) *
      (Table13[[#This Row],[Month Number]]-1=Table13[Month Number]),
    0)
  ),
"")</f>
        <v>ThirdQuartile</v>
      </c>
      <c r="H1034" s="9">
        <f>IF(Table13[[#This Row],[Previous Quartile]]="TopQuartile", 1,
 IF(Table13[[#This Row],[Previous Quartile]]="SecondQuartile", 2,
 IF(Table13[[#This Row],[Previous Quartile]]="ThirdQuartile", 3,
 IF(Table13[[#This Row],[Previous Quartile]]="FourthQuartile", 4, ""))))</f>
        <v>3</v>
      </c>
      <c r="I1034" s="9" t="str">
        <f>IF(Table13[[#This Row],[Previous Quartile Value]]="", "",
   IF(Table13[[#This Row],[Quartile Value]] &lt; Table13[[#This Row],[Previous Quartile Value]], "Improved",
   IF(Table13[[#This Row],[Quartile Value]] &gt; Table13[[#This Row],[Previous Quartile Value]], "Dropped", "Same")))</f>
        <v>Same</v>
      </c>
      <c r="J1034" s="9" t="s">
        <v>20</v>
      </c>
      <c r="K1034" s="7" t="str">
        <f>VLOOKUP(J1034,Introduction!$B$6:$C$14,2)</f>
        <v>East of England</v>
      </c>
      <c r="L1034" s="11">
        <v>812</v>
      </c>
      <c r="M1034" s="12" t="s">
        <v>496</v>
      </c>
    </row>
    <row r="1035" spans="1:13" ht="19.95" customHeight="1" x14ac:dyDescent="0.25">
      <c r="A1035" s="41">
        <v>45383</v>
      </c>
      <c r="B1035" s="47">
        <f>MONTH(Table13[[#This Row],[YearMonth]])</f>
        <v>4</v>
      </c>
      <c r="C1035" s="9" t="s">
        <v>230</v>
      </c>
      <c r="D1035" s="6" t="s">
        <v>341</v>
      </c>
      <c r="E1035" s="6">
        <f>IF(Table13[[#This Row],[Quartile]]="TopQuartile", 1,
 IF(Table13[[#This Row],[Quartile]]="SecondQuartile", 2,
 IF(Table13[[#This Row],[Quartile]]="ThirdQuartile", 3,
 IF(Table13[[#This Row],[Quartile]]="FourthQuartile", 4, ""))))</f>
        <v>3</v>
      </c>
      <c r="F1035" s="9" t="s">
        <v>517</v>
      </c>
      <c r="G1035" s="9" t="str" cm="1">
        <f t="array" ref="G1035">IFERROR(
  INDEX(Table13[Quartile],
    MATCH(1,
      (Table13[[#This Row],[OrgName]]=Table13[OrgName]) *
      (Table13[[#This Row],[Month Number]]-1=Table13[Month Number]),
    0)
  ),
"")</f>
        <v>ThirdQuartile</v>
      </c>
      <c r="H1035" s="9">
        <f>IF(Table13[[#This Row],[Previous Quartile]]="TopQuartile", 1,
 IF(Table13[[#This Row],[Previous Quartile]]="SecondQuartile", 2,
 IF(Table13[[#This Row],[Previous Quartile]]="ThirdQuartile", 3,
 IF(Table13[[#This Row],[Previous Quartile]]="FourthQuartile", 4, ""))))</f>
        <v>3</v>
      </c>
      <c r="I1035" s="9" t="str">
        <f>IF(Table13[[#This Row],[Previous Quartile Value]]="", "",
   IF(Table13[[#This Row],[Quartile Value]] &lt; Table13[[#This Row],[Previous Quartile Value]], "Improved",
   IF(Table13[[#This Row],[Quartile Value]] &gt; Table13[[#This Row],[Previous Quartile Value]], "Dropped", "Same")))</f>
        <v>Same</v>
      </c>
      <c r="J1035" s="9" t="s">
        <v>18</v>
      </c>
      <c r="K1035" s="7" t="str">
        <f>VLOOKUP(J1035,Introduction!$B$6:$C$14,2)</f>
        <v>Midlands</v>
      </c>
      <c r="L1035" s="11">
        <v>826</v>
      </c>
      <c r="M1035" s="12" t="s">
        <v>496</v>
      </c>
    </row>
    <row r="1036" spans="1:13" ht="19.95" customHeight="1" x14ac:dyDescent="0.25">
      <c r="A1036" s="41">
        <v>45383</v>
      </c>
      <c r="B1036" s="47">
        <f>MONTH(Table13[[#This Row],[YearMonth]])</f>
        <v>4</v>
      </c>
      <c r="C1036" s="9" t="s">
        <v>219</v>
      </c>
      <c r="D1036" s="6" t="s">
        <v>341</v>
      </c>
      <c r="E1036" s="6">
        <f>IF(Table13[[#This Row],[Quartile]]="TopQuartile", 1,
 IF(Table13[[#This Row],[Quartile]]="SecondQuartile", 2,
 IF(Table13[[#This Row],[Quartile]]="ThirdQuartile", 3,
 IF(Table13[[#This Row],[Quartile]]="FourthQuartile", 4, ""))))</f>
        <v>3</v>
      </c>
      <c r="F1036" s="9" t="s">
        <v>516</v>
      </c>
      <c r="G1036" s="9" t="str" cm="1">
        <f t="array" ref="G1036">IFERROR(
  INDEX(Table13[Quartile],
    MATCH(1,
      (Table13[[#This Row],[OrgName]]=Table13[OrgName]) *
      (Table13[[#This Row],[Month Number]]-1=Table13[Month Number]),
    0)
  ),
"")</f>
        <v>ThirdQuartile</v>
      </c>
      <c r="H1036" s="9">
        <f>IF(Table13[[#This Row],[Previous Quartile]]="TopQuartile", 1,
 IF(Table13[[#This Row],[Previous Quartile]]="SecondQuartile", 2,
 IF(Table13[[#This Row],[Previous Quartile]]="ThirdQuartile", 3,
 IF(Table13[[#This Row],[Previous Quartile]]="FourthQuartile", 4, ""))))</f>
        <v>3</v>
      </c>
      <c r="I1036" s="9" t="str">
        <f>IF(Table13[[#This Row],[Previous Quartile Value]]="", "",
   IF(Table13[[#This Row],[Quartile Value]] &lt; Table13[[#This Row],[Previous Quartile Value]], "Improved",
   IF(Table13[[#This Row],[Quartile Value]] &gt; Table13[[#This Row],[Previous Quartile Value]], "Dropped", "Same")))</f>
        <v>Same</v>
      </c>
      <c r="J1036" s="9" t="s">
        <v>22</v>
      </c>
      <c r="K1036" s="7" t="str">
        <f>VLOOKUP(J1036,Introduction!$B$6:$C$14,2)</f>
        <v>North West</v>
      </c>
      <c r="L1036" s="11">
        <v>835</v>
      </c>
      <c r="M1036" s="12" t="s">
        <v>496</v>
      </c>
    </row>
    <row r="1037" spans="1:13" ht="19.95" customHeight="1" x14ac:dyDescent="0.25">
      <c r="A1037" s="41">
        <v>45383</v>
      </c>
      <c r="B1037" s="47">
        <f>MONTH(Table13[[#This Row],[YearMonth]])</f>
        <v>4</v>
      </c>
      <c r="C1037" s="9" t="s">
        <v>238</v>
      </c>
      <c r="D1037" s="6" t="s">
        <v>341</v>
      </c>
      <c r="E1037" s="6">
        <f>IF(Table13[[#This Row],[Quartile]]="TopQuartile", 1,
 IF(Table13[[#This Row],[Quartile]]="SecondQuartile", 2,
 IF(Table13[[#This Row],[Quartile]]="ThirdQuartile", 3,
 IF(Table13[[#This Row],[Quartile]]="FourthQuartile", 4, ""))))</f>
        <v>3</v>
      </c>
      <c r="F1037" s="9" t="s">
        <v>519</v>
      </c>
      <c r="G1037" s="9" t="str" cm="1">
        <f t="array" ref="G1037">IFERROR(
  INDEX(Table13[Quartile],
    MATCH(1,
      (Table13[[#This Row],[OrgName]]=Table13[OrgName]) *
      (Table13[[#This Row],[Month Number]]-1=Table13[Month Number]),
    0)
  ),
"")</f>
        <v>ThirdQuartile</v>
      </c>
      <c r="H1037" s="9">
        <f>IF(Table13[[#This Row],[Previous Quartile]]="TopQuartile", 1,
 IF(Table13[[#This Row],[Previous Quartile]]="SecondQuartile", 2,
 IF(Table13[[#This Row],[Previous Quartile]]="ThirdQuartile", 3,
 IF(Table13[[#This Row],[Previous Quartile]]="FourthQuartile", 4, ""))))</f>
        <v>3</v>
      </c>
      <c r="I1037" s="9" t="str">
        <f>IF(Table13[[#This Row],[Previous Quartile Value]]="", "",
   IF(Table13[[#This Row],[Quartile Value]] &lt; Table13[[#This Row],[Previous Quartile Value]], "Improved",
   IF(Table13[[#This Row],[Quartile Value]] &gt; Table13[[#This Row],[Previous Quartile Value]], "Dropped", "Same")))</f>
        <v>Same</v>
      </c>
      <c r="J1037" s="9" t="s">
        <v>24</v>
      </c>
      <c r="K1037" s="7" t="str">
        <f>VLOOKUP(J1037,Introduction!$B$6:$C$14,2)</f>
        <v>North East and Yorkshire</v>
      </c>
      <c r="L1037" s="11">
        <v>845</v>
      </c>
      <c r="M1037" s="12" t="s">
        <v>496</v>
      </c>
    </row>
    <row r="1038" spans="1:13" ht="19.95" customHeight="1" x14ac:dyDescent="0.25">
      <c r="A1038" s="41">
        <v>45383</v>
      </c>
      <c r="B1038" s="47">
        <f>MONTH(Table13[[#This Row],[YearMonth]])</f>
        <v>4</v>
      </c>
      <c r="C1038" s="9" t="s">
        <v>233</v>
      </c>
      <c r="D1038" s="6" t="s">
        <v>341</v>
      </c>
      <c r="E1038" s="6">
        <f>IF(Table13[[#This Row],[Quartile]]="TopQuartile", 1,
 IF(Table13[[#This Row],[Quartile]]="SecondQuartile", 2,
 IF(Table13[[#This Row],[Quartile]]="ThirdQuartile", 3,
 IF(Table13[[#This Row],[Quartile]]="FourthQuartile", 4, ""))))</f>
        <v>3</v>
      </c>
      <c r="F1038" s="9" t="s">
        <v>518</v>
      </c>
      <c r="G1038" s="9" t="str" cm="1">
        <f t="array" ref="G1038">IFERROR(
  INDEX(Table13[Quartile],
    MATCH(1,
      (Table13[[#This Row],[OrgName]]=Table13[OrgName]) *
      (Table13[[#This Row],[Month Number]]-1=Table13[Month Number]),
    0)
  ),
"")</f>
        <v>ThirdQuartile</v>
      </c>
      <c r="H1038" s="9">
        <f>IF(Table13[[#This Row],[Previous Quartile]]="TopQuartile", 1,
 IF(Table13[[#This Row],[Previous Quartile]]="SecondQuartile", 2,
 IF(Table13[[#This Row],[Previous Quartile]]="ThirdQuartile", 3,
 IF(Table13[[#This Row],[Previous Quartile]]="FourthQuartile", 4, ""))))</f>
        <v>3</v>
      </c>
      <c r="I1038" s="9" t="str">
        <f>IF(Table13[[#This Row],[Previous Quartile Value]]="", "",
   IF(Table13[[#This Row],[Quartile Value]] &lt; Table13[[#This Row],[Previous Quartile Value]], "Improved",
   IF(Table13[[#This Row],[Quartile Value]] &gt; Table13[[#This Row],[Previous Quartile Value]], "Dropped", "Same")))</f>
        <v>Same</v>
      </c>
      <c r="J1038" s="9" t="s">
        <v>18</v>
      </c>
      <c r="K1038" s="7" t="str">
        <f>VLOOKUP(J1038,Introduction!$B$6:$C$14,2)</f>
        <v>Midlands</v>
      </c>
      <c r="L1038" s="11">
        <v>820</v>
      </c>
      <c r="M1038" s="12" t="s">
        <v>496</v>
      </c>
    </row>
    <row r="1039" spans="1:13" ht="19.95" customHeight="1" x14ac:dyDescent="0.25">
      <c r="A1039" s="41">
        <v>45383</v>
      </c>
      <c r="B1039" s="47">
        <f>MONTH(Table13[[#This Row],[YearMonth]])</f>
        <v>4</v>
      </c>
      <c r="C1039" s="9" t="s">
        <v>248</v>
      </c>
      <c r="D1039" s="6" t="s">
        <v>341</v>
      </c>
      <c r="E1039" s="6">
        <f>IF(Table13[[#This Row],[Quartile]]="TopQuartile", 1,
 IF(Table13[[#This Row],[Quartile]]="SecondQuartile", 2,
 IF(Table13[[#This Row],[Quartile]]="ThirdQuartile", 3,
 IF(Table13[[#This Row],[Quartile]]="FourthQuartile", 4, ""))))</f>
        <v>3</v>
      </c>
      <c r="F1039" s="9" t="s">
        <v>520</v>
      </c>
      <c r="G1039" s="9" t="str" cm="1">
        <f t="array" ref="G1039">IFERROR(
  INDEX(Table13[Quartile],
    MATCH(1,
      (Table13[[#This Row],[OrgName]]=Table13[OrgName]) *
      (Table13[[#This Row],[Month Number]]-1=Table13[Month Number]),
    0)
  ),
"")</f>
        <v>ThirdQuartile</v>
      </c>
      <c r="H1039" s="9">
        <f>IF(Table13[[#This Row],[Previous Quartile]]="TopQuartile", 1,
 IF(Table13[[#This Row],[Previous Quartile]]="SecondQuartile", 2,
 IF(Table13[[#This Row],[Previous Quartile]]="ThirdQuartile", 3,
 IF(Table13[[#This Row],[Previous Quartile]]="FourthQuartile", 4, ""))))</f>
        <v>3</v>
      </c>
      <c r="I1039" s="9" t="str">
        <f>IF(Table13[[#This Row],[Previous Quartile Value]]="", "",
   IF(Table13[[#This Row],[Quartile Value]] &lt; Table13[[#This Row],[Previous Quartile Value]], "Improved",
   IF(Table13[[#This Row],[Quartile Value]] &gt; Table13[[#This Row],[Previous Quartile Value]], "Dropped", "Same")))</f>
        <v>Same</v>
      </c>
      <c r="J1039" s="9" t="s">
        <v>12</v>
      </c>
      <c r="K1039" s="7" t="str">
        <f>VLOOKUP(J1039,Introduction!$B$6:$C$14,2)</f>
        <v>London</v>
      </c>
      <c r="L1039" s="11">
        <v>848</v>
      </c>
      <c r="M1039" s="12" t="s">
        <v>496</v>
      </c>
    </row>
    <row r="1040" spans="1:13" ht="19.95" customHeight="1" x14ac:dyDescent="0.25">
      <c r="A1040" s="41">
        <v>45383</v>
      </c>
      <c r="B1040" s="47">
        <f>MONTH(Table13[[#This Row],[YearMonth]])</f>
        <v>4</v>
      </c>
      <c r="C1040" s="9" t="s">
        <v>260</v>
      </c>
      <c r="D1040" s="6" t="s">
        <v>350</v>
      </c>
      <c r="E1040" s="6">
        <f>IF(Table13[[#This Row],[Quartile]]="TopQuartile", 1,
 IF(Table13[[#This Row],[Quartile]]="SecondQuartile", 2,
 IF(Table13[[#This Row],[Quartile]]="ThirdQuartile", 3,
 IF(Table13[[#This Row],[Quartile]]="FourthQuartile", 4, ""))))</f>
        <v>4</v>
      </c>
      <c r="F1040" s="9" t="s">
        <v>522</v>
      </c>
      <c r="G1040" s="9" t="str" cm="1">
        <f t="array" ref="G1040">IFERROR(
  INDEX(Table13[Quartile],
    MATCH(1,
      (Table13[[#This Row],[OrgName]]=Table13[OrgName]) *
      (Table13[[#This Row],[Month Number]]-1=Table13[Month Number]),
    0)
  ),
"")</f>
        <v>FourthQuartile</v>
      </c>
      <c r="H1040" s="9">
        <f>IF(Table13[[#This Row],[Previous Quartile]]="TopQuartile", 1,
 IF(Table13[[#This Row],[Previous Quartile]]="SecondQuartile", 2,
 IF(Table13[[#This Row],[Previous Quartile]]="ThirdQuartile", 3,
 IF(Table13[[#This Row],[Previous Quartile]]="FourthQuartile", 4, ""))))</f>
        <v>4</v>
      </c>
      <c r="I1040" s="9" t="str">
        <f>IF(Table13[[#This Row],[Previous Quartile Value]]="", "",
   IF(Table13[[#This Row],[Quartile Value]] &lt; Table13[[#This Row],[Previous Quartile Value]], "Improved",
   IF(Table13[[#This Row],[Quartile Value]] &gt; Table13[[#This Row],[Previous Quartile Value]], "Dropped", "Same")))</f>
        <v>Same</v>
      </c>
      <c r="J1040" s="9" t="s">
        <v>24</v>
      </c>
      <c r="K1040" s="7" t="str">
        <f>VLOOKUP(J1040,Introduction!$B$6:$C$14,2)</f>
        <v>North East and Yorkshire</v>
      </c>
      <c r="L1040" s="11">
        <v>833</v>
      </c>
      <c r="M1040" s="12" t="s">
        <v>496</v>
      </c>
    </row>
    <row r="1041" spans="1:13" ht="19.95" customHeight="1" x14ac:dyDescent="0.25">
      <c r="A1041" s="41">
        <v>45383</v>
      </c>
      <c r="B1041" s="47">
        <f>MONTH(Table13[[#This Row],[YearMonth]])</f>
        <v>4</v>
      </c>
      <c r="C1041" s="9" t="s">
        <v>259</v>
      </c>
      <c r="D1041" s="6" t="s">
        <v>350</v>
      </c>
      <c r="E1041" s="6">
        <f>IF(Table13[[#This Row],[Quartile]]="TopQuartile", 1,
 IF(Table13[[#This Row],[Quartile]]="SecondQuartile", 2,
 IF(Table13[[#This Row],[Quartile]]="ThirdQuartile", 3,
 IF(Table13[[#This Row],[Quartile]]="FourthQuartile", 4, ""))))</f>
        <v>4</v>
      </c>
      <c r="F1041" s="9" t="s">
        <v>521</v>
      </c>
      <c r="G1041" s="9" t="str" cm="1">
        <f t="array" ref="G1041">IFERROR(
  INDEX(Table13[Quartile],
    MATCH(1,
      (Table13[[#This Row],[OrgName]]=Table13[OrgName]) *
      (Table13[[#This Row],[Month Number]]-1=Table13[Month Number]),
    0)
  ),
"")</f>
        <v>FourthQuartile</v>
      </c>
      <c r="H1041" s="9">
        <f>IF(Table13[[#This Row],[Previous Quartile]]="TopQuartile", 1,
 IF(Table13[[#This Row],[Previous Quartile]]="SecondQuartile", 2,
 IF(Table13[[#This Row],[Previous Quartile]]="ThirdQuartile", 3,
 IF(Table13[[#This Row],[Previous Quartile]]="FourthQuartile", 4, ""))))</f>
        <v>4</v>
      </c>
      <c r="I1041" s="9" t="str">
        <f>IF(Table13[[#This Row],[Previous Quartile Value]]="", "",
   IF(Table13[[#This Row],[Quartile Value]] &lt; Table13[[#This Row],[Previous Quartile Value]], "Improved",
   IF(Table13[[#This Row],[Quartile Value]] &gt; Table13[[#This Row],[Previous Quartile Value]], "Dropped", "Same")))</f>
        <v>Same</v>
      </c>
      <c r="J1041" s="9" t="s">
        <v>12</v>
      </c>
      <c r="K1041" s="7" t="str">
        <f>VLOOKUP(J1041,Introduction!$B$6:$C$14,2)</f>
        <v>London</v>
      </c>
      <c r="L1041" s="11">
        <v>824</v>
      </c>
      <c r="M1041" s="12" t="s">
        <v>496</v>
      </c>
    </row>
    <row r="1042" spans="1:13" ht="19.95" customHeight="1" x14ac:dyDescent="0.25">
      <c r="A1042" s="41">
        <v>45383</v>
      </c>
      <c r="B1042" s="47">
        <f>MONTH(Table13[[#This Row],[YearMonth]])</f>
        <v>4</v>
      </c>
      <c r="C1042" s="9" t="s">
        <v>297</v>
      </c>
      <c r="D1042" s="6" t="s">
        <v>350</v>
      </c>
      <c r="E1042" s="6">
        <f>IF(Table13[[#This Row],[Quartile]]="TopQuartile", 1,
 IF(Table13[[#This Row],[Quartile]]="SecondQuartile", 2,
 IF(Table13[[#This Row],[Quartile]]="ThirdQuartile", 3,
 IF(Table13[[#This Row],[Quartile]]="FourthQuartile", 4, ""))))</f>
        <v>4</v>
      </c>
      <c r="F1042" s="9" t="s">
        <v>527</v>
      </c>
      <c r="G1042" s="9" t="str" cm="1">
        <f t="array" ref="G1042">IFERROR(
  INDEX(Table13[Quartile],
    MATCH(1,
      (Table13[[#This Row],[OrgName]]=Table13[OrgName]) *
      (Table13[[#This Row],[Month Number]]-1=Table13[Month Number]),
    0)
  ),
"")</f>
        <v>FourthQuartile</v>
      </c>
      <c r="H1042" s="9">
        <f>IF(Table13[[#This Row],[Previous Quartile]]="TopQuartile", 1,
 IF(Table13[[#This Row],[Previous Quartile]]="SecondQuartile", 2,
 IF(Table13[[#This Row],[Previous Quartile]]="ThirdQuartile", 3,
 IF(Table13[[#This Row],[Previous Quartile]]="FourthQuartile", 4, ""))))</f>
        <v>4</v>
      </c>
      <c r="I1042" s="9" t="str">
        <f>IF(Table13[[#This Row],[Previous Quartile Value]]="", "",
   IF(Table13[[#This Row],[Quartile Value]] &lt; Table13[[#This Row],[Previous Quartile Value]], "Improved",
   IF(Table13[[#This Row],[Quartile Value]] &gt; Table13[[#This Row],[Previous Quartile Value]], "Dropped", "Same")))</f>
        <v>Same</v>
      </c>
      <c r="J1042" s="9" t="s">
        <v>16</v>
      </c>
      <c r="K1042" s="7" t="str">
        <f>VLOOKUP(J1042,Introduction!$B$6:$C$14,2)</f>
        <v>South East</v>
      </c>
      <c r="L1042" s="11">
        <v>78</v>
      </c>
      <c r="M1042" s="12" t="s">
        <v>496</v>
      </c>
    </row>
    <row r="1043" spans="1:13" ht="19.95" customHeight="1" x14ac:dyDescent="0.25">
      <c r="A1043" s="41">
        <v>45383</v>
      </c>
      <c r="B1043" s="47">
        <f>MONTH(Table13[[#This Row],[YearMonth]])</f>
        <v>4</v>
      </c>
      <c r="C1043" s="9" t="s">
        <v>261</v>
      </c>
      <c r="D1043" s="6" t="s">
        <v>350</v>
      </c>
      <c r="E1043" s="6">
        <f>IF(Table13[[#This Row],[Quartile]]="TopQuartile", 1,
 IF(Table13[[#This Row],[Quartile]]="SecondQuartile", 2,
 IF(Table13[[#This Row],[Quartile]]="ThirdQuartile", 3,
 IF(Table13[[#This Row],[Quartile]]="FourthQuartile", 4, ""))))</f>
        <v>4</v>
      </c>
      <c r="F1043" s="9" t="s">
        <v>523</v>
      </c>
      <c r="G1043" s="9" t="str" cm="1">
        <f t="array" ref="G1043">IFERROR(
  INDEX(Table13[Quartile],
    MATCH(1,
      (Table13[[#This Row],[OrgName]]=Table13[OrgName]) *
      (Table13[[#This Row],[Month Number]]-1=Table13[Month Number]),
    0)
  ),
"")</f>
        <v>FourthQuartile</v>
      </c>
      <c r="H1043" s="9">
        <f>IF(Table13[[#This Row],[Previous Quartile]]="TopQuartile", 1,
 IF(Table13[[#This Row],[Previous Quartile]]="SecondQuartile", 2,
 IF(Table13[[#This Row],[Previous Quartile]]="ThirdQuartile", 3,
 IF(Table13[[#This Row],[Previous Quartile]]="FourthQuartile", 4, ""))))</f>
        <v>4</v>
      </c>
      <c r="I1043" s="9" t="str">
        <f>IF(Table13[[#This Row],[Previous Quartile Value]]="", "",
   IF(Table13[[#This Row],[Quartile Value]] &lt; Table13[[#This Row],[Previous Quartile Value]], "Improved",
   IF(Table13[[#This Row],[Quartile Value]] &gt; Table13[[#This Row],[Previous Quartile Value]], "Dropped", "Same")))</f>
        <v>Same</v>
      </c>
      <c r="J1043" s="9" t="s">
        <v>14</v>
      </c>
      <c r="K1043" s="7" t="str">
        <f>VLOOKUP(J1043,Introduction!$B$6:$C$14,2)</f>
        <v>South West</v>
      </c>
      <c r="L1043" s="11">
        <v>83</v>
      </c>
      <c r="M1043" s="12" t="s">
        <v>496</v>
      </c>
    </row>
    <row r="1044" spans="1:13" ht="19.95" customHeight="1" x14ac:dyDescent="0.25">
      <c r="A1044" s="41">
        <v>45383</v>
      </c>
      <c r="B1044" s="47">
        <f>MONTH(Table13[[#This Row],[YearMonth]])</f>
        <v>4</v>
      </c>
      <c r="C1044" s="9" t="s">
        <v>288</v>
      </c>
      <c r="D1044" s="6" t="s">
        <v>350</v>
      </c>
      <c r="E1044" s="6">
        <f>IF(Table13[[#This Row],[Quartile]]="TopQuartile", 1,
 IF(Table13[[#This Row],[Quartile]]="SecondQuartile", 2,
 IF(Table13[[#This Row],[Quartile]]="ThirdQuartile", 3,
 IF(Table13[[#This Row],[Quartile]]="FourthQuartile", 4, ""))))</f>
        <v>4</v>
      </c>
      <c r="F1044" s="9" t="s">
        <v>525</v>
      </c>
      <c r="G1044" s="9" t="str" cm="1">
        <f t="array" ref="G1044">IFERROR(
  INDEX(Table13[Quartile],
    MATCH(1,
      (Table13[[#This Row],[OrgName]]=Table13[OrgName]) *
      (Table13[[#This Row],[Month Number]]-1=Table13[Month Number]),
    0)
  ),
"")</f>
        <v>FourthQuartile</v>
      </c>
      <c r="H1044" s="9">
        <f>IF(Table13[[#This Row],[Previous Quartile]]="TopQuartile", 1,
 IF(Table13[[#This Row],[Previous Quartile]]="SecondQuartile", 2,
 IF(Table13[[#This Row],[Previous Quartile]]="ThirdQuartile", 3,
 IF(Table13[[#This Row],[Previous Quartile]]="FourthQuartile", 4, ""))))</f>
        <v>4</v>
      </c>
      <c r="I1044" s="9" t="str">
        <f>IF(Table13[[#This Row],[Previous Quartile Value]]="", "",
   IF(Table13[[#This Row],[Quartile Value]] &lt; Table13[[#This Row],[Previous Quartile Value]], "Improved",
   IF(Table13[[#This Row],[Quartile Value]] &gt; Table13[[#This Row],[Previous Quartile Value]], "Dropped", "Same")))</f>
        <v>Same</v>
      </c>
      <c r="J1044" s="9" t="s">
        <v>14</v>
      </c>
      <c r="K1044" s="7" t="str">
        <f>VLOOKUP(J1044,Introduction!$B$6:$C$14,2)</f>
        <v>South West</v>
      </c>
      <c r="L1044" s="11">
        <v>832</v>
      </c>
      <c r="M1044" s="12" t="s">
        <v>496</v>
      </c>
    </row>
    <row r="1045" spans="1:13" ht="19.95" customHeight="1" x14ac:dyDescent="0.25">
      <c r="A1045" s="41">
        <v>45383</v>
      </c>
      <c r="B1045" s="47">
        <f>MONTH(Table13[[#This Row],[YearMonth]])</f>
        <v>4</v>
      </c>
      <c r="C1045" s="9" t="s">
        <v>291</v>
      </c>
      <c r="D1045" s="6" t="s">
        <v>350</v>
      </c>
      <c r="E1045" s="6">
        <f>IF(Table13[[#This Row],[Quartile]]="TopQuartile", 1,
 IF(Table13[[#This Row],[Quartile]]="SecondQuartile", 2,
 IF(Table13[[#This Row],[Quartile]]="ThirdQuartile", 3,
 IF(Table13[[#This Row],[Quartile]]="FourthQuartile", 4, ""))))</f>
        <v>4</v>
      </c>
      <c r="F1045" s="9" t="s">
        <v>526</v>
      </c>
      <c r="G1045" s="9" t="str" cm="1">
        <f t="array" ref="G1045">IFERROR(
  INDEX(Table13[Quartile],
    MATCH(1,
      (Table13[[#This Row],[OrgName]]=Table13[OrgName]) *
      (Table13[[#This Row],[Month Number]]-1=Table13[Month Number]),
    0)
  ),
"")</f>
        <v>FourthQuartile</v>
      </c>
      <c r="H1045" s="9">
        <f>IF(Table13[[#This Row],[Previous Quartile]]="TopQuartile", 1,
 IF(Table13[[#This Row],[Previous Quartile]]="SecondQuartile", 2,
 IF(Table13[[#This Row],[Previous Quartile]]="ThirdQuartile", 3,
 IF(Table13[[#This Row],[Previous Quartile]]="FourthQuartile", 4, ""))))</f>
        <v>4</v>
      </c>
      <c r="I1045" s="9" t="str">
        <f>IF(Table13[[#This Row],[Previous Quartile Value]]="", "",
   IF(Table13[[#This Row],[Quartile Value]] &lt; Table13[[#This Row],[Previous Quartile Value]], "Improved",
   IF(Table13[[#This Row],[Quartile Value]] &gt; Table13[[#This Row],[Previous Quartile Value]], "Dropped", "Same")))</f>
        <v>Same</v>
      </c>
      <c r="J1045" s="9" t="s">
        <v>18</v>
      </c>
      <c r="K1045" s="7" t="str">
        <f>VLOOKUP(J1045,Introduction!$B$6:$C$14,2)</f>
        <v>Midlands</v>
      </c>
      <c r="L1045" s="11">
        <v>445</v>
      </c>
      <c r="M1045" s="12" t="s">
        <v>496</v>
      </c>
    </row>
    <row r="1046" spans="1:13" ht="19.95" customHeight="1" x14ac:dyDescent="0.25">
      <c r="A1046" s="41">
        <v>45383</v>
      </c>
      <c r="B1046" s="47">
        <f>MONTH(Table13[[#This Row],[YearMonth]])</f>
        <v>4</v>
      </c>
      <c r="C1046" s="9" t="s">
        <v>276</v>
      </c>
      <c r="D1046" s="6" t="s">
        <v>350</v>
      </c>
      <c r="E1046" s="6">
        <f>IF(Table13[[#This Row],[Quartile]]="TopQuartile", 1,
 IF(Table13[[#This Row],[Quartile]]="SecondQuartile", 2,
 IF(Table13[[#This Row],[Quartile]]="ThirdQuartile", 3,
 IF(Table13[[#This Row],[Quartile]]="FourthQuartile", 4, ""))))</f>
        <v>4</v>
      </c>
      <c r="F1046" s="9" t="s">
        <v>524</v>
      </c>
      <c r="G1046" s="9" t="str" cm="1">
        <f t="array" ref="G1046">IFERROR(
  INDEX(Table13[Quartile],
    MATCH(1,
      (Table13[[#This Row],[OrgName]]=Table13[OrgName]) *
      (Table13[[#This Row],[Month Number]]-1=Table13[Month Number]),
    0)
  ),
"")</f>
        <v>FourthQuartile</v>
      </c>
      <c r="H1046" s="9">
        <f>IF(Table13[[#This Row],[Previous Quartile]]="TopQuartile", 1,
 IF(Table13[[#This Row],[Previous Quartile]]="SecondQuartile", 2,
 IF(Table13[[#This Row],[Previous Quartile]]="ThirdQuartile", 3,
 IF(Table13[[#This Row],[Previous Quartile]]="FourthQuartile", 4, ""))))</f>
        <v>4</v>
      </c>
      <c r="I1046" s="9" t="str">
        <f>IF(Table13[[#This Row],[Previous Quartile Value]]="", "",
   IF(Table13[[#This Row],[Quartile Value]] &lt; Table13[[#This Row],[Previous Quartile Value]], "Improved",
   IF(Table13[[#This Row],[Quartile Value]] &gt; Table13[[#This Row],[Previous Quartile Value]], "Dropped", "Same")))</f>
        <v>Same</v>
      </c>
      <c r="J1046" s="9" t="s">
        <v>16</v>
      </c>
      <c r="K1046" s="7" t="str">
        <f>VLOOKUP(J1046,Introduction!$B$6:$C$14,2)</f>
        <v>South East</v>
      </c>
      <c r="L1046" s="11">
        <v>74</v>
      </c>
      <c r="M1046" s="12" t="s">
        <v>496</v>
      </c>
    </row>
    <row r="1047" spans="1:13" ht="19.95" customHeight="1" x14ac:dyDescent="0.25">
      <c r="A1047" s="41">
        <v>45383</v>
      </c>
      <c r="B1047" s="47">
        <f>MONTH(Table13[[#This Row],[YearMonth]])</f>
        <v>4</v>
      </c>
      <c r="C1047" s="9" t="s">
        <v>314</v>
      </c>
      <c r="D1047" s="6" t="s">
        <v>350</v>
      </c>
      <c r="E1047" s="6">
        <f>IF(Table13[[#This Row],[Quartile]]="TopQuartile", 1,
 IF(Table13[[#This Row],[Quartile]]="SecondQuartile", 2,
 IF(Table13[[#This Row],[Quartile]]="ThirdQuartile", 3,
 IF(Table13[[#This Row],[Quartile]]="FourthQuartile", 4, ""))))</f>
        <v>4</v>
      </c>
      <c r="F1047" s="9" t="s">
        <v>528</v>
      </c>
      <c r="G1047" s="9" t="str" cm="1">
        <f t="array" ref="G1047">IFERROR(
  INDEX(Table13[Quartile],
    MATCH(1,
      (Table13[[#This Row],[OrgName]]=Table13[OrgName]) *
      (Table13[[#This Row],[Month Number]]-1=Table13[Month Number]),
    0)
  ),
"")</f>
        <v>FourthQuartile</v>
      </c>
      <c r="H1047" s="9">
        <f>IF(Table13[[#This Row],[Previous Quartile]]="TopQuartile", 1,
 IF(Table13[[#This Row],[Previous Quartile]]="SecondQuartile", 2,
 IF(Table13[[#This Row],[Previous Quartile]]="ThirdQuartile", 3,
 IF(Table13[[#This Row],[Previous Quartile]]="FourthQuartile", 4, ""))))</f>
        <v>4</v>
      </c>
      <c r="I1047" s="9" t="str">
        <f>IF(Table13[[#This Row],[Previous Quartile Value]]="", "",
   IF(Table13[[#This Row],[Quartile Value]] &lt; Table13[[#This Row],[Previous Quartile Value]], "Improved",
   IF(Table13[[#This Row],[Quartile Value]] &gt; Table13[[#This Row],[Previous Quartile Value]], "Dropped", "Same")))</f>
        <v>Same</v>
      </c>
      <c r="J1047" s="9" t="s">
        <v>20</v>
      </c>
      <c r="K1047" s="7" t="str">
        <f>VLOOKUP(J1047,Introduction!$B$6:$C$14,2)</f>
        <v>East of England</v>
      </c>
      <c r="L1047" s="11">
        <v>829</v>
      </c>
      <c r="M1047" s="12" t="s">
        <v>496</v>
      </c>
    </row>
    <row r="1048" spans="1:13" ht="19.95" customHeight="1" x14ac:dyDescent="0.25">
      <c r="A1048" s="41">
        <v>45383</v>
      </c>
      <c r="B1048" s="47">
        <f>MONTH(Table13[[#This Row],[YearMonth]])</f>
        <v>4</v>
      </c>
      <c r="C1048" s="9" t="s">
        <v>28</v>
      </c>
      <c r="D1048" s="6" t="s">
        <v>330</v>
      </c>
      <c r="E1048" s="6">
        <f>IF(Table13[[#This Row],[Quartile]]="TopQuartile", 1,
 IF(Table13[[#This Row],[Quartile]]="SecondQuartile", 2,
 IF(Table13[[#This Row],[Quartile]]="ThirdQuartile", 3,
 IF(Table13[[#This Row],[Quartile]]="FourthQuartile", 4, ""))))</f>
        <v>1</v>
      </c>
      <c r="F1048" s="9" t="s">
        <v>529</v>
      </c>
      <c r="G1048" s="9" t="str" cm="1">
        <f t="array" ref="G1048">IFERROR(
  INDEX(Table13[Quartile],
    MATCH(1,
      (Table13[[#This Row],[OrgName]]=Table13[OrgName]) *
      (Table13[[#This Row],[Month Number]]-1=Table13[Month Number]),
    0)
  ),
"")</f>
        <v>TopQuartile</v>
      </c>
      <c r="H1048" s="9">
        <f>IF(Table13[[#This Row],[Previous Quartile]]="TopQuartile", 1,
 IF(Table13[[#This Row],[Previous Quartile]]="SecondQuartile", 2,
 IF(Table13[[#This Row],[Previous Quartile]]="ThirdQuartile", 3,
 IF(Table13[[#This Row],[Previous Quartile]]="FourthQuartile", 4, ""))))</f>
        <v>1</v>
      </c>
      <c r="I1048" s="9" t="str">
        <f>IF(Table13[[#This Row],[Previous Quartile Value]]="", "",
   IF(Table13[[#This Row],[Quartile Value]] &lt; Table13[[#This Row],[Previous Quartile Value]], "Improved",
   IF(Table13[[#This Row],[Quartile Value]] &gt; Table13[[#This Row],[Previous Quartile Value]], "Dropped", "Same")))</f>
        <v>Same</v>
      </c>
      <c r="J1048" s="9" t="s">
        <v>16</v>
      </c>
      <c r="K1048" s="7" t="str">
        <f>VLOOKUP(J1048,Introduction!$B$6:$C$14,2)</f>
        <v>South East</v>
      </c>
      <c r="L1048" s="11">
        <v>146</v>
      </c>
      <c r="M1048" s="12" t="s">
        <v>530</v>
      </c>
    </row>
    <row r="1049" spans="1:13" ht="19.95" customHeight="1" x14ac:dyDescent="0.25">
      <c r="A1049" s="41">
        <v>45383</v>
      </c>
      <c r="B1049" s="47">
        <f>MONTH(Table13[[#This Row],[YearMonth]])</f>
        <v>4</v>
      </c>
      <c r="C1049" s="9" t="s">
        <v>72</v>
      </c>
      <c r="D1049" s="6" t="s">
        <v>330</v>
      </c>
      <c r="E1049" s="6">
        <f>IF(Table13[[#This Row],[Quartile]]="TopQuartile", 1,
 IF(Table13[[#This Row],[Quartile]]="SecondQuartile", 2,
 IF(Table13[[#This Row],[Quartile]]="ThirdQuartile", 3,
 IF(Table13[[#This Row],[Quartile]]="FourthQuartile", 4, ""))))</f>
        <v>1</v>
      </c>
      <c r="F1049" s="9" t="s">
        <v>539</v>
      </c>
      <c r="G1049" s="9" t="str" cm="1">
        <f t="array" ref="G1049">IFERROR(
  INDEX(Table13[Quartile],
    MATCH(1,
      (Table13[[#This Row],[OrgName]]=Table13[OrgName]) *
      (Table13[[#This Row],[Month Number]]-1=Table13[Month Number]),
    0)
  ),
"")</f>
        <v>TopQuartile</v>
      </c>
      <c r="H1049" s="9">
        <f>IF(Table13[[#This Row],[Previous Quartile]]="TopQuartile", 1,
 IF(Table13[[#This Row],[Previous Quartile]]="SecondQuartile", 2,
 IF(Table13[[#This Row],[Previous Quartile]]="ThirdQuartile", 3,
 IF(Table13[[#This Row],[Previous Quartile]]="FourthQuartile", 4, ""))))</f>
        <v>1</v>
      </c>
      <c r="I1049" s="9" t="str">
        <f>IF(Table13[[#This Row],[Previous Quartile Value]]="", "",
   IF(Table13[[#This Row],[Quartile Value]] &lt; Table13[[#This Row],[Previous Quartile Value]], "Improved",
   IF(Table13[[#This Row],[Quartile Value]] &gt; Table13[[#This Row],[Previous Quartile Value]], "Dropped", "Same")))</f>
        <v>Same</v>
      </c>
      <c r="J1049" s="9" t="s">
        <v>18</v>
      </c>
      <c r="K1049" s="7" t="str">
        <f>VLOOKUP(J1049,Introduction!$B$6:$C$14,2)</f>
        <v>Midlands</v>
      </c>
      <c r="L1049" s="11">
        <v>66</v>
      </c>
      <c r="M1049" s="12" t="s">
        <v>530</v>
      </c>
    </row>
    <row r="1050" spans="1:13" ht="19.95" customHeight="1" x14ac:dyDescent="0.25">
      <c r="A1050" s="41">
        <v>45383</v>
      </c>
      <c r="B1050" s="47">
        <f>MONTH(Table13[[#This Row],[YearMonth]])</f>
        <v>4</v>
      </c>
      <c r="C1050" s="9" t="s">
        <v>64</v>
      </c>
      <c r="D1050" s="6" t="s">
        <v>330</v>
      </c>
      <c r="E1050" s="6">
        <f>IF(Table13[[#This Row],[Quartile]]="TopQuartile", 1,
 IF(Table13[[#This Row],[Quartile]]="SecondQuartile", 2,
 IF(Table13[[#This Row],[Quartile]]="ThirdQuartile", 3,
 IF(Table13[[#This Row],[Quartile]]="FourthQuartile", 4, ""))))</f>
        <v>1</v>
      </c>
      <c r="F1050" s="9" t="s">
        <v>537</v>
      </c>
      <c r="G1050" s="9" t="str" cm="1">
        <f t="array" ref="G1050">IFERROR(
  INDEX(Table13[Quartile],
    MATCH(1,
      (Table13[[#This Row],[OrgName]]=Table13[OrgName]) *
      (Table13[[#This Row],[Month Number]]-1=Table13[Month Number]),
    0)
  ),
"")</f>
        <v>SecondQuartile</v>
      </c>
      <c r="H1050" s="9">
        <f>IF(Table13[[#This Row],[Previous Quartile]]="TopQuartile", 1,
 IF(Table13[[#This Row],[Previous Quartile]]="SecondQuartile", 2,
 IF(Table13[[#This Row],[Previous Quartile]]="ThirdQuartile", 3,
 IF(Table13[[#This Row],[Previous Quartile]]="FourthQuartile", 4, ""))))</f>
        <v>2</v>
      </c>
      <c r="I1050" s="9" t="str">
        <f>IF(Table13[[#This Row],[Previous Quartile Value]]="", "",
   IF(Table13[[#This Row],[Quartile Value]] &lt; Table13[[#This Row],[Previous Quartile Value]], "Improved",
   IF(Table13[[#This Row],[Quartile Value]] &gt; Table13[[#This Row],[Previous Quartile Value]], "Dropped", "Same")))</f>
        <v>Improved</v>
      </c>
      <c r="J1050" s="9" t="s">
        <v>20</v>
      </c>
      <c r="K1050" s="7" t="str">
        <f>VLOOKUP(J1050,Introduction!$B$6:$C$14,2)</f>
        <v>East of England</v>
      </c>
      <c r="L1050" s="11">
        <v>465</v>
      </c>
      <c r="M1050" s="12" t="s">
        <v>530</v>
      </c>
    </row>
    <row r="1051" spans="1:13" ht="19.95" customHeight="1" x14ac:dyDescent="0.25">
      <c r="A1051" s="41">
        <v>45383</v>
      </c>
      <c r="B1051" s="47">
        <f>MONTH(Table13[[#This Row],[YearMonth]])</f>
        <v>4</v>
      </c>
      <c r="C1051" s="9" t="s">
        <v>65</v>
      </c>
      <c r="D1051" s="6" t="s">
        <v>330</v>
      </c>
      <c r="E1051" s="6">
        <f>IF(Table13[[#This Row],[Quartile]]="TopQuartile", 1,
 IF(Table13[[#This Row],[Quartile]]="SecondQuartile", 2,
 IF(Table13[[#This Row],[Quartile]]="ThirdQuartile", 3,
 IF(Table13[[#This Row],[Quartile]]="FourthQuartile", 4, ""))))</f>
        <v>1</v>
      </c>
      <c r="F1051" s="9" t="s">
        <v>538</v>
      </c>
      <c r="G1051" s="9" t="str" cm="1">
        <f t="array" ref="G1051">IFERROR(
  INDEX(Table13[Quartile],
    MATCH(1,
      (Table13[[#This Row],[OrgName]]=Table13[OrgName]) *
      (Table13[[#This Row],[Month Number]]-1=Table13[Month Number]),
    0)
  ),
"")</f>
        <v>TopQuartile</v>
      </c>
      <c r="H1051" s="9">
        <f>IF(Table13[[#This Row],[Previous Quartile]]="TopQuartile", 1,
 IF(Table13[[#This Row],[Previous Quartile]]="SecondQuartile", 2,
 IF(Table13[[#This Row],[Previous Quartile]]="ThirdQuartile", 3,
 IF(Table13[[#This Row],[Previous Quartile]]="FourthQuartile", 4, ""))))</f>
        <v>1</v>
      </c>
      <c r="I1051" s="9" t="str">
        <f>IF(Table13[[#This Row],[Previous Quartile Value]]="", "",
   IF(Table13[[#This Row],[Quartile Value]] &lt; Table13[[#This Row],[Previous Quartile Value]], "Improved",
   IF(Table13[[#This Row],[Quartile Value]] &gt; Table13[[#This Row],[Previous Quartile Value]], "Dropped", "Same")))</f>
        <v>Same</v>
      </c>
      <c r="J1051" s="9" t="s">
        <v>18</v>
      </c>
      <c r="K1051" s="7" t="str">
        <f>VLOOKUP(J1051,Introduction!$B$6:$C$14,2)</f>
        <v>Midlands</v>
      </c>
      <c r="L1051" s="11">
        <v>86</v>
      </c>
      <c r="M1051" s="12" t="s">
        <v>530</v>
      </c>
    </row>
    <row r="1052" spans="1:13" ht="19.95" customHeight="1" x14ac:dyDescent="0.25">
      <c r="A1052" s="41">
        <v>45383</v>
      </c>
      <c r="B1052" s="47">
        <f>MONTH(Table13[[#This Row],[YearMonth]])</f>
        <v>4</v>
      </c>
      <c r="C1052" s="9" t="s">
        <v>51</v>
      </c>
      <c r="D1052" s="6" t="s">
        <v>330</v>
      </c>
      <c r="E1052" s="6">
        <f>IF(Table13[[#This Row],[Quartile]]="TopQuartile", 1,
 IF(Table13[[#This Row],[Quartile]]="SecondQuartile", 2,
 IF(Table13[[#This Row],[Quartile]]="ThirdQuartile", 3,
 IF(Table13[[#This Row],[Quartile]]="FourthQuartile", 4, ""))))</f>
        <v>1</v>
      </c>
      <c r="F1052" s="9" t="s">
        <v>535</v>
      </c>
      <c r="G1052" s="9" t="str" cm="1">
        <f t="array" ref="G1052">IFERROR(
  INDEX(Table13[Quartile],
    MATCH(1,
      (Table13[[#This Row],[OrgName]]=Table13[OrgName]) *
      (Table13[[#This Row],[Month Number]]-1=Table13[Month Number]),
    0)
  ),
"")</f>
        <v>TopQuartile</v>
      </c>
      <c r="H1052" s="9">
        <f>IF(Table13[[#This Row],[Previous Quartile]]="TopQuartile", 1,
 IF(Table13[[#This Row],[Previous Quartile]]="SecondQuartile", 2,
 IF(Table13[[#This Row],[Previous Quartile]]="ThirdQuartile", 3,
 IF(Table13[[#This Row],[Previous Quartile]]="FourthQuartile", 4, ""))))</f>
        <v>1</v>
      </c>
      <c r="I1052" s="9" t="str">
        <f>IF(Table13[[#This Row],[Previous Quartile Value]]="", "",
   IF(Table13[[#This Row],[Quartile Value]] &lt; Table13[[#This Row],[Previous Quartile Value]], "Improved",
   IF(Table13[[#This Row],[Quartile Value]] &gt; Table13[[#This Row],[Previous Quartile Value]], "Dropped", "Same")))</f>
        <v>Same</v>
      </c>
      <c r="J1052" s="9" t="s">
        <v>16</v>
      </c>
      <c r="K1052" s="7" t="str">
        <f>VLOOKUP(J1052,Introduction!$B$6:$C$14,2)</f>
        <v>South East</v>
      </c>
      <c r="L1052" s="11">
        <v>482</v>
      </c>
      <c r="M1052" s="12" t="s">
        <v>530</v>
      </c>
    </row>
    <row r="1053" spans="1:13" ht="19.95" customHeight="1" x14ac:dyDescent="0.25">
      <c r="A1053" s="41">
        <v>45383</v>
      </c>
      <c r="B1053" s="47">
        <f>MONTH(Table13[[#This Row],[YearMonth]])</f>
        <v>4</v>
      </c>
      <c r="C1053" s="9" t="s">
        <v>83</v>
      </c>
      <c r="D1053" s="6" t="s">
        <v>330</v>
      </c>
      <c r="E1053" s="6">
        <f>IF(Table13[[#This Row],[Quartile]]="TopQuartile", 1,
 IF(Table13[[#This Row],[Quartile]]="SecondQuartile", 2,
 IF(Table13[[#This Row],[Quartile]]="ThirdQuartile", 3,
 IF(Table13[[#This Row],[Quartile]]="FourthQuartile", 4, ""))))</f>
        <v>1</v>
      </c>
      <c r="F1053" s="9" t="s">
        <v>542</v>
      </c>
      <c r="G1053" s="9" t="str" cm="1">
        <f t="array" ref="G1053">IFERROR(
  INDEX(Table13[Quartile],
    MATCH(1,
      (Table13[[#This Row],[OrgName]]=Table13[OrgName]) *
      (Table13[[#This Row],[Month Number]]-1=Table13[Month Number]),
    0)
  ),
"")</f>
        <v>TopQuartile</v>
      </c>
      <c r="H1053" s="9">
        <f>IF(Table13[[#This Row],[Previous Quartile]]="TopQuartile", 1,
 IF(Table13[[#This Row],[Previous Quartile]]="SecondQuartile", 2,
 IF(Table13[[#This Row],[Previous Quartile]]="ThirdQuartile", 3,
 IF(Table13[[#This Row],[Previous Quartile]]="FourthQuartile", 4, ""))))</f>
        <v>1</v>
      </c>
      <c r="I1053" s="9" t="str">
        <f>IF(Table13[[#This Row],[Previous Quartile Value]]="", "",
   IF(Table13[[#This Row],[Quartile Value]] &lt; Table13[[#This Row],[Previous Quartile Value]], "Improved",
   IF(Table13[[#This Row],[Quartile Value]] &gt; Table13[[#This Row],[Previous Quartile Value]], "Dropped", "Same")))</f>
        <v>Same</v>
      </c>
      <c r="J1053" s="9" t="s">
        <v>18</v>
      </c>
      <c r="K1053" s="7" t="str">
        <f>VLOOKUP(J1053,Introduction!$B$6:$C$14,2)</f>
        <v>Midlands</v>
      </c>
      <c r="L1053" s="11">
        <v>116</v>
      </c>
      <c r="M1053" s="12" t="s">
        <v>530</v>
      </c>
    </row>
    <row r="1054" spans="1:13" ht="19.95" customHeight="1" x14ac:dyDescent="0.25">
      <c r="A1054" s="41">
        <v>45383</v>
      </c>
      <c r="B1054" s="47">
        <f>MONTH(Table13[[#This Row],[YearMonth]])</f>
        <v>4</v>
      </c>
      <c r="C1054" s="9" t="s">
        <v>42</v>
      </c>
      <c r="D1054" s="6" t="s">
        <v>330</v>
      </c>
      <c r="E1054" s="6">
        <f>IF(Table13[[#This Row],[Quartile]]="TopQuartile", 1,
 IF(Table13[[#This Row],[Quartile]]="SecondQuartile", 2,
 IF(Table13[[#This Row],[Quartile]]="ThirdQuartile", 3,
 IF(Table13[[#This Row],[Quartile]]="FourthQuartile", 4, ""))))</f>
        <v>1</v>
      </c>
      <c r="F1054" s="9" t="s">
        <v>533</v>
      </c>
      <c r="G1054" s="9" t="str" cm="1">
        <f t="array" ref="G1054">IFERROR(
  INDEX(Table13[Quartile],
    MATCH(1,
      (Table13[[#This Row],[OrgName]]=Table13[OrgName]) *
      (Table13[[#This Row],[Month Number]]-1=Table13[Month Number]),
    0)
  ),
"")</f>
        <v>TopQuartile</v>
      </c>
      <c r="H1054" s="9">
        <f>IF(Table13[[#This Row],[Previous Quartile]]="TopQuartile", 1,
 IF(Table13[[#This Row],[Previous Quartile]]="SecondQuartile", 2,
 IF(Table13[[#This Row],[Previous Quartile]]="ThirdQuartile", 3,
 IF(Table13[[#This Row],[Previous Quartile]]="FourthQuartile", 4, ""))))</f>
        <v>1</v>
      </c>
      <c r="I1054" s="9" t="str">
        <f>IF(Table13[[#This Row],[Previous Quartile Value]]="", "",
   IF(Table13[[#This Row],[Quartile Value]] &lt; Table13[[#This Row],[Previous Quartile Value]], "Improved",
   IF(Table13[[#This Row],[Quartile Value]] &gt; Table13[[#This Row],[Previous Quartile Value]], "Dropped", "Same")))</f>
        <v>Same</v>
      </c>
      <c r="J1054" s="9" t="s">
        <v>18</v>
      </c>
      <c r="K1054" s="7" t="str">
        <f>VLOOKUP(J1054,Introduction!$B$6:$C$14,2)</f>
        <v>Midlands</v>
      </c>
      <c r="L1054" s="11">
        <v>106</v>
      </c>
      <c r="M1054" s="12" t="s">
        <v>530</v>
      </c>
    </row>
    <row r="1055" spans="1:13" ht="19.95" customHeight="1" x14ac:dyDescent="0.25">
      <c r="A1055" s="41">
        <v>45383</v>
      </c>
      <c r="B1055" s="47">
        <f>MONTH(Table13[[#This Row],[YearMonth]])</f>
        <v>4</v>
      </c>
      <c r="C1055" s="9" t="s">
        <v>29</v>
      </c>
      <c r="D1055" s="6" t="s">
        <v>330</v>
      </c>
      <c r="E1055" s="6">
        <f>IF(Table13[[#This Row],[Quartile]]="TopQuartile", 1,
 IF(Table13[[#This Row],[Quartile]]="SecondQuartile", 2,
 IF(Table13[[#This Row],[Quartile]]="ThirdQuartile", 3,
 IF(Table13[[#This Row],[Quartile]]="FourthQuartile", 4, ""))))</f>
        <v>1</v>
      </c>
      <c r="F1055" s="9" t="s">
        <v>531</v>
      </c>
      <c r="G1055" s="9" t="str" cm="1">
        <f t="array" ref="G1055">IFERROR(
  INDEX(Table13[Quartile],
    MATCH(1,
      (Table13[[#This Row],[OrgName]]=Table13[OrgName]) *
      (Table13[[#This Row],[Month Number]]-1=Table13[Month Number]),
    0)
  ),
"")</f>
        <v>TopQuartile</v>
      </c>
      <c r="H1055" s="9">
        <f>IF(Table13[[#This Row],[Previous Quartile]]="TopQuartile", 1,
 IF(Table13[[#This Row],[Previous Quartile]]="SecondQuartile", 2,
 IF(Table13[[#This Row],[Previous Quartile]]="ThirdQuartile", 3,
 IF(Table13[[#This Row],[Previous Quartile]]="FourthQuartile", 4, ""))))</f>
        <v>1</v>
      </c>
      <c r="I1055" s="9" t="str">
        <f>IF(Table13[[#This Row],[Previous Quartile Value]]="", "",
   IF(Table13[[#This Row],[Quartile Value]] &lt; Table13[[#This Row],[Previous Quartile Value]], "Improved",
   IF(Table13[[#This Row],[Quartile Value]] &gt; Table13[[#This Row],[Previous Quartile Value]], "Dropped", "Same")))</f>
        <v>Same</v>
      </c>
      <c r="J1055" s="9" t="s">
        <v>14</v>
      </c>
      <c r="K1055" s="7" t="str">
        <f>VLOOKUP(J1055,Introduction!$B$6:$C$14,2)</f>
        <v>South West</v>
      </c>
      <c r="L1055" s="11">
        <v>843</v>
      </c>
      <c r="M1055" s="12" t="s">
        <v>530</v>
      </c>
    </row>
    <row r="1056" spans="1:13" ht="19.95" customHeight="1" x14ac:dyDescent="0.25">
      <c r="A1056" s="41">
        <v>45383</v>
      </c>
      <c r="B1056" s="47">
        <f>MONTH(Table13[[#This Row],[YearMonth]])</f>
        <v>4</v>
      </c>
      <c r="C1056" s="9" t="s">
        <v>110</v>
      </c>
      <c r="D1056" s="6" t="s">
        <v>330</v>
      </c>
      <c r="E1056" s="6">
        <f>IF(Table13[[#This Row],[Quartile]]="TopQuartile", 1,
 IF(Table13[[#This Row],[Quartile]]="SecondQuartile", 2,
 IF(Table13[[#This Row],[Quartile]]="ThirdQuartile", 3,
 IF(Table13[[#This Row],[Quartile]]="FourthQuartile", 4, ""))))</f>
        <v>1</v>
      </c>
      <c r="F1056" s="9" t="s">
        <v>545</v>
      </c>
      <c r="G1056" s="9" t="str" cm="1">
        <f t="array" ref="G1056">IFERROR(
  INDEX(Table13[Quartile],
    MATCH(1,
      (Table13[[#This Row],[OrgName]]=Table13[OrgName]) *
      (Table13[[#This Row],[Month Number]]-1=Table13[Month Number]),
    0)
  ),
"")</f>
        <v>TopQuartile</v>
      </c>
      <c r="H1056" s="9">
        <f>IF(Table13[[#This Row],[Previous Quartile]]="TopQuartile", 1,
 IF(Table13[[#This Row],[Previous Quartile]]="SecondQuartile", 2,
 IF(Table13[[#This Row],[Previous Quartile]]="ThirdQuartile", 3,
 IF(Table13[[#This Row],[Previous Quartile]]="FourthQuartile", 4, ""))))</f>
        <v>1</v>
      </c>
      <c r="I1056" s="9" t="str">
        <f>IF(Table13[[#This Row],[Previous Quartile Value]]="", "",
   IF(Table13[[#This Row],[Quartile Value]] &lt; Table13[[#This Row],[Previous Quartile Value]], "Improved",
   IF(Table13[[#This Row],[Quartile Value]] &gt; Table13[[#This Row],[Previous Quartile Value]], "Dropped", "Same")))</f>
        <v>Same</v>
      </c>
      <c r="J1056" s="9" t="s">
        <v>16</v>
      </c>
      <c r="K1056" s="7" t="str">
        <f>VLOOKUP(J1056,Introduction!$B$6:$C$14,2)</f>
        <v>South East</v>
      </c>
      <c r="L1056" s="11">
        <v>104</v>
      </c>
      <c r="M1056" s="12" t="s">
        <v>530</v>
      </c>
    </row>
    <row r="1057" spans="1:13" ht="19.95" customHeight="1" x14ac:dyDescent="0.25">
      <c r="A1057" s="41">
        <v>45383</v>
      </c>
      <c r="B1057" s="47">
        <f>MONTH(Table13[[#This Row],[YearMonth]])</f>
        <v>4</v>
      </c>
      <c r="C1057" s="9" t="s">
        <v>73</v>
      </c>
      <c r="D1057" s="6" t="s">
        <v>330</v>
      </c>
      <c r="E1057" s="6">
        <f>IF(Table13[[#This Row],[Quartile]]="TopQuartile", 1,
 IF(Table13[[#This Row],[Quartile]]="SecondQuartile", 2,
 IF(Table13[[#This Row],[Quartile]]="ThirdQuartile", 3,
 IF(Table13[[#This Row],[Quartile]]="FourthQuartile", 4, ""))))</f>
        <v>1</v>
      </c>
      <c r="F1057" s="9" t="s">
        <v>540</v>
      </c>
      <c r="G1057" s="9" t="str" cm="1">
        <f t="array" ref="G1057">IFERROR(
  INDEX(Table13[Quartile],
    MATCH(1,
      (Table13[[#This Row],[OrgName]]=Table13[OrgName]) *
      (Table13[[#This Row],[Month Number]]-1=Table13[Month Number]),
    0)
  ),
"")</f>
        <v>TopQuartile</v>
      </c>
      <c r="H1057" s="9">
        <f>IF(Table13[[#This Row],[Previous Quartile]]="TopQuartile", 1,
 IF(Table13[[#This Row],[Previous Quartile]]="SecondQuartile", 2,
 IF(Table13[[#This Row],[Previous Quartile]]="ThirdQuartile", 3,
 IF(Table13[[#This Row],[Previous Quartile]]="FourthQuartile", 4, ""))))</f>
        <v>1</v>
      </c>
      <c r="I1057" s="9" t="str">
        <f>IF(Table13[[#This Row],[Previous Quartile Value]]="", "",
   IF(Table13[[#This Row],[Quartile Value]] &lt; Table13[[#This Row],[Previous Quartile Value]], "Improved",
   IF(Table13[[#This Row],[Quartile Value]] &gt; Table13[[#This Row],[Previous Quartile Value]], "Dropped", "Same")))</f>
        <v>Same</v>
      </c>
      <c r="J1057" s="9" t="s">
        <v>14</v>
      </c>
      <c r="K1057" s="7" t="str">
        <f>VLOOKUP(J1057,Introduction!$B$6:$C$14,2)</f>
        <v>South West</v>
      </c>
      <c r="L1057" s="11">
        <v>462</v>
      </c>
      <c r="M1057" s="12" t="s">
        <v>530</v>
      </c>
    </row>
    <row r="1058" spans="1:13" ht="19.95" customHeight="1" x14ac:dyDescent="0.25">
      <c r="A1058" s="41">
        <v>45383</v>
      </c>
      <c r="B1058" s="47">
        <f>MONTH(Table13[[#This Row],[YearMonth]])</f>
        <v>4</v>
      </c>
      <c r="C1058" s="9" t="s">
        <v>93</v>
      </c>
      <c r="D1058" s="6" t="s">
        <v>330</v>
      </c>
      <c r="E1058" s="6">
        <f>IF(Table13[[#This Row],[Quartile]]="TopQuartile", 1,
 IF(Table13[[#This Row],[Quartile]]="SecondQuartile", 2,
 IF(Table13[[#This Row],[Quartile]]="ThirdQuartile", 3,
 IF(Table13[[#This Row],[Quartile]]="FourthQuartile", 4, ""))))</f>
        <v>1</v>
      </c>
      <c r="F1058" s="9" t="s">
        <v>543</v>
      </c>
      <c r="G1058" s="9" t="str" cm="1">
        <f t="array" ref="G1058">IFERROR(
  INDEX(Table13[Quartile],
    MATCH(1,
      (Table13[[#This Row],[OrgName]]=Table13[OrgName]) *
      (Table13[[#This Row],[Month Number]]-1=Table13[Month Number]),
    0)
  ),
"")</f>
        <v>SecondQuartile</v>
      </c>
      <c r="H1058" s="9">
        <f>IF(Table13[[#This Row],[Previous Quartile]]="TopQuartile", 1,
 IF(Table13[[#This Row],[Previous Quartile]]="SecondQuartile", 2,
 IF(Table13[[#This Row],[Previous Quartile]]="ThirdQuartile", 3,
 IF(Table13[[#This Row],[Previous Quartile]]="FourthQuartile", 4, ""))))</f>
        <v>2</v>
      </c>
      <c r="I1058" s="9" t="str">
        <f>IF(Table13[[#This Row],[Previous Quartile Value]]="", "",
   IF(Table13[[#This Row],[Quartile Value]] &lt; Table13[[#This Row],[Previous Quartile Value]], "Improved",
   IF(Table13[[#This Row],[Quartile Value]] &gt; Table13[[#This Row],[Previous Quartile Value]], "Dropped", "Same")))</f>
        <v>Improved</v>
      </c>
      <c r="J1058" s="9" t="s">
        <v>16</v>
      </c>
      <c r="K1058" s="7" t="str">
        <f>VLOOKUP(J1058,Introduction!$B$6:$C$14,2)</f>
        <v>South East</v>
      </c>
      <c r="L1058" s="11">
        <v>495</v>
      </c>
      <c r="M1058" s="12" t="s">
        <v>530</v>
      </c>
    </row>
    <row r="1059" spans="1:13" ht="19.95" customHeight="1" x14ac:dyDescent="0.25">
      <c r="A1059" s="41">
        <v>45383</v>
      </c>
      <c r="B1059" s="47">
        <f>MONTH(Table13[[#This Row],[YearMonth]])</f>
        <v>4</v>
      </c>
      <c r="C1059" s="9" t="s">
        <v>63</v>
      </c>
      <c r="D1059" s="6" t="s">
        <v>330</v>
      </c>
      <c r="E1059" s="6">
        <f>IF(Table13[[#This Row],[Quartile]]="TopQuartile", 1,
 IF(Table13[[#This Row],[Quartile]]="SecondQuartile", 2,
 IF(Table13[[#This Row],[Quartile]]="ThirdQuartile", 3,
 IF(Table13[[#This Row],[Quartile]]="FourthQuartile", 4, ""))))</f>
        <v>1</v>
      </c>
      <c r="F1059" s="9" t="s">
        <v>536</v>
      </c>
      <c r="G1059" s="9" t="str" cm="1">
        <f t="array" ref="G1059">IFERROR(
  INDEX(Table13[Quartile],
    MATCH(1,
      (Table13[[#This Row],[OrgName]]=Table13[OrgName]) *
      (Table13[[#This Row],[Month Number]]-1=Table13[Month Number]),
    0)
  ),
"")</f>
        <v>TopQuartile</v>
      </c>
      <c r="H1059" s="9">
        <f>IF(Table13[[#This Row],[Previous Quartile]]="TopQuartile", 1,
 IF(Table13[[#This Row],[Previous Quartile]]="SecondQuartile", 2,
 IF(Table13[[#This Row],[Previous Quartile]]="ThirdQuartile", 3,
 IF(Table13[[#This Row],[Previous Quartile]]="FourthQuartile", 4, ""))))</f>
        <v>1</v>
      </c>
      <c r="I1059" s="9" t="str">
        <f>IF(Table13[[#This Row],[Previous Quartile Value]]="", "",
   IF(Table13[[#This Row],[Quartile Value]] &lt; Table13[[#This Row],[Previous Quartile Value]], "Improved",
   IF(Table13[[#This Row],[Quartile Value]] &gt; Table13[[#This Row],[Previous Quartile Value]], "Dropped", "Same")))</f>
        <v>Same</v>
      </c>
      <c r="J1059" s="9" t="s">
        <v>14</v>
      </c>
      <c r="K1059" s="7" t="str">
        <f>VLOOKUP(J1059,Introduction!$B$6:$C$14,2)</f>
        <v>South West</v>
      </c>
      <c r="L1059" s="11">
        <v>983</v>
      </c>
      <c r="M1059" s="12" t="s">
        <v>530</v>
      </c>
    </row>
    <row r="1060" spans="1:13" ht="19.95" customHeight="1" x14ac:dyDescent="0.25">
      <c r="A1060" s="41">
        <v>45383</v>
      </c>
      <c r="B1060" s="47">
        <f>MONTH(Table13[[#This Row],[YearMonth]])</f>
        <v>4</v>
      </c>
      <c r="C1060" s="9" t="s">
        <v>100</v>
      </c>
      <c r="D1060" s="6" t="s">
        <v>330</v>
      </c>
      <c r="E1060" s="6">
        <f>IF(Table13[[#This Row],[Quartile]]="TopQuartile", 1,
 IF(Table13[[#This Row],[Quartile]]="SecondQuartile", 2,
 IF(Table13[[#This Row],[Quartile]]="ThirdQuartile", 3,
 IF(Table13[[#This Row],[Quartile]]="FourthQuartile", 4, ""))))</f>
        <v>1</v>
      </c>
      <c r="F1060" s="9" t="s">
        <v>544</v>
      </c>
      <c r="G1060" s="9" t="str" cm="1">
        <f t="array" ref="G1060">IFERROR(
  INDEX(Table13[Quartile],
    MATCH(1,
      (Table13[[#This Row],[OrgName]]=Table13[OrgName]) *
      (Table13[[#This Row],[Month Number]]-1=Table13[Month Number]),
    0)
  ),
"")</f>
        <v>SecondQuartile</v>
      </c>
      <c r="H1060" s="9">
        <f>IF(Table13[[#This Row],[Previous Quartile]]="TopQuartile", 1,
 IF(Table13[[#This Row],[Previous Quartile]]="SecondQuartile", 2,
 IF(Table13[[#This Row],[Previous Quartile]]="ThirdQuartile", 3,
 IF(Table13[[#This Row],[Previous Quartile]]="FourthQuartile", 4, ""))))</f>
        <v>2</v>
      </c>
      <c r="I1060" s="9" t="str">
        <f>IF(Table13[[#This Row],[Previous Quartile Value]]="", "",
   IF(Table13[[#This Row],[Quartile Value]] &lt; Table13[[#This Row],[Previous Quartile Value]], "Improved",
   IF(Table13[[#This Row],[Quartile Value]] &gt; Table13[[#This Row],[Previous Quartile Value]], "Dropped", "Same")))</f>
        <v>Improved</v>
      </c>
      <c r="J1060" s="9" t="s">
        <v>24</v>
      </c>
      <c r="K1060" s="7" t="str">
        <f>VLOOKUP(J1060,Introduction!$B$6:$C$14,2)</f>
        <v>North East and Yorkshire</v>
      </c>
      <c r="L1060" s="11">
        <v>133</v>
      </c>
      <c r="M1060" s="12" t="s">
        <v>530</v>
      </c>
    </row>
    <row r="1061" spans="1:13" ht="19.95" customHeight="1" x14ac:dyDescent="0.25">
      <c r="A1061" s="41">
        <v>45383</v>
      </c>
      <c r="B1061" s="47">
        <f>MONTH(Table13[[#This Row],[YearMonth]])</f>
        <v>4</v>
      </c>
      <c r="C1061" s="9" t="s">
        <v>76</v>
      </c>
      <c r="D1061" s="6" t="s">
        <v>330</v>
      </c>
      <c r="E1061" s="6">
        <f>IF(Table13[[#This Row],[Quartile]]="TopQuartile", 1,
 IF(Table13[[#This Row],[Quartile]]="SecondQuartile", 2,
 IF(Table13[[#This Row],[Quartile]]="ThirdQuartile", 3,
 IF(Table13[[#This Row],[Quartile]]="FourthQuartile", 4, ""))))</f>
        <v>1</v>
      </c>
      <c r="F1061" s="9" t="s">
        <v>541</v>
      </c>
      <c r="G1061" s="9" t="str" cm="1">
        <f t="array" ref="G1061">IFERROR(
  INDEX(Table13[Quartile],
    MATCH(1,
      (Table13[[#This Row],[OrgName]]=Table13[OrgName]) *
      (Table13[[#This Row],[Month Number]]-1=Table13[Month Number]),
    0)
  ),
"")</f>
        <v>TopQuartile</v>
      </c>
      <c r="H1061" s="9">
        <f>IF(Table13[[#This Row],[Previous Quartile]]="TopQuartile", 1,
 IF(Table13[[#This Row],[Previous Quartile]]="SecondQuartile", 2,
 IF(Table13[[#This Row],[Previous Quartile]]="ThirdQuartile", 3,
 IF(Table13[[#This Row],[Previous Quartile]]="FourthQuartile", 4, ""))))</f>
        <v>1</v>
      </c>
      <c r="I1061" s="9" t="str">
        <f>IF(Table13[[#This Row],[Previous Quartile Value]]="", "",
   IF(Table13[[#This Row],[Quartile Value]] &lt; Table13[[#This Row],[Previous Quartile Value]], "Improved",
   IF(Table13[[#This Row],[Quartile Value]] &gt; Table13[[#This Row],[Previous Quartile Value]], "Dropped", "Same")))</f>
        <v>Same</v>
      </c>
      <c r="J1061" s="9" t="s">
        <v>14</v>
      </c>
      <c r="K1061" s="7" t="str">
        <f>VLOOKUP(J1061,Introduction!$B$6:$C$14,2)</f>
        <v>South West</v>
      </c>
      <c r="L1061" s="11">
        <v>144</v>
      </c>
      <c r="M1061" s="12" t="s">
        <v>530</v>
      </c>
    </row>
    <row r="1062" spans="1:13" ht="19.95" customHeight="1" x14ac:dyDescent="0.25">
      <c r="A1062" s="41">
        <v>45383</v>
      </c>
      <c r="B1062" s="47">
        <f>MONTH(Table13[[#This Row],[YearMonth]])</f>
        <v>4</v>
      </c>
      <c r="C1062" s="9" t="s">
        <v>48</v>
      </c>
      <c r="D1062" s="6" t="s">
        <v>330</v>
      </c>
      <c r="E1062" s="6">
        <f>IF(Table13[[#This Row],[Quartile]]="TopQuartile", 1,
 IF(Table13[[#This Row],[Quartile]]="SecondQuartile", 2,
 IF(Table13[[#This Row],[Quartile]]="ThirdQuartile", 3,
 IF(Table13[[#This Row],[Quartile]]="FourthQuartile", 4, ""))))</f>
        <v>1</v>
      </c>
      <c r="F1062" s="9" t="s">
        <v>534</v>
      </c>
      <c r="G1062" s="9" t="str" cm="1">
        <f t="array" ref="G1062">IFERROR(
  INDEX(Table13[Quartile],
    MATCH(1,
      (Table13[[#This Row],[OrgName]]=Table13[OrgName]) *
      (Table13[[#This Row],[Month Number]]-1=Table13[Month Number]),
    0)
  ),
"")</f>
        <v>TopQuartile</v>
      </c>
      <c r="H1062" s="9">
        <f>IF(Table13[[#This Row],[Previous Quartile]]="TopQuartile", 1,
 IF(Table13[[#This Row],[Previous Quartile]]="SecondQuartile", 2,
 IF(Table13[[#This Row],[Previous Quartile]]="ThirdQuartile", 3,
 IF(Table13[[#This Row],[Previous Quartile]]="FourthQuartile", 4, ""))))</f>
        <v>1</v>
      </c>
      <c r="I1062" s="9" t="str">
        <f>IF(Table13[[#This Row],[Previous Quartile Value]]="", "",
   IF(Table13[[#This Row],[Quartile Value]] &lt; Table13[[#This Row],[Previous Quartile Value]], "Improved",
   IF(Table13[[#This Row],[Quartile Value]] &gt; Table13[[#This Row],[Previous Quartile Value]], "Dropped", "Same")))</f>
        <v>Same</v>
      </c>
      <c r="J1062" s="9" t="s">
        <v>22</v>
      </c>
      <c r="K1062" s="7" t="str">
        <f>VLOOKUP(J1062,Introduction!$B$6:$C$14,2)</f>
        <v>North West</v>
      </c>
      <c r="L1062" s="11">
        <v>493</v>
      </c>
      <c r="M1062" s="12" t="s">
        <v>530</v>
      </c>
    </row>
    <row r="1063" spans="1:13" ht="19.95" customHeight="1" x14ac:dyDescent="0.25">
      <c r="A1063" s="41">
        <v>45383</v>
      </c>
      <c r="B1063" s="47">
        <f>MONTH(Table13[[#This Row],[YearMonth]])</f>
        <v>4</v>
      </c>
      <c r="C1063" s="9" t="s">
        <v>30</v>
      </c>
      <c r="D1063" s="6" t="s">
        <v>330</v>
      </c>
      <c r="E1063" s="6">
        <f>IF(Table13[[#This Row],[Quartile]]="TopQuartile", 1,
 IF(Table13[[#This Row],[Quartile]]="SecondQuartile", 2,
 IF(Table13[[#This Row],[Quartile]]="ThirdQuartile", 3,
 IF(Table13[[#This Row],[Quartile]]="FourthQuartile", 4, ""))))</f>
        <v>1</v>
      </c>
      <c r="F1063" s="9" t="s">
        <v>532</v>
      </c>
      <c r="G1063" s="9" t="str" cm="1">
        <f t="array" ref="G1063">IFERROR(
  INDEX(Table13[Quartile],
    MATCH(1,
      (Table13[[#This Row],[OrgName]]=Table13[OrgName]) *
      (Table13[[#This Row],[Month Number]]-1=Table13[Month Number]),
    0)
  ),
"")</f>
        <v>TopQuartile</v>
      </c>
      <c r="H1063" s="9">
        <f>IF(Table13[[#This Row],[Previous Quartile]]="TopQuartile", 1,
 IF(Table13[[#This Row],[Previous Quartile]]="SecondQuartile", 2,
 IF(Table13[[#This Row],[Previous Quartile]]="ThirdQuartile", 3,
 IF(Table13[[#This Row],[Previous Quartile]]="FourthQuartile", 4, ""))))</f>
        <v>1</v>
      </c>
      <c r="I1063" s="9" t="str">
        <f>IF(Table13[[#This Row],[Previous Quartile Value]]="", "",
   IF(Table13[[#This Row],[Quartile Value]] &lt; Table13[[#This Row],[Previous Quartile Value]], "Improved",
   IF(Table13[[#This Row],[Quartile Value]] &gt; Table13[[#This Row],[Previous Quartile Value]], "Dropped", "Same")))</f>
        <v>Same</v>
      </c>
      <c r="J1063" s="9" t="s">
        <v>14</v>
      </c>
      <c r="K1063" s="7" t="str">
        <f>VLOOKUP(J1063,Introduction!$B$6:$C$14,2)</f>
        <v>South West</v>
      </c>
      <c r="L1063" s="11">
        <v>461</v>
      </c>
      <c r="M1063" s="12" t="s">
        <v>530</v>
      </c>
    </row>
    <row r="1064" spans="1:13" ht="19.95" customHeight="1" x14ac:dyDescent="0.25">
      <c r="A1064" s="41">
        <v>45383</v>
      </c>
      <c r="B1064" s="47">
        <f>MONTH(Table13[[#This Row],[YearMonth]])</f>
        <v>4</v>
      </c>
      <c r="C1064" s="9" t="s">
        <v>124</v>
      </c>
      <c r="D1064" s="6" t="s">
        <v>338</v>
      </c>
      <c r="E1064" s="6">
        <f>IF(Table13[[#This Row],[Quartile]]="TopQuartile", 1,
 IF(Table13[[#This Row],[Quartile]]="SecondQuartile", 2,
 IF(Table13[[#This Row],[Quartile]]="ThirdQuartile", 3,
 IF(Table13[[#This Row],[Quartile]]="FourthQuartile", 4, ""))))</f>
        <v>2</v>
      </c>
      <c r="F1064" s="9" t="s">
        <v>547</v>
      </c>
      <c r="G1064" s="9" t="str" cm="1">
        <f t="array" ref="G1064">IFERROR(
  INDEX(Table13[Quartile],
    MATCH(1,
      (Table13[[#This Row],[OrgName]]=Table13[OrgName]) *
      (Table13[[#This Row],[Month Number]]-1=Table13[Month Number]),
    0)
  ),
"")</f>
        <v>SecondQuartile</v>
      </c>
      <c r="H1064" s="9">
        <f>IF(Table13[[#This Row],[Previous Quartile]]="TopQuartile", 1,
 IF(Table13[[#This Row],[Previous Quartile]]="SecondQuartile", 2,
 IF(Table13[[#This Row],[Previous Quartile]]="ThirdQuartile", 3,
 IF(Table13[[#This Row],[Previous Quartile]]="FourthQuartile", 4, ""))))</f>
        <v>2</v>
      </c>
      <c r="I1064" s="9" t="str">
        <f>IF(Table13[[#This Row],[Previous Quartile Value]]="", "",
   IF(Table13[[#This Row],[Quartile Value]] &lt; Table13[[#This Row],[Previous Quartile Value]], "Improved",
   IF(Table13[[#This Row],[Quartile Value]] &gt; Table13[[#This Row],[Previous Quartile Value]], "Dropped", "Same")))</f>
        <v>Same</v>
      </c>
      <c r="J1064" s="9" t="s">
        <v>18</v>
      </c>
      <c r="K1064" s="7" t="str">
        <f>VLOOKUP(J1064,Introduction!$B$6:$C$14,2)</f>
        <v>Midlands</v>
      </c>
      <c r="L1064" s="11">
        <v>994</v>
      </c>
      <c r="M1064" s="12" t="s">
        <v>530</v>
      </c>
    </row>
    <row r="1065" spans="1:13" ht="19.95" customHeight="1" x14ac:dyDescent="0.25">
      <c r="A1065" s="41">
        <v>45383</v>
      </c>
      <c r="B1065" s="47">
        <f>MONTH(Table13[[#This Row],[YearMonth]])</f>
        <v>4</v>
      </c>
      <c r="C1065" s="9" t="s">
        <v>159</v>
      </c>
      <c r="D1065" s="6" t="s">
        <v>338</v>
      </c>
      <c r="E1065" s="6">
        <f>IF(Table13[[#This Row],[Quartile]]="TopQuartile", 1,
 IF(Table13[[#This Row],[Quartile]]="SecondQuartile", 2,
 IF(Table13[[#This Row],[Quartile]]="ThirdQuartile", 3,
 IF(Table13[[#This Row],[Quartile]]="FourthQuartile", 4, ""))))</f>
        <v>2</v>
      </c>
      <c r="F1065" s="9" t="s">
        <v>552</v>
      </c>
      <c r="G1065" s="9" t="str" cm="1">
        <f t="array" ref="G1065">IFERROR(
  INDEX(Table13[Quartile],
    MATCH(1,
      (Table13[[#This Row],[OrgName]]=Table13[OrgName]) *
      (Table13[[#This Row],[Month Number]]-1=Table13[Month Number]),
    0)
  ),
"")</f>
        <v>TopQuartile</v>
      </c>
      <c r="H1065" s="9">
        <f>IF(Table13[[#This Row],[Previous Quartile]]="TopQuartile", 1,
 IF(Table13[[#This Row],[Previous Quartile]]="SecondQuartile", 2,
 IF(Table13[[#This Row],[Previous Quartile]]="ThirdQuartile", 3,
 IF(Table13[[#This Row],[Previous Quartile]]="FourthQuartile", 4, ""))))</f>
        <v>1</v>
      </c>
      <c r="I1065" s="9" t="str">
        <f>IF(Table13[[#This Row],[Previous Quartile Value]]="", "",
   IF(Table13[[#This Row],[Quartile Value]] &lt; Table13[[#This Row],[Previous Quartile Value]], "Improved",
   IF(Table13[[#This Row],[Quartile Value]] &gt; Table13[[#This Row],[Previous Quartile Value]], "Dropped", "Same")))</f>
        <v>Dropped</v>
      </c>
      <c r="J1065" s="9" t="s">
        <v>20</v>
      </c>
      <c r="K1065" s="7" t="str">
        <f>VLOOKUP(J1065,Introduction!$B$6:$C$14,2)</f>
        <v>East of England</v>
      </c>
      <c r="L1065" s="11">
        <v>137</v>
      </c>
      <c r="M1065" s="12" t="s">
        <v>530</v>
      </c>
    </row>
    <row r="1066" spans="1:13" ht="19.95" customHeight="1" x14ac:dyDescent="0.25">
      <c r="A1066" s="41">
        <v>45383</v>
      </c>
      <c r="B1066" s="47">
        <f>MONTH(Table13[[#This Row],[YearMonth]])</f>
        <v>4</v>
      </c>
      <c r="C1066" s="9" t="s">
        <v>131</v>
      </c>
      <c r="D1066" s="6" t="s">
        <v>338</v>
      </c>
      <c r="E1066" s="6">
        <f>IF(Table13[[#This Row],[Quartile]]="TopQuartile", 1,
 IF(Table13[[#This Row],[Quartile]]="SecondQuartile", 2,
 IF(Table13[[#This Row],[Quartile]]="ThirdQuartile", 3,
 IF(Table13[[#This Row],[Quartile]]="FourthQuartile", 4, ""))))</f>
        <v>2</v>
      </c>
      <c r="F1066" s="9" t="s">
        <v>549</v>
      </c>
      <c r="G1066" s="9" t="str" cm="1">
        <f t="array" ref="G1066">IFERROR(
  INDEX(Table13[Quartile],
    MATCH(1,
      (Table13[[#This Row],[OrgName]]=Table13[OrgName]) *
      (Table13[[#This Row],[Month Number]]-1=Table13[Month Number]),
    0)
  ),
"")</f>
        <v>SecondQuartile</v>
      </c>
      <c r="H1066" s="9">
        <f>IF(Table13[[#This Row],[Previous Quartile]]="TopQuartile", 1,
 IF(Table13[[#This Row],[Previous Quartile]]="SecondQuartile", 2,
 IF(Table13[[#This Row],[Previous Quartile]]="ThirdQuartile", 3,
 IF(Table13[[#This Row],[Previous Quartile]]="FourthQuartile", 4, ""))))</f>
        <v>2</v>
      </c>
      <c r="I1066" s="9" t="str">
        <f>IF(Table13[[#This Row],[Previous Quartile Value]]="", "",
   IF(Table13[[#This Row],[Quartile Value]] &lt; Table13[[#This Row],[Previous Quartile Value]], "Improved",
   IF(Table13[[#This Row],[Quartile Value]] &gt; Table13[[#This Row],[Previous Quartile Value]], "Dropped", "Same")))</f>
        <v>Same</v>
      </c>
      <c r="J1066" s="9" t="s">
        <v>18</v>
      </c>
      <c r="K1066" s="7" t="str">
        <f>VLOOKUP(J1066,Introduction!$B$6:$C$14,2)</f>
        <v>Midlands</v>
      </c>
      <c r="L1066" s="11">
        <v>105</v>
      </c>
      <c r="M1066" s="12" t="s">
        <v>530</v>
      </c>
    </row>
    <row r="1067" spans="1:13" ht="19.95" customHeight="1" x14ac:dyDescent="0.25">
      <c r="A1067" s="41">
        <v>45383</v>
      </c>
      <c r="B1067" s="47">
        <f>MONTH(Table13[[#This Row],[YearMonth]])</f>
        <v>4</v>
      </c>
      <c r="C1067" s="9" t="s">
        <v>126</v>
      </c>
      <c r="D1067" s="6" t="s">
        <v>338</v>
      </c>
      <c r="E1067" s="6">
        <f>IF(Table13[[#This Row],[Quartile]]="TopQuartile", 1,
 IF(Table13[[#This Row],[Quartile]]="SecondQuartile", 2,
 IF(Table13[[#This Row],[Quartile]]="ThirdQuartile", 3,
 IF(Table13[[#This Row],[Quartile]]="FourthQuartile", 4, ""))))</f>
        <v>2</v>
      </c>
      <c r="F1067" s="9" t="s">
        <v>548</v>
      </c>
      <c r="G1067" s="9" t="str" cm="1">
        <f t="array" ref="G1067">IFERROR(
  INDEX(Table13[Quartile],
    MATCH(1,
      (Table13[[#This Row],[OrgName]]=Table13[OrgName]) *
      (Table13[[#This Row],[Month Number]]-1=Table13[Month Number]),
    0)
  ),
"")</f>
        <v>SecondQuartile</v>
      </c>
      <c r="H1067" s="9">
        <f>IF(Table13[[#This Row],[Previous Quartile]]="TopQuartile", 1,
 IF(Table13[[#This Row],[Previous Quartile]]="SecondQuartile", 2,
 IF(Table13[[#This Row],[Previous Quartile]]="ThirdQuartile", 3,
 IF(Table13[[#This Row],[Previous Quartile]]="FourthQuartile", 4, ""))))</f>
        <v>2</v>
      </c>
      <c r="I1067" s="9" t="str">
        <f>IF(Table13[[#This Row],[Previous Quartile Value]]="", "",
   IF(Table13[[#This Row],[Quartile Value]] &lt; Table13[[#This Row],[Previous Quartile Value]], "Improved",
   IF(Table13[[#This Row],[Quartile Value]] &gt; Table13[[#This Row],[Previous Quartile Value]], "Dropped", "Same")))</f>
        <v>Same</v>
      </c>
      <c r="J1067" s="9" t="s">
        <v>12</v>
      </c>
      <c r="K1067" s="7" t="str">
        <f>VLOOKUP(J1067,Introduction!$B$6:$C$14,2)</f>
        <v>London</v>
      </c>
      <c r="L1067" s="11">
        <v>487</v>
      </c>
      <c r="M1067" s="12" t="s">
        <v>530</v>
      </c>
    </row>
    <row r="1068" spans="1:13" ht="19.95" customHeight="1" x14ac:dyDescent="0.25">
      <c r="A1068" s="41">
        <v>45383</v>
      </c>
      <c r="B1068" s="47">
        <f>MONTH(Table13[[#This Row],[YearMonth]])</f>
        <v>4</v>
      </c>
      <c r="C1068" s="9" t="s">
        <v>151</v>
      </c>
      <c r="D1068" s="6" t="s">
        <v>338</v>
      </c>
      <c r="E1068" s="6">
        <f>IF(Table13[[#This Row],[Quartile]]="TopQuartile", 1,
 IF(Table13[[#This Row],[Quartile]]="SecondQuartile", 2,
 IF(Table13[[#This Row],[Quartile]]="ThirdQuartile", 3,
 IF(Table13[[#This Row],[Quartile]]="FourthQuartile", 4, ""))))</f>
        <v>2</v>
      </c>
      <c r="F1068" s="9" t="s">
        <v>551</v>
      </c>
      <c r="G1068" s="9" t="str" cm="1">
        <f t="array" ref="G1068">IFERROR(
  INDEX(Table13[Quartile],
    MATCH(1,
      (Table13[[#This Row],[OrgName]]=Table13[OrgName]) *
      (Table13[[#This Row],[Month Number]]-1=Table13[Month Number]),
    0)
  ),
"")</f>
        <v>SecondQuartile</v>
      </c>
      <c r="H1068" s="9">
        <f>IF(Table13[[#This Row],[Previous Quartile]]="TopQuartile", 1,
 IF(Table13[[#This Row],[Previous Quartile]]="SecondQuartile", 2,
 IF(Table13[[#This Row],[Previous Quartile]]="ThirdQuartile", 3,
 IF(Table13[[#This Row],[Previous Quartile]]="FourthQuartile", 4, ""))))</f>
        <v>2</v>
      </c>
      <c r="I1068" s="9" t="str">
        <f>IF(Table13[[#This Row],[Previous Quartile Value]]="", "",
   IF(Table13[[#This Row],[Quartile Value]] &lt; Table13[[#This Row],[Previous Quartile Value]], "Improved",
   IF(Table13[[#This Row],[Quartile Value]] &gt; Table13[[#This Row],[Previous Quartile Value]], "Dropped", "Same")))</f>
        <v>Same</v>
      </c>
      <c r="J1068" s="9" t="s">
        <v>18</v>
      </c>
      <c r="K1068" s="7" t="str">
        <f>VLOOKUP(J1068,Introduction!$B$6:$C$14,2)</f>
        <v>Midlands</v>
      </c>
      <c r="L1068" s="11">
        <v>111</v>
      </c>
      <c r="M1068" s="12" t="s">
        <v>530</v>
      </c>
    </row>
    <row r="1069" spans="1:13" ht="19.95" customHeight="1" x14ac:dyDescent="0.25">
      <c r="A1069" s="41">
        <v>45383</v>
      </c>
      <c r="B1069" s="47">
        <f>MONTH(Table13[[#This Row],[YearMonth]])</f>
        <v>4</v>
      </c>
      <c r="C1069" s="9" t="s">
        <v>139</v>
      </c>
      <c r="D1069" s="6" t="s">
        <v>338</v>
      </c>
      <c r="E1069" s="6">
        <f>IF(Table13[[#This Row],[Quartile]]="TopQuartile", 1,
 IF(Table13[[#This Row],[Quartile]]="SecondQuartile", 2,
 IF(Table13[[#This Row],[Quartile]]="ThirdQuartile", 3,
 IF(Table13[[#This Row],[Quartile]]="FourthQuartile", 4, ""))))</f>
        <v>2</v>
      </c>
      <c r="F1069" s="9" t="s">
        <v>550</v>
      </c>
      <c r="G1069" s="9" t="str" cm="1">
        <f t="array" ref="G1069">IFERROR(
  INDEX(Table13[Quartile],
    MATCH(1,
      (Table13[[#This Row],[OrgName]]=Table13[OrgName]) *
      (Table13[[#This Row],[Month Number]]-1=Table13[Month Number]),
    0)
  ),
"")</f>
        <v>SecondQuartile</v>
      </c>
      <c r="H1069" s="9">
        <f>IF(Table13[[#This Row],[Previous Quartile]]="TopQuartile", 1,
 IF(Table13[[#This Row],[Previous Quartile]]="SecondQuartile", 2,
 IF(Table13[[#This Row],[Previous Quartile]]="ThirdQuartile", 3,
 IF(Table13[[#This Row],[Previous Quartile]]="FourthQuartile", 4, ""))))</f>
        <v>2</v>
      </c>
      <c r="I1069" s="9" t="str">
        <f>IF(Table13[[#This Row],[Previous Quartile Value]]="", "",
   IF(Table13[[#This Row],[Quartile Value]] &lt; Table13[[#This Row],[Previous Quartile Value]], "Improved",
   IF(Table13[[#This Row],[Quartile Value]] &gt; Table13[[#This Row],[Previous Quartile Value]], "Dropped", "Same")))</f>
        <v>Same</v>
      </c>
      <c r="J1069" s="9" t="s">
        <v>18</v>
      </c>
      <c r="K1069" s="7" t="str">
        <f>VLOOKUP(J1069,Introduction!$B$6:$C$14,2)</f>
        <v>Midlands</v>
      </c>
      <c r="L1069" s="11">
        <v>529</v>
      </c>
      <c r="M1069" s="12" t="s">
        <v>530</v>
      </c>
    </row>
    <row r="1070" spans="1:13" ht="19.95" customHeight="1" x14ac:dyDescent="0.25">
      <c r="A1070" s="41">
        <v>45383</v>
      </c>
      <c r="B1070" s="47">
        <f>MONTH(Table13[[#This Row],[YearMonth]])</f>
        <v>4</v>
      </c>
      <c r="C1070" s="9" t="s">
        <v>162</v>
      </c>
      <c r="D1070" s="6" t="s">
        <v>338</v>
      </c>
      <c r="E1070" s="6">
        <f>IF(Table13[[#This Row],[Quartile]]="TopQuartile", 1,
 IF(Table13[[#This Row],[Quartile]]="SecondQuartile", 2,
 IF(Table13[[#This Row],[Quartile]]="ThirdQuartile", 3,
 IF(Table13[[#This Row],[Quartile]]="FourthQuartile", 4, ""))))</f>
        <v>2</v>
      </c>
      <c r="F1070" s="9" t="s">
        <v>553</v>
      </c>
      <c r="G1070" s="9" t="str" cm="1">
        <f t="array" ref="G1070">IFERROR(
  INDEX(Table13[Quartile],
    MATCH(1,
      (Table13[[#This Row],[OrgName]]=Table13[OrgName]) *
      (Table13[[#This Row],[Month Number]]-1=Table13[Month Number]),
    0)
  ),
"")</f>
        <v>SecondQuartile</v>
      </c>
      <c r="H1070" s="9">
        <f>IF(Table13[[#This Row],[Previous Quartile]]="TopQuartile", 1,
 IF(Table13[[#This Row],[Previous Quartile]]="SecondQuartile", 2,
 IF(Table13[[#This Row],[Previous Quartile]]="ThirdQuartile", 3,
 IF(Table13[[#This Row],[Previous Quartile]]="FourthQuartile", 4, ""))))</f>
        <v>2</v>
      </c>
      <c r="I1070" s="9" t="str">
        <f>IF(Table13[[#This Row],[Previous Quartile Value]]="", "",
   IF(Table13[[#This Row],[Quartile Value]] &lt; Table13[[#This Row],[Previous Quartile Value]], "Improved",
   IF(Table13[[#This Row],[Quartile Value]] &gt; Table13[[#This Row],[Previous Quartile Value]], "Dropped", "Same")))</f>
        <v>Same</v>
      </c>
      <c r="J1070" s="9" t="s">
        <v>14</v>
      </c>
      <c r="K1070" s="7" t="str">
        <f>VLOOKUP(J1070,Introduction!$B$6:$C$14,2)</f>
        <v>South West</v>
      </c>
      <c r="L1070" s="11">
        <v>471</v>
      </c>
      <c r="M1070" s="12" t="s">
        <v>530</v>
      </c>
    </row>
    <row r="1071" spans="1:13" ht="19.95" customHeight="1" x14ac:dyDescent="0.25">
      <c r="A1071" s="41">
        <v>45383</v>
      </c>
      <c r="B1071" s="47">
        <f>MONTH(Table13[[#This Row],[YearMonth]])</f>
        <v>4</v>
      </c>
      <c r="C1071" s="9" t="s">
        <v>166</v>
      </c>
      <c r="D1071" s="6" t="s">
        <v>338</v>
      </c>
      <c r="E1071" s="6">
        <f>IF(Table13[[#This Row],[Quartile]]="TopQuartile", 1,
 IF(Table13[[#This Row],[Quartile]]="SecondQuartile", 2,
 IF(Table13[[#This Row],[Quartile]]="ThirdQuartile", 3,
 IF(Table13[[#This Row],[Quartile]]="FourthQuartile", 4, ""))))</f>
        <v>2</v>
      </c>
      <c r="F1071" s="9" t="s">
        <v>554</v>
      </c>
      <c r="G1071" s="9" t="str" cm="1">
        <f t="array" ref="G1071">IFERROR(
  INDEX(Table13[Quartile],
    MATCH(1,
      (Table13[[#This Row],[OrgName]]=Table13[OrgName]) *
      (Table13[[#This Row],[Month Number]]-1=Table13[Month Number]),
    0)
  ),
"")</f>
        <v>SecondQuartile</v>
      </c>
      <c r="H1071" s="9">
        <f>IF(Table13[[#This Row],[Previous Quartile]]="TopQuartile", 1,
 IF(Table13[[#This Row],[Previous Quartile]]="SecondQuartile", 2,
 IF(Table13[[#This Row],[Previous Quartile]]="ThirdQuartile", 3,
 IF(Table13[[#This Row],[Previous Quartile]]="FourthQuartile", 4, ""))))</f>
        <v>2</v>
      </c>
      <c r="I1071" s="9" t="str">
        <f>IF(Table13[[#This Row],[Previous Quartile Value]]="", "",
   IF(Table13[[#This Row],[Quartile Value]] &lt; Table13[[#This Row],[Previous Quartile Value]], "Improved",
   IF(Table13[[#This Row],[Quartile Value]] &gt; Table13[[#This Row],[Previous Quartile Value]], "Dropped", "Same")))</f>
        <v>Same</v>
      </c>
      <c r="J1071" s="9" t="s">
        <v>18</v>
      </c>
      <c r="K1071" s="7" t="str">
        <f>VLOOKUP(J1071,Introduction!$B$6:$C$14,2)</f>
        <v>Midlands</v>
      </c>
      <c r="L1071" s="11">
        <v>996</v>
      </c>
      <c r="M1071" s="12" t="s">
        <v>530</v>
      </c>
    </row>
    <row r="1072" spans="1:13" ht="19.95" customHeight="1" x14ac:dyDescent="0.25">
      <c r="A1072" s="41">
        <v>45383</v>
      </c>
      <c r="B1072" s="47">
        <f>MONTH(Table13[[#This Row],[YearMonth]])</f>
        <v>4</v>
      </c>
      <c r="C1072" s="9" t="s">
        <v>115</v>
      </c>
      <c r="D1072" s="6" t="s">
        <v>341</v>
      </c>
      <c r="E1072" s="6">
        <f>IF(Table13[[#This Row],[Quartile]]="TopQuartile", 1,
 IF(Table13[[#This Row],[Quartile]]="SecondQuartile", 2,
 IF(Table13[[#This Row],[Quartile]]="ThirdQuartile", 3,
 IF(Table13[[#This Row],[Quartile]]="FourthQuartile", 4, ""))))</f>
        <v>3</v>
      </c>
      <c r="F1072" s="9" t="s">
        <v>546</v>
      </c>
      <c r="G1072" s="9" t="str" cm="1">
        <f t="array" ref="G1072">IFERROR(
  INDEX(Table13[Quartile],
    MATCH(1,
      (Table13[[#This Row],[OrgName]]=Table13[OrgName]) *
      (Table13[[#This Row],[Month Number]]-1=Table13[Month Number]),
    0)
  ),
"")</f>
        <v>ThirdQuartile</v>
      </c>
      <c r="H1072" s="9">
        <f>IF(Table13[[#This Row],[Previous Quartile]]="TopQuartile", 1,
 IF(Table13[[#This Row],[Previous Quartile]]="SecondQuartile", 2,
 IF(Table13[[#This Row],[Previous Quartile]]="ThirdQuartile", 3,
 IF(Table13[[#This Row],[Previous Quartile]]="FourthQuartile", 4, ""))))</f>
        <v>3</v>
      </c>
      <c r="I1072" s="9" t="str">
        <f>IF(Table13[[#This Row],[Previous Quartile Value]]="", "",
   IF(Table13[[#This Row],[Quartile Value]] &lt; Table13[[#This Row],[Previous Quartile Value]], "Improved",
   IF(Table13[[#This Row],[Quartile Value]] &gt; Table13[[#This Row],[Previous Quartile Value]], "Dropped", "Same")))</f>
        <v>Same</v>
      </c>
      <c r="J1072" s="9" t="s">
        <v>18</v>
      </c>
      <c r="K1072" s="7" t="str">
        <f>VLOOKUP(J1072,Introduction!$B$6:$C$14,2)</f>
        <v>Midlands</v>
      </c>
      <c r="L1072" s="11">
        <v>942</v>
      </c>
      <c r="M1072" s="12" t="s">
        <v>530</v>
      </c>
    </row>
    <row r="1073" spans="1:13" ht="19.95" customHeight="1" x14ac:dyDescent="0.25">
      <c r="A1073" s="41">
        <v>45383</v>
      </c>
      <c r="B1073" s="47">
        <f>MONTH(Table13[[#This Row],[YearMonth]])</f>
        <v>4</v>
      </c>
      <c r="C1073" s="9" t="s">
        <v>231</v>
      </c>
      <c r="D1073" s="6" t="s">
        <v>341</v>
      </c>
      <c r="E1073" s="6">
        <f>IF(Table13[[#This Row],[Quartile]]="TopQuartile", 1,
 IF(Table13[[#This Row],[Quartile]]="SecondQuartile", 2,
 IF(Table13[[#This Row],[Quartile]]="ThirdQuartile", 3,
 IF(Table13[[#This Row],[Quartile]]="FourthQuartile", 4, ""))))</f>
        <v>3</v>
      </c>
      <c r="F1073" s="9" t="s">
        <v>558</v>
      </c>
      <c r="G1073" s="9" t="str" cm="1">
        <f t="array" ref="G1073">IFERROR(
  INDEX(Table13[Quartile],
    MATCH(1,
      (Table13[[#This Row],[OrgName]]=Table13[OrgName]) *
      (Table13[[#This Row],[Month Number]]-1=Table13[Month Number]),
    0)
  ),
"")</f>
        <v>ThirdQuartile</v>
      </c>
      <c r="H1073" s="9">
        <f>IF(Table13[[#This Row],[Previous Quartile]]="TopQuartile", 1,
 IF(Table13[[#This Row],[Previous Quartile]]="SecondQuartile", 2,
 IF(Table13[[#This Row],[Previous Quartile]]="ThirdQuartile", 3,
 IF(Table13[[#This Row],[Previous Quartile]]="FourthQuartile", 4, ""))))</f>
        <v>3</v>
      </c>
      <c r="I1073" s="9" t="str">
        <f>IF(Table13[[#This Row],[Previous Quartile Value]]="", "",
   IF(Table13[[#This Row],[Quartile Value]] &lt; Table13[[#This Row],[Previous Quartile Value]], "Improved",
   IF(Table13[[#This Row],[Quartile Value]] &gt; Table13[[#This Row],[Previous Quartile Value]], "Dropped", "Same")))</f>
        <v>Same</v>
      </c>
      <c r="J1073" s="9" t="s">
        <v>12</v>
      </c>
      <c r="K1073" s="7" t="str">
        <f>VLOOKUP(J1073,Introduction!$B$6:$C$14,2)</f>
        <v>London</v>
      </c>
      <c r="L1073" s="11">
        <v>491</v>
      </c>
      <c r="M1073" s="12" t="s">
        <v>530</v>
      </c>
    </row>
    <row r="1074" spans="1:13" ht="19.95" customHeight="1" x14ac:dyDescent="0.25">
      <c r="A1074" s="41">
        <v>45383</v>
      </c>
      <c r="B1074" s="47">
        <f>MONTH(Table13[[#This Row],[YearMonth]])</f>
        <v>4</v>
      </c>
      <c r="C1074" s="9" t="s">
        <v>206</v>
      </c>
      <c r="D1074" s="6" t="s">
        <v>341</v>
      </c>
      <c r="E1074" s="6">
        <f>IF(Table13[[#This Row],[Quartile]]="TopQuartile", 1,
 IF(Table13[[#This Row],[Quartile]]="SecondQuartile", 2,
 IF(Table13[[#This Row],[Quartile]]="ThirdQuartile", 3,
 IF(Table13[[#This Row],[Quartile]]="FourthQuartile", 4, ""))))</f>
        <v>3</v>
      </c>
      <c r="F1074" s="9" t="s">
        <v>555</v>
      </c>
      <c r="G1074" s="9" t="str" cm="1">
        <f t="array" ref="G1074">IFERROR(
  INDEX(Table13[Quartile],
    MATCH(1,
      (Table13[[#This Row],[OrgName]]=Table13[OrgName]) *
      (Table13[[#This Row],[Month Number]]-1=Table13[Month Number]),
    0)
  ),
"")</f>
        <v>ThirdQuartile</v>
      </c>
      <c r="H1074" s="9">
        <f>IF(Table13[[#This Row],[Previous Quartile]]="TopQuartile", 1,
 IF(Table13[[#This Row],[Previous Quartile]]="SecondQuartile", 2,
 IF(Table13[[#This Row],[Previous Quartile]]="ThirdQuartile", 3,
 IF(Table13[[#This Row],[Previous Quartile]]="FourthQuartile", 4, ""))))</f>
        <v>3</v>
      </c>
      <c r="I1074" s="9" t="str">
        <f>IF(Table13[[#This Row],[Previous Quartile Value]]="", "",
   IF(Table13[[#This Row],[Quartile Value]] &lt; Table13[[#This Row],[Previous Quartile Value]], "Improved",
   IF(Table13[[#This Row],[Quartile Value]] &gt; Table13[[#This Row],[Previous Quartile Value]], "Dropped", "Same")))</f>
        <v>Same</v>
      </c>
      <c r="J1074" s="9" t="s">
        <v>12</v>
      </c>
      <c r="K1074" s="7" t="str">
        <f>VLOOKUP(J1074,Introduction!$B$6:$C$14,2)</f>
        <v>London</v>
      </c>
      <c r="L1074" s="11">
        <v>807</v>
      </c>
      <c r="M1074" s="12" t="s">
        <v>530</v>
      </c>
    </row>
    <row r="1075" spans="1:13" ht="19.95" customHeight="1" x14ac:dyDescent="0.25">
      <c r="A1075" s="41">
        <v>45383</v>
      </c>
      <c r="B1075" s="47">
        <f>MONTH(Table13[[#This Row],[YearMonth]])</f>
        <v>4</v>
      </c>
      <c r="C1075" s="9" t="s">
        <v>272</v>
      </c>
      <c r="D1075" s="6" t="s">
        <v>341</v>
      </c>
      <c r="E1075" s="6">
        <f>IF(Table13[[#This Row],[Quartile]]="TopQuartile", 1,
 IF(Table13[[#This Row],[Quartile]]="SecondQuartile", 2,
 IF(Table13[[#This Row],[Quartile]]="ThirdQuartile", 3,
 IF(Table13[[#This Row],[Quartile]]="FourthQuartile", 4, ""))))</f>
        <v>3</v>
      </c>
      <c r="F1075" s="9" t="s">
        <v>564</v>
      </c>
      <c r="G1075" s="9" t="str" cm="1">
        <f t="array" ref="G1075">IFERROR(
  INDEX(Table13[Quartile],
    MATCH(1,
      (Table13[[#This Row],[OrgName]]=Table13[OrgName]) *
      (Table13[[#This Row],[Month Number]]-1=Table13[Month Number]),
    0)
  ),
"")</f>
        <v>ThirdQuartile</v>
      </c>
      <c r="H1075" s="9">
        <f>IF(Table13[[#This Row],[Previous Quartile]]="TopQuartile", 1,
 IF(Table13[[#This Row],[Previous Quartile]]="SecondQuartile", 2,
 IF(Table13[[#This Row],[Previous Quartile]]="ThirdQuartile", 3,
 IF(Table13[[#This Row],[Previous Quartile]]="FourthQuartile", 4, ""))))</f>
        <v>3</v>
      </c>
      <c r="I1075" s="9" t="str">
        <f>IF(Table13[[#This Row],[Previous Quartile Value]]="", "",
   IF(Table13[[#This Row],[Quartile Value]] &lt; Table13[[#This Row],[Previous Quartile Value]], "Improved",
   IF(Table13[[#This Row],[Quartile Value]] &gt; Table13[[#This Row],[Previous Quartile Value]], "Dropped", "Same")))</f>
        <v>Same</v>
      </c>
      <c r="J1075" s="9" t="s">
        <v>20</v>
      </c>
      <c r="K1075" s="7" t="str">
        <f>VLOOKUP(J1075,Introduction!$B$6:$C$14,2)</f>
        <v>East of England</v>
      </c>
      <c r="L1075" s="11">
        <v>708</v>
      </c>
      <c r="M1075" s="12" t="s">
        <v>530</v>
      </c>
    </row>
    <row r="1076" spans="1:13" ht="19.95" customHeight="1" x14ac:dyDescent="0.25">
      <c r="A1076" s="41">
        <v>45383</v>
      </c>
      <c r="B1076" s="47">
        <f>MONTH(Table13[[#This Row],[YearMonth]])</f>
        <v>4</v>
      </c>
      <c r="C1076" s="9" t="s">
        <v>234</v>
      </c>
      <c r="D1076" s="6" t="s">
        <v>350</v>
      </c>
      <c r="E1076" s="6">
        <f>IF(Table13[[#This Row],[Quartile]]="TopQuartile", 1,
 IF(Table13[[#This Row],[Quartile]]="SecondQuartile", 2,
 IF(Table13[[#This Row],[Quartile]]="ThirdQuartile", 3,
 IF(Table13[[#This Row],[Quartile]]="FourthQuartile", 4, ""))))</f>
        <v>4</v>
      </c>
      <c r="F1076" s="9" t="s">
        <v>559</v>
      </c>
      <c r="G1076" s="9" t="str" cm="1">
        <f t="array" ref="G1076">IFERROR(
  INDEX(Table13[Quartile],
    MATCH(1,
      (Table13[[#This Row],[OrgName]]=Table13[OrgName]) *
      (Table13[[#This Row],[Month Number]]-1=Table13[Month Number]),
    0)
  ),
"")</f>
        <v>FourthQuartile</v>
      </c>
      <c r="H1076" s="9">
        <f>IF(Table13[[#This Row],[Previous Quartile]]="TopQuartile", 1,
 IF(Table13[[#This Row],[Previous Quartile]]="SecondQuartile", 2,
 IF(Table13[[#This Row],[Previous Quartile]]="ThirdQuartile", 3,
 IF(Table13[[#This Row],[Previous Quartile]]="FourthQuartile", 4, ""))))</f>
        <v>4</v>
      </c>
      <c r="I1076" s="9" t="str">
        <f>IF(Table13[[#This Row],[Previous Quartile Value]]="", "",
   IF(Table13[[#This Row],[Quartile Value]] &lt; Table13[[#This Row],[Previous Quartile Value]], "Improved",
   IF(Table13[[#This Row],[Quartile Value]] &gt; Table13[[#This Row],[Previous Quartile Value]], "Dropped", "Same")))</f>
        <v>Same</v>
      </c>
      <c r="J1076" s="9" t="s">
        <v>22</v>
      </c>
      <c r="K1076" s="7" t="str">
        <f>VLOOKUP(J1076,Introduction!$B$6:$C$14,2)</f>
        <v>North West</v>
      </c>
      <c r="L1076" s="11">
        <v>125</v>
      </c>
      <c r="M1076" s="12" t="s">
        <v>530</v>
      </c>
    </row>
    <row r="1077" spans="1:13" ht="19.95" customHeight="1" x14ac:dyDescent="0.25">
      <c r="A1077" s="41">
        <v>45383</v>
      </c>
      <c r="B1077" s="47">
        <f>MONTH(Table13[[#This Row],[YearMonth]])</f>
        <v>4</v>
      </c>
      <c r="C1077" s="9" t="s">
        <v>216</v>
      </c>
      <c r="D1077" s="6" t="s">
        <v>350</v>
      </c>
      <c r="E1077" s="6">
        <f>IF(Table13[[#This Row],[Quartile]]="TopQuartile", 1,
 IF(Table13[[#This Row],[Quartile]]="SecondQuartile", 2,
 IF(Table13[[#This Row],[Quartile]]="ThirdQuartile", 3,
 IF(Table13[[#This Row],[Quartile]]="FourthQuartile", 4, ""))))</f>
        <v>4</v>
      </c>
      <c r="F1077" s="9" t="s">
        <v>556</v>
      </c>
      <c r="G1077" s="9" t="str" cm="1">
        <f t="array" ref="G1077">IFERROR(
  INDEX(Table13[Quartile],
    MATCH(1,
      (Table13[[#This Row],[OrgName]]=Table13[OrgName]) *
      (Table13[[#This Row],[Month Number]]-1=Table13[Month Number]),
    0)
  ),
"")</f>
        <v>ThirdQuartile</v>
      </c>
      <c r="H1077" s="9">
        <f>IF(Table13[[#This Row],[Previous Quartile]]="TopQuartile", 1,
 IF(Table13[[#This Row],[Previous Quartile]]="SecondQuartile", 2,
 IF(Table13[[#This Row],[Previous Quartile]]="ThirdQuartile", 3,
 IF(Table13[[#This Row],[Previous Quartile]]="FourthQuartile", 4, ""))))</f>
        <v>3</v>
      </c>
      <c r="I1077" s="9" t="str">
        <f>IF(Table13[[#This Row],[Previous Quartile Value]]="", "",
   IF(Table13[[#This Row],[Quartile Value]] &lt; Table13[[#This Row],[Previous Quartile Value]], "Improved",
   IF(Table13[[#This Row],[Quartile Value]] &gt; Table13[[#This Row],[Previous Quartile Value]], "Dropped", "Same")))</f>
        <v>Dropped</v>
      </c>
      <c r="J1077" s="9" t="s">
        <v>12</v>
      </c>
      <c r="K1077" s="7" t="str">
        <f>VLOOKUP(J1077,Introduction!$B$6:$C$14,2)</f>
        <v>London</v>
      </c>
      <c r="L1077" s="11">
        <v>985</v>
      </c>
      <c r="M1077" s="12" t="s">
        <v>530</v>
      </c>
    </row>
    <row r="1078" spans="1:13" ht="19.95" customHeight="1" x14ac:dyDescent="0.25">
      <c r="A1078" s="41">
        <v>45383</v>
      </c>
      <c r="B1078" s="47">
        <f>MONTH(Table13[[#This Row],[YearMonth]])</f>
        <v>4</v>
      </c>
      <c r="C1078" s="9" t="s">
        <v>265</v>
      </c>
      <c r="D1078" s="6" t="s">
        <v>350</v>
      </c>
      <c r="E1078" s="6">
        <f>IF(Table13[[#This Row],[Quartile]]="TopQuartile", 1,
 IF(Table13[[#This Row],[Quartile]]="SecondQuartile", 2,
 IF(Table13[[#This Row],[Quartile]]="ThirdQuartile", 3,
 IF(Table13[[#This Row],[Quartile]]="FourthQuartile", 4, ""))))</f>
        <v>4</v>
      </c>
      <c r="F1078" s="9" t="s">
        <v>562</v>
      </c>
      <c r="G1078" s="9" t="str" cm="1">
        <f t="array" ref="G1078">IFERROR(
  INDEX(Table13[Quartile],
    MATCH(1,
      (Table13[[#This Row],[OrgName]]=Table13[OrgName]) *
      (Table13[[#This Row],[Month Number]]-1=Table13[Month Number]),
    0)
  ),
"")</f>
        <v>FourthQuartile</v>
      </c>
      <c r="H1078" s="9">
        <f>IF(Table13[[#This Row],[Previous Quartile]]="TopQuartile", 1,
 IF(Table13[[#This Row],[Previous Quartile]]="SecondQuartile", 2,
 IF(Table13[[#This Row],[Previous Quartile]]="ThirdQuartile", 3,
 IF(Table13[[#This Row],[Previous Quartile]]="FourthQuartile", 4, ""))))</f>
        <v>4</v>
      </c>
      <c r="I1078" s="9" t="str">
        <f>IF(Table13[[#This Row],[Previous Quartile Value]]="", "",
   IF(Table13[[#This Row],[Quartile Value]] &lt; Table13[[#This Row],[Previous Quartile Value]], "Improved",
   IF(Table13[[#This Row],[Quartile Value]] &gt; Table13[[#This Row],[Previous Quartile Value]], "Dropped", "Same")))</f>
        <v>Same</v>
      </c>
      <c r="J1078" s="9" t="s">
        <v>16</v>
      </c>
      <c r="K1078" s="7" t="str">
        <f>VLOOKUP(J1078,Introduction!$B$6:$C$14,2)</f>
        <v>South East</v>
      </c>
      <c r="L1078" s="11">
        <v>256</v>
      </c>
      <c r="M1078" s="12" t="s">
        <v>530</v>
      </c>
    </row>
    <row r="1079" spans="1:13" ht="19.95" customHeight="1" x14ac:dyDescent="0.25">
      <c r="A1079" s="41">
        <v>45383</v>
      </c>
      <c r="B1079" s="47">
        <f>MONTH(Table13[[#This Row],[YearMonth]])</f>
        <v>4</v>
      </c>
      <c r="C1079" s="9" t="s">
        <v>266</v>
      </c>
      <c r="D1079" s="6" t="s">
        <v>350</v>
      </c>
      <c r="E1079" s="6">
        <f>IF(Table13[[#This Row],[Quartile]]="TopQuartile", 1,
 IF(Table13[[#This Row],[Quartile]]="SecondQuartile", 2,
 IF(Table13[[#This Row],[Quartile]]="ThirdQuartile", 3,
 IF(Table13[[#This Row],[Quartile]]="FourthQuartile", 4, ""))))</f>
        <v>4</v>
      </c>
      <c r="F1079" s="9" t="s">
        <v>563</v>
      </c>
      <c r="G1079" s="9" t="str" cm="1">
        <f t="array" ref="G1079">IFERROR(
  INDEX(Table13[Quartile],
    MATCH(1,
      (Table13[[#This Row],[OrgName]]=Table13[OrgName]) *
      (Table13[[#This Row],[Month Number]]-1=Table13[Month Number]),
    0)
  ),
"")</f>
        <v>FourthQuartile</v>
      </c>
      <c r="H1079" s="9">
        <f>IF(Table13[[#This Row],[Previous Quartile]]="TopQuartile", 1,
 IF(Table13[[#This Row],[Previous Quartile]]="SecondQuartile", 2,
 IF(Table13[[#This Row],[Previous Quartile]]="ThirdQuartile", 3,
 IF(Table13[[#This Row],[Previous Quartile]]="FourthQuartile", 4, ""))))</f>
        <v>4</v>
      </c>
      <c r="I1079" s="9" t="str">
        <f>IF(Table13[[#This Row],[Previous Quartile Value]]="", "",
   IF(Table13[[#This Row],[Quartile Value]] &lt; Table13[[#This Row],[Previous Quartile Value]], "Improved",
   IF(Table13[[#This Row],[Quartile Value]] &gt; Table13[[#This Row],[Previous Quartile Value]], "Dropped", "Same")))</f>
        <v>Same</v>
      </c>
      <c r="J1079" s="9" t="s">
        <v>12</v>
      </c>
      <c r="K1079" s="7" t="str">
        <f>VLOOKUP(J1079,Introduction!$B$6:$C$14,2)</f>
        <v>London</v>
      </c>
      <c r="L1079" s="11">
        <v>161</v>
      </c>
      <c r="M1079" s="12" t="s">
        <v>530</v>
      </c>
    </row>
    <row r="1080" spans="1:13" ht="19.95" customHeight="1" x14ac:dyDescent="0.25">
      <c r="A1080" s="41">
        <v>45383</v>
      </c>
      <c r="B1080" s="47">
        <f>MONTH(Table13[[#This Row],[YearMonth]])</f>
        <v>4</v>
      </c>
      <c r="C1080" s="9" t="s">
        <v>275</v>
      </c>
      <c r="D1080" s="6" t="s">
        <v>350</v>
      </c>
      <c r="E1080" s="6">
        <f>IF(Table13[[#This Row],[Quartile]]="TopQuartile", 1,
 IF(Table13[[#This Row],[Quartile]]="SecondQuartile", 2,
 IF(Table13[[#This Row],[Quartile]]="ThirdQuartile", 3,
 IF(Table13[[#This Row],[Quartile]]="FourthQuartile", 4, ""))))</f>
        <v>4</v>
      </c>
      <c r="F1080" s="9" t="s">
        <v>565</v>
      </c>
      <c r="G1080" s="9" t="str" cm="1">
        <f t="array" ref="G1080">IFERROR(
  INDEX(Table13[Quartile],
    MATCH(1,
      (Table13[[#This Row],[OrgName]]=Table13[OrgName]) *
      (Table13[[#This Row],[Month Number]]-1=Table13[Month Number]),
    0)
  ),
"")</f>
        <v>FourthQuartile</v>
      </c>
      <c r="H1080" s="9">
        <f>IF(Table13[[#This Row],[Previous Quartile]]="TopQuartile", 1,
 IF(Table13[[#This Row],[Previous Quartile]]="SecondQuartile", 2,
 IF(Table13[[#This Row],[Previous Quartile]]="ThirdQuartile", 3,
 IF(Table13[[#This Row],[Previous Quartile]]="FourthQuartile", 4, ""))))</f>
        <v>4</v>
      </c>
      <c r="I1080" s="9" t="str">
        <f>IF(Table13[[#This Row],[Previous Quartile Value]]="", "",
   IF(Table13[[#This Row],[Quartile Value]] &lt; Table13[[#This Row],[Previous Quartile Value]], "Improved",
   IF(Table13[[#This Row],[Quartile Value]] &gt; Table13[[#This Row],[Previous Quartile Value]], "Dropped", "Same")))</f>
        <v>Same</v>
      </c>
      <c r="J1080" s="9" t="s">
        <v>18</v>
      </c>
      <c r="K1080" s="7" t="str">
        <f>VLOOKUP(J1080,Introduction!$B$6:$C$14,2)</f>
        <v>Midlands</v>
      </c>
      <c r="L1080" s="11">
        <v>118</v>
      </c>
      <c r="M1080" s="12" t="s">
        <v>530</v>
      </c>
    </row>
    <row r="1081" spans="1:13" ht="19.95" customHeight="1" x14ac:dyDescent="0.25">
      <c r="A1081" s="41">
        <v>45383</v>
      </c>
      <c r="B1081" s="47">
        <f>MONTH(Table13[[#This Row],[YearMonth]])</f>
        <v>4</v>
      </c>
      <c r="C1081" s="9" t="s">
        <v>284</v>
      </c>
      <c r="D1081" s="6" t="s">
        <v>350</v>
      </c>
      <c r="E1081" s="6">
        <f>IF(Table13[[#This Row],[Quartile]]="TopQuartile", 1,
 IF(Table13[[#This Row],[Quartile]]="SecondQuartile", 2,
 IF(Table13[[#This Row],[Quartile]]="ThirdQuartile", 3,
 IF(Table13[[#This Row],[Quartile]]="FourthQuartile", 4, ""))))</f>
        <v>4</v>
      </c>
      <c r="F1081" s="9" t="s">
        <v>566</v>
      </c>
      <c r="G1081" s="9" t="str" cm="1">
        <f t="array" ref="G1081">IFERROR(
  INDEX(Table13[Quartile],
    MATCH(1,
      (Table13[[#This Row],[OrgName]]=Table13[OrgName]) *
      (Table13[[#This Row],[Month Number]]-1=Table13[Month Number]),
    0)
  ),
"")</f>
        <v>FourthQuartile</v>
      </c>
      <c r="H1081" s="9">
        <f>IF(Table13[[#This Row],[Previous Quartile]]="TopQuartile", 1,
 IF(Table13[[#This Row],[Previous Quartile]]="SecondQuartile", 2,
 IF(Table13[[#This Row],[Previous Quartile]]="ThirdQuartile", 3,
 IF(Table13[[#This Row],[Previous Quartile]]="FourthQuartile", 4, ""))))</f>
        <v>4</v>
      </c>
      <c r="I1081" s="9" t="str">
        <f>IF(Table13[[#This Row],[Previous Quartile Value]]="", "",
   IF(Table13[[#This Row],[Quartile Value]] &lt; Table13[[#This Row],[Previous Quartile Value]], "Improved",
   IF(Table13[[#This Row],[Quartile Value]] &gt; Table13[[#This Row],[Previous Quartile Value]], "Dropped", "Same")))</f>
        <v>Same</v>
      </c>
      <c r="J1081" s="9" t="s">
        <v>20</v>
      </c>
      <c r="K1081" s="7" t="str">
        <f>VLOOKUP(J1081,Introduction!$B$6:$C$14,2)</f>
        <v>East of England</v>
      </c>
      <c r="L1081" s="11">
        <v>468</v>
      </c>
      <c r="M1081" s="12" t="s">
        <v>530</v>
      </c>
    </row>
    <row r="1082" spans="1:13" ht="19.95" customHeight="1" x14ac:dyDescent="0.25">
      <c r="A1082" s="41">
        <v>45383</v>
      </c>
      <c r="B1082" s="47">
        <f>MONTH(Table13[[#This Row],[YearMonth]])</f>
        <v>4</v>
      </c>
      <c r="C1082" s="9" t="s">
        <v>247</v>
      </c>
      <c r="D1082" s="6" t="s">
        <v>350</v>
      </c>
      <c r="E1082" s="6">
        <f>IF(Table13[[#This Row],[Quartile]]="TopQuartile", 1,
 IF(Table13[[#This Row],[Quartile]]="SecondQuartile", 2,
 IF(Table13[[#This Row],[Quartile]]="ThirdQuartile", 3,
 IF(Table13[[#This Row],[Quartile]]="FourthQuartile", 4, ""))))</f>
        <v>4</v>
      </c>
      <c r="F1082" s="9" t="s">
        <v>560</v>
      </c>
      <c r="G1082" s="9" t="str" cm="1">
        <f t="array" ref="G1082">IFERROR(
  INDEX(Table13[Quartile],
    MATCH(1,
      (Table13[[#This Row],[OrgName]]=Table13[OrgName]) *
      (Table13[[#This Row],[Month Number]]-1=Table13[Month Number]),
    0)
  ),
"")</f>
        <v>FourthQuartile</v>
      </c>
      <c r="H1082" s="9">
        <f>IF(Table13[[#This Row],[Previous Quartile]]="TopQuartile", 1,
 IF(Table13[[#This Row],[Previous Quartile]]="SecondQuartile", 2,
 IF(Table13[[#This Row],[Previous Quartile]]="ThirdQuartile", 3,
 IF(Table13[[#This Row],[Previous Quartile]]="FourthQuartile", 4, ""))))</f>
        <v>4</v>
      </c>
      <c r="I1082" s="9" t="str">
        <f>IF(Table13[[#This Row],[Previous Quartile Value]]="", "",
   IF(Table13[[#This Row],[Quartile Value]] &lt; Table13[[#This Row],[Previous Quartile Value]], "Improved",
   IF(Table13[[#This Row],[Quartile Value]] &gt; Table13[[#This Row],[Previous Quartile Value]], "Dropped", "Same")))</f>
        <v>Same</v>
      </c>
      <c r="J1082" s="9" t="s">
        <v>24</v>
      </c>
      <c r="K1082" s="7" t="str">
        <f>VLOOKUP(J1082,Introduction!$B$6:$C$14,2)</f>
        <v>North East and Yorkshire</v>
      </c>
      <c r="L1082" s="11">
        <v>134</v>
      </c>
      <c r="M1082" s="12" t="s">
        <v>530</v>
      </c>
    </row>
    <row r="1083" spans="1:13" ht="19.95" customHeight="1" x14ac:dyDescent="0.25">
      <c r="A1083" s="41">
        <v>45383</v>
      </c>
      <c r="B1083" s="47">
        <f>MONTH(Table13[[#This Row],[YearMonth]])</f>
        <v>4</v>
      </c>
      <c r="C1083" s="9" t="s">
        <v>262</v>
      </c>
      <c r="D1083" s="6" t="s">
        <v>350</v>
      </c>
      <c r="E1083" s="6">
        <f>IF(Table13[[#This Row],[Quartile]]="TopQuartile", 1,
 IF(Table13[[#This Row],[Quartile]]="SecondQuartile", 2,
 IF(Table13[[#This Row],[Quartile]]="ThirdQuartile", 3,
 IF(Table13[[#This Row],[Quartile]]="FourthQuartile", 4, ""))))</f>
        <v>4</v>
      </c>
      <c r="F1083" s="9" t="s">
        <v>561</v>
      </c>
      <c r="G1083" s="9" t="str" cm="1">
        <f t="array" ref="G1083">IFERROR(
  INDEX(Table13[Quartile],
    MATCH(1,
      (Table13[[#This Row],[OrgName]]=Table13[OrgName]) *
      (Table13[[#This Row],[Month Number]]-1=Table13[Month Number]),
    0)
  ),
"")</f>
        <v>FourthQuartile</v>
      </c>
      <c r="H1083" s="9">
        <f>IF(Table13[[#This Row],[Previous Quartile]]="TopQuartile", 1,
 IF(Table13[[#This Row],[Previous Quartile]]="SecondQuartile", 2,
 IF(Table13[[#This Row],[Previous Quartile]]="ThirdQuartile", 3,
 IF(Table13[[#This Row],[Previous Quartile]]="FourthQuartile", 4, ""))))</f>
        <v>4</v>
      </c>
      <c r="I1083" s="9" t="str">
        <f>IF(Table13[[#This Row],[Previous Quartile Value]]="", "",
   IF(Table13[[#This Row],[Quartile Value]] &lt; Table13[[#This Row],[Previous Quartile Value]], "Improved",
   IF(Table13[[#This Row],[Quartile Value]] &gt; Table13[[#This Row],[Previous Quartile Value]], "Dropped", "Same")))</f>
        <v>Same</v>
      </c>
      <c r="J1083" s="9" t="s">
        <v>22</v>
      </c>
      <c r="K1083" s="7" t="str">
        <f>VLOOKUP(J1083,Introduction!$B$6:$C$14,2)</f>
        <v>North West</v>
      </c>
      <c r="L1083" s="11">
        <v>896</v>
      </c>
      <c r="M1083" s="12" t="s">
        <v>530</v>
      </c>
    </row>
    <row r="1084" spans="1:13" ht="19.95" customHeight="1" x14ac:dyDescent="0.25">
      <c r="A1084" s="41">
        <v>45383</v>
      </c>
      <c r="B1084" s="47">
        <f>MONTH(Table13[[#This Row],[YearMonth]])</f>
        <v>4</v>
      </c>
      <c r="C1084" s="9" t="s">
        <v>304</v>
      </c>
      <c r="D1084" s="6" t="s">
        <v>350</v>
      </c>
      <c r="E1084" s="6">
        <f>IF(Table13[[#This Row],[Quartile]]="TopQuartile", 1,
 IF(Table13[[#This Row],[Quartile]]="SecondQuartile", 2,
 IF(Table13[[#This Row],[Quartile]]="ThirdQuartile", 3,
 IF(Table13[[#This Row],[Quartile]]="FourthQuartile", 4, ""))))</f>
        <v>4</v>
      </c>
      <c r="F1084" s="9" t="s">
        <v>569</v>
      </c>
      <c r="G1084" s="9" t="str" cm="1">
        <f t="array" ref="G1084">IFERROR(
  INDEX(Table13[Quartile],
    MATCH(1,
      (Table13[[#This Row],[OrgName]]=Table13[OrgName]) *
      (Table13[[#This Row],[Month Number]]-1=Table13[Month Number]),
    0)
  ),
"")</f>
        <v>FourthQuartile</v>
      </c>
      <c r="H1084" s="9">
        <f>IF(Table13[[#This Row],[Previous Quartile]]="TopQuartile", 1,
 IF(Table13[[#This Row],[Previous Quartile]]="SecondQuartile", 2,
 IF(Table13[[#This Row],[Previous Quartile]]="ThirdQuartile", 3,
 IF(Table13[[#This Row],[Previous Quartile]]="FourthQuartile", 4, ""))))</f>
        <v>4</v>
      </c>
      <c r="I1084" s="9" t="str">
        <f>IF(Table13[[#This Row],[Previous Quartile Value]]="", "",
   IF(Table13[[#This Row],[Quartile Value]] &lt; Table13[[#This Row],[Previous Quartile Value]], "Improved",
   IF(Table13[[#This Row],[Quartile Value]] &gt; Table13[[#This Row],[Previous Quartile Value]], "Dropped", "Same")))</f>
        <v>Same</v>
      </c>
      <c r="J1084" s="9" t="s">
        <v>20</v>
      </c>
      <c r="K1084" s="7" t="str">
        <f>VLOOKUP(J1084,Introduction!$B$6:$C$14,2)</f>
        <v>East of England</v>
      </c>
      <c r="L1084" s="11">
        <v>710</v>
      </c>
      <c r="M1084" s="12" t="s">
        <v>530</v>
      </c>
    </row>
    <row r="1085" spans="1:13" ht="19.95" customHeight="1" x14ac:dyDescent="0.25">
      <c r="A1085" s="41">
        <v>45383</v>
      </c>
      <c r="B1085" s="47">
        <f>MONTH(Table13[[#This Row],[YearMonth]])</f>
        <v>4</v>
      </c>
      <c r="C1085" s="9" t="s">
        <v>302</v>
      </c>
      <c r="D1085" s="6" t="s">
        <v>350</v>
      </c>
      <c r="E1085" s="6">
        <f>IF(Table13[[#This Row],[Quartile]]="TopQuartile", 1,
 IF(Table13[[#This Row],[Quartile]]="SecondQuartile", 2,
 IF(Table13[[#This Row],[Quartile]]="ThirdQuartile", 3,
 IF(Table13[[#This Row],[Quartile]]="FourthQuartile", 4, ""))))</f>
        <v>4</v>
      </c>
      <c r="F1085" s="9" t="s">
        <v>567</v>
      </c>
      <c r="G1085" s="9" t="str" cm="1">
        <f t="array" ref="G1085">IFERROR(
  INDEX(Table13[Quartile],
    MATCH(1,
      (Table13[[#This Row],[OrgName]]=Table13[OrgName]) *
      (Table13[[#This Row],[Month Number]]-1=Table13[Month Number]),
    0)
  ),
"")</f>
        <v>FourthQuartile</v>
      </c>
      <c r="H1085" s="9">
        <f>IF(Table13[[#This Row],[Previous Quartile]]="TopQuartile", 1,
 IF(Table13[[#This Row],[Previous Quartile]]="SecondQuartile", 2,
 IF(Table13[[#This Row],[Previous Quartile]]="ThirdQuartile", 3,
 IF(Table13[[#This Row],[Previous Quartile]]="FourthQuartile", 4, ""))))</f>
        <v>4</v>
      </c>
      <c r="I1085" s="9" t="str">
        <f>IF(Table13[[#This Row],[Previous Quartile Value]]="", "",
   IF(Table13[[#This Row],[Quartile Value]] &lt; Table13[[#This Row],[Previous Quartile Value]], "Improved",
   IF(Table13[[#This Row],[Quartile Value]] &gt; Table13[[#This Row],[Previous Quartile Value]], "Dropped", "Same")))</f>
        <v>Same</v>
      </c>
      <c r="J1085" s="9" t="s">
        <v>24</v>
      </c>
      <c r="K1085" s="7" t="str">
        <f>VLOOKUP(J1085,Introduction!$B$6:$C$14,2)</f>
        <v>North East and Yorkshire</v>
      </c>
      <c r="L1085" s="11">
        <v>475</v>
      </c>
      <c r="M1085" s="12" t="s">
        <v>530</v>
      </c>
    </row>
    <row r="1086" spans="1:13" ht="19.95" customHeight="1" x14ac:dyDescent="0.25">
      <c r="A1086" s="41">
        <v>45383</v>
      </c>
      <c r="B1086" s="47">
        <f>MONTH(Table13[[#This Row],[YearMonth]])</f>
        <v>4</v>
      </c>
      <c r="C1086" s="9" t="s">
        <v>303</v>
      </c>
      <c r="D1086" s="6" t="s">
        <v>350</v>
      </c>
      <c r="E1086" s="6">
        <f>IF(Table13[[#This Row],[Quartile]]="TopQuartile", 1,
 IF(Table13[[#This Row],[Quartile]]="SecondQuartile", 2,
 IF(Table13[[#This Row],[Quartile]]="ThirdQuartile", 3,
 IF(Table13[[#This Row],[Quartile]]="FourthQuartile", 4, ""))))</f>
        <v>4</v>
      </c>
      <c r="F1086" s="9" t="s">
        <v>568</v>
      </c>
      <c r="G1086" s="9" t="str" cm="1">
        <f t="array" ref="G1086">IFERROR(
  INDEX(Table13[Quartile],
    MATCH(1,
      (Table13[[#This Row],[OrgName]]=Table13[OrgName]) *
      (Table13[[#This Row],[Month Number]]-1=Table13[Month Number]),
    0)
  ),
"")</f>
        <v>FourthQuartile</v>
      </c>
      <c r="H1086" s="9">
        <f>IF(Table13[[#This Row],[Previous Quartile]]="TopQuartile", 1,
 IF(Table13[[#This Row],[Previous Quartile]]="SecondQuartile", 2,
 IF(Table13[[#This Row],[Previous Quartile]]="ThirdQuartile", 3,
 IF(Table13[[#This Row],[Previous Quartile]]="FourthQuartile", 4, ""))))</f>
        <v>4</v>
      </c>
      <c r="I1086" s="9" t="str">
        <f>IF(Table13[[#This Row],[Previous Quartile Value]]="", "",
   IF(Table13[[#This Row],[Quartile Value]] &lt; Table13[[#This Row],[Previous Quartile Value]], "Improved",
   IF(Table13[[#This Row],[Quartile Value]] &gt; Table13[[#This Row],[Previous Quartile Value]], "Dropped", "Same")))</f>
        <v>Same</v>
      </c>
      <c r="J1086" s="9" t="s">
        <v>14</v>
      </c>
      <c r="K1086" s="7" t="str">
        <f>VLOOKUP(J1086,Introduction!$B$6:$C$14,2)</f>
        <v>South West</v>
      </c>
      <c r="L1086" s="11">
        <v>467</v>
      </c>
      <c r="M1086" s="12" t="s">
        <v>530</v>
      </c>
    </row>
    <row r="1087" spans="1:13" ht="19.95" customHeight="1" x14ac:dyDescent="0.25">
      <c r="A1087" s="41">
        <v>45383</v>
      </c>
      <c r="B1087" s="47">
        <f>MONTH(Table13[[#This Row],[YearMonth]])</f>
        <v>4</v>
      </c>
      <c r="C1087" s="9" t="s">
        <v>221</v>
      </c>
      <c r="D1087" s="6" t="s">
        <v>350</v>
      </c>
      <c r="E1087" s="6">
        <f>IF(Table13[[#This Row],[Quartile]]="TopQuartile", 1,
 IF(Table13[[#This Row],[Quartile]]="SecondQuartile", 2,
 IF(Table13[[#This Row],[Quartile]]="ThirdQuartile", 3,
 IF(Table13[[#This Row],[Quartile]]="FourthQuartile", 4, ""))))</f>
        <v>4</v>
      </c>
      <c r="F1087" s="9" t="s">
        <v>557</v>
      </c>
      <c r="G1087" s="9" t="str" cm="1">
        <f t="array" ref="G1087">IFERROR(
  INDEX(Table13[Quartile],
    MATCH(1,
      (Table13[[#This Row],[OrgName]]=Table13[OrgName]) *
      (Table13[[#This Row],[Month Number]]-1=Table13[Month Number]),
    0)
  ),
"")</f>
        <v>FourthQuartile</v>
      </c>
      <c r="H1087" s="9">
        <f>IF(Table13[[#This Row],[Previous Quartile]]="TopQuartile", 1,
 IF(Table13[[#This Row],[Previous Quartile]]="SecondQuartile", 2,
 IF(Table13[[#This Row],[Previous Quartile]]="ThirdQuartile", 3,
 IF(Table13[[#This Row],[Previous Quartile]]="FourthQuartile", 4, ""))))</f>
        <v>4</v>
      </c>
      <c r="I1087" s="9" t="str">
        <f>IF(Table13[[#This Row],[Previous Quartile Value]]="", "",
   IF(Table13[[#This Row],[Quartile Value]] &lt; Table13[[#This Row],[Previous Quartile Value]], "Improved",
   IF(Table13[[#This Row],[Quartile Value]] &gt; Table13[[#This Row],[Previous Quartile Value]], "Dropped", "Same")))</f>
        <v>Same</v>
      </c>
      <c r="J1087" s="9" t="s">
        <v>16</v>
      </c>
      <c r="K1087" s="7" t="str">
        <f>VLOOKUP(J1087,Introduction!$B$6:$C$14,2)</f>
        <v>South East</v>
      </c>
      <c r="L1087" s="11">
        <v>95</v>
      </c>
      <c r="M1087" s="12" t="s">
        <v>530</v>
      </c>
    </row>
    <row r="1088" spans="1:13" ht="19.95" customHeight="1" x14ac:dyDescent="0.25">
      <c r="A1088" s="41">
        <v>45383</v>
      </c>
      <c r="B1088" s="47">
        <f>MONTH(Table13[[#This Row],[YearMonth]])</f>
        <v>4</v>
      </c>
      <c r="C1088" s="9" t="s">
        <v>311</v>
      </c>
      <c r="D1088" s="6" t="s">
        <v>350</v>
      </c>
      <c r="E1088" s="6">
        <f>IF(Table13[[#This Row],[Quartile]]="TopQuartile", 1,
 IF(Table13[[#This Row],[Quartile]]="SecondQuartile", 2,
 IF(Table13[[#This Row],[Quartile]]="ThirdQuartile", 3,
 IF(Table13[[#This Row],[Quartile]]="FourthQuartile", 4, ""))))</f>
        <v>4</v>
      </c>
      <c r="F1088" s="9" t="s">
        <v>570</v>
      </c>
      <c r="G1088" s="9" t="str" cm="1">
        <f t="array" ref="G1088">IFERROR(
  INDEX(Table13[Quartile],
    MATCH(1,
      (Table13[[#This Row],[OrgName]]=Table13[OrgName]) *
      (Table13[[#This Row],[Month Number]]-1=Table13[Month Number]),
    0)
  ),
"")</f>
        <v>FourthQuartile</v>
      </c>
      <c r="H1088" s="9">
        <f>IF(Table13[[#This Row],[Previous Quartile]]="TopQuartile", 1,
 IF(Table13[[#This Row],[Previous Quartile]]="SecondQuartile", 2,
 IF(Table13[[#This Row],[Previous Quartile]]="ThirdQuartile", 3,
 IF(Table13[[#This Row],[Previous Quartile]]="FourthQuartile", 4, ""))))</f>
        <v>4</v>
      </c>
      <c r="I1088" s="9" t="str">
        <f>IF(Table13[[#This Row],[Previous Quartile Value]]="", "",
   IF(Table13[[#This Row],[Quartile Value]] &lt; Table13[[#This Row],[Previous Quartile Value]], "Improved",
   IF(Table13[[#This Row],[Quartile Value]] &gt; Table13[[#This Row],[Previous Quartile Value]], "Dropped", "Same")))</f>
        <v>Same</v>
      </c>
      <c r="J1088" s="9" t="s">
        <v>24</v>
      </c>
      <c r="K1088" s="7" t="str">
        <f>VLOOKUP(J1088,Introduction!$B$6:$C$14,2)</f>
        <v>North East and Yorkshire</v>
      </c>
      <c r="L1088" s="11">
        <v>857</v>
      </c>
      <c r="M1088" s="12" t="s">
        <v>530</v>
      </c>
    </row>
    <row r="1089" spans="1:13" ht="19.95" customHeight="1" x14ac:dyDescent="0.25">
      <c r="A1089" s="41">
        <v>45383</v>
      </c>
      <c r="B1089" s="47">
        <f>MONTH(Table13[[#This Row],[YearMonth]])</f>
        <v>4</v>
      </c>
      <c r="C1089" s="9" t="s">
        <v>312</v>
      </c>
      <c r="D1089" s="6" t="s">
        <v>350</v>
      </c>
      <c r="E1089" s="6">
        <f>IF(Table13[[#This Row],[Quartile]]="TopQuartile", 1,
 IF(Table13[[#This Row],[Quartile]]="SecondQuartile", 2,
 IF(Table13[[#This Row],[Quartile]]="ThirdQuartile", 3,
 IF(Table13[[#This Row],[Quartile]]="FourthQuartile", 4, ""))))</f>
        <v>4</v>
      </c>
      <c r="F1089" s="9" t="s">
        <v>571</v>
      </c>
      <c r="G1089" s="9" t="str" cm="1">
        <f t="array" ref="G1089">IFERROR(
  INDEX(Table13[Quartile],
    MATCH(1,
      (Table13[[#This Row],[OrgName]]=Table13[OrgName]) *
      (Table13[[#This Row],[Month Number]]-1=Table13[Month Number]),
    0)
  ),
"")</f>
        <v>FourthQuartile</v>
      </c>
      <c r="H1089" s="9">
        <f>IF(Table13[[#This Row],[Previous Quartile]]="TopQuartile", 1,
 IF(Table13[[#This Row],[Previous Quartile]]="SecondQuartile", 2,
 IF(Table13[[#This Row],[Previous Quartile]]="ThirdQuartile", 3,
 IF(Table13[[#This Row],[Previous Quartile]]="FourthQuartile", 4, ""))))</f>
        <v>4</v>
      </c>
      <c r="I1089" s="9" t="str">
        <f>IF(Table13[[#This Row],[Previous Quartile Value]]="", "",
   IF(Table13[[#This Row],[Quartile Value]] &lt; Table13[[#This Row],[Previous Quartile Value]], "Improved",
   IF(Table13[[#This Row],[Quartile Value]] &gt; Table13[[#This Row],[Previous Quartile Value]], "Dropped", "Same")))</f>
        <v>Same</v>
      </c>
      <c r="J1089" s="9" t="s">
        <v>20</v>
      </c>
      <c r="K1089" s="7" t="str">
        <f>VLOOKUP(J1089,Introduction!$B$6:$C$14,2)</f>
        <v>East of England</v>
      </c>
      <c r="L1089" s="11">
        <v>644</v>
      </c>
      <c r="M1089" s="12" t="s">
        <v>530</v>
      </c>
    </row>
    <row r="1090" spans="1:13" ht="19.95" customHeight="1" x14ac:dyDescent="0.25">
      <c r="A1090" s="41">
        <v>45383</v>
      </c>
      <c r="B1090" s="47">
        <f>MONTH(Table13[[#This Row],[YearMonth]])</f>
        <v>4</v>
      </c>
      <c r="C1090" s="9" t="s">
        <v>34</v>
      </c>
      <c r="D1090" s="6" t="s">
        <v>330</v>
      </c>
      <c r="E1090" s="6">
        <f>IF(Table13[[#This Row],[Quartile]]="TopQuartile", 1,
 IF(Table13[[#This Row],[Quartile]]="SecondQuartile", 2,
 IF(Table13[[#This Row],[Quartile]]="ThirdQuartile", 3,
 IF(Table13[[#This Row],[Quartile]]="FourthQuartile", 4, ""))))</f>
        <v>1</v>
      </c>
      <c r="F1090" s="9" t="s">
        <v>572</v>
      </c>
      <c r="G1090" s="9" t="str" cm="1">
        <f t="array" ref="G1090">IFERROR(
  INDEX(Table13[Quartile],
    MATCH(1,
      (Table13[[#This Row],[OrgName]]=Table13[OrgName]) *
      (Table13[[#This Row],[Month Number]]-1=Table13[Month Number]),
    0)
  ),
"")</f>
        <v>TopQuartile</v>
      </c>
      <c r="H1090" s="9">
        <f>IF(Table13[[#This Row],[Previous Quartile]]="TopQuartile", 1,
 IF(Table13[[#This Row],[Previous Quartile]]="SecondQuartile", 2,
 IF(Table13[[#This Row],[Previous Quartile]]="ThirdQuartile", 3,
 IF(Table13[[#This Row],[Previous Quartile]]="FourthQuartile", 4, ""))))</f>
        <v>1</v>
      </c>
      <c r="I1090" s="9" t="str">
        <f>IF(Table13[[#This Row],[Previous Quartile Value]]="", "",
   IF(Table13[[#This Row],[Quartile Value]] &lt; Table13[[#This Row],[Previous Quartile Value]], "Improved",
   IF(Table13[[#This Row],[Quartile Value]] &gt; Table13[[#This Row],[Previous Quartile Value]], "Dropped", "Same")))</f>
        <v>Same</v>
      </c>
      <c r="J1090" s="9" t="s">
        <v>14</v>
      </c>
      <c r="K1090" s="7" t="str">
        <f>VLOOKUP(J1090,Introduction!$B$6:$C$14,2)</f>
        <v>South West</v>
      </c>
      <c r="L1090" s="11">
        <v>201</v>
      </c>
      <c r="M1090" s="12" t="s">
        <v>573</v>
      </c>
    </row>
    <row r="1091" spans="1:13" ht="19.95" customHeight="1" x14ac:dyDescent="0.25">
      <c r="A1091" s="41">
        <v>45383</v>
      </c>
      <c r="B1091" s="47">
        <f>MONTH(Table13[[#This Row],[YearMonth]])</f>
        <v>4</v>
      </c>
      <c r="C1091" s="9" t="s">
        <v>38</v>
      </c>
      <c r="D1091" s="6" t="s">
        <v>330</v>
      </c>
      <c r="E1091" s="6">
        <f>IF(Table13[[#This Row],[Quartile]]="TopQuartile", 1,
 IF(Table13[[#This Row],[Quartile]]="SecondQuartile", 2,
 IF(Table13[[#This Row],[Quartile]]="ThirdQuartile", 3,
 IF(Table13[[#This Row],[Quartile]]="FourthQuartile", 4, ""))))</f>
        <v>1</v>
      </c>
      <c r="F1091" s="9" t="s">
        <v>575</v>
      </c>
      <c r="G1091" s="9" t="str" cm="1">
        <f t="array" ref="G1091">IFERROR(
  INDEX(Table13[Quartile],
    MATCH(1,
      (Table13[[#This Row],[OrgName]]=Table13[OrgName]) *
      (Table13[[#This Row],[Month Number]]-1=Table13[Month Number]),
    0)
  ),
"")</f>
        <v>TopQuartile</v>
      </c>
      <c r="H1091" s="9">
        <f>IF(Table13[[#This Row],[Previous Quartile]]="TopQuartile", 1,
 IF(Table13[[#This Row],[Previous Quartile]]="SecondQuartile", 2,
 IF(Table13[[#This Row],[Previous Quartile]]="ThirdQuartile", 3,
 IF(Table13[[#This Row],[Previous Quartile]]="FourthQuartile", 4, ""))))</f>
        <v>1</v>
      </c>
      <c r="I1091" s="9" t="str">
        <f>IF(Table13[[#This Row],[Previous Quartile Value]]="", "",
   IF(Table13[[#This Row],[Quartile Value]] &lt; Table13[[#This Row],[Previous Quartile Value]], "Improved",
   IF(Table13[[#This Row],[Quartile Value]] &gt; Table13[[#This Row],[Previous Quartile Value]], "Dropped", "Same")))</f>
        <v>Same</v>
      </c>
      <c r="J1091" s="9" t="s">
        <v>16</v>
      </c>
      <c r="K1091" s="7" t="str">
        <f>VLOOKUP(J1091,Introduction!$B$6:$C$14,2)</f>
        <v>South East</v>
      </c>
      <c r="L1091" s="11">
        <v>354</v>
      </c>
      <c r="M1091" s="12" t="s">
        <v>573</v>
      </c>
    </row>
    <row r="1092" spans="1:13" ht="19.95" customHeight="1" x14ac:dyDescent="0.25">
      <c r="A1092" s="41">
        <v>45383</v>
      </c>
      <c r="B1092" s="47">
        <f>MONTH(Table13[[#This Row],[YearMonth]])</f>
        <v>4</v>
      </c>
      <c r="C1092" s="9" t="s">
        <v>44</v>
      </c>
      <c r="D1092" s="6" t="s">
        <v>330</v>
      </c>
      <c r="E1092" s="6">
        <f>IF(Table13[[#This Row],[Quartile]]="TopQuartile", 1,
 IF(Table13[[#This Row],[Quartile]]="SecondQuartile", 2,
 IF(Table13[[#This Row],[Quartile]]="ThirdQuartile", 3,
 IF(Table13[[#This Row],[Quartile]]="FourthQuartile", 4, ""))))</f>
        <v>1</v>
      </c>
      <c r="F1092" s="9" t="s">
        <v>576</v>
      </c>
      <c r="G1092" s="9" t="str" cm="1">
        <f t="array" ref="G1092">IFERROR(
  INDEX(Table13[Quartile],
    MATCH(1,
      (Table13[[#This Row],[OrgName]]=Table13[OrgName]) *
      (Table13[[#This Row],[Month Number]]-1=Table13[Month Number]),
    0)
  ),
"")</f>
        <v>TopQuartile</v>
      </c>
      <c r="H1092" s="9">
        <f>IF(Table13[[#This Row],[Previous Quartile]]="TopQuartile", 1,
 IF(Table13[[#This Row],[Previous Quartile]]="SecondQuartile", 2,
 IF(Table13[[#This Row],[Previous Quartile]]="ThirdQuartile", 3,
 IF(Table13[[#This Row],[Previous Quartile]]="FourthQuartile", 4, ""))))</f>
        <v>1</v>
      </c>
      <c r="I1092" s="9" t="str">
        <f>IF(Table13[[#This Row],[Previous Quartile Value]]="", "",
   IF(Table13[[#This Row],[Quartile Value]] &lt; Table13[[#This Row],[Previous Quartile Value]], "Improved",
   IF(Table13[[#This Row],[Quartile Value]] &gt; Table13[[#This Row],[Previous Quartile Value]], "Dropped", "Same")))</f>
        <v>Same</v>
      </c>
      <c r="J1092" s="9" t="s">
        <v>24</v>
      </c>
      <c r="K1092" s="7" t="str">
        <f>VLOOKUP(J1092,Introduction!$B$6:$C$14,2)</f>
        <v>North East and Yorkshire</v>
      </c>
      <c r="L1092" s="11">
        <v>173</v>
      </c>
      <c r="M1092" s="12" t="s">
        <v>573</v>
      </c>
    </row>
    <row r="1093" spans="1:13" ht="19.95" customHeight="1" x14ac:dyDescent="0.25">
      <c r="A1093" s="41">
        <v>45383</v>
      </c>
      <c r="B1093" s="47">
        <f>MONTH(Table13[[#This Row],[YearMonth]])</f>
        <v>4</v>
      </c>
      <c r="C1093" s="9" t="s">
        <v>36</v>
      </c>
      <c r="D1093" s="6" t="s">
        <v>330</v>
      </c>
      <c r="E1093" s="6">
        <f>IF(Table13[[#This Row],[Quartile]]="TopQuartile", 1,
 IF(Table13[[#This Row],[Quartile]]="SecondQuartile", 2,
 IF(Table13[[#This Row],[Quartile]]="ThirdQuartile", 3,
 IF(Table13[[#This Row],[Quartile]]="FourthQuartile", 4, ""))))</f>
        <v>1</v>
      </c>
      <c r="F1093" s="9" t="s">
        <v>574</v>
      </c>
      <c r="G1093" s="9" t="str" cm="1">
        <f t="array" ref="G1093">IFERROR(
  INDEX(Table13[Quartile],
    MATCH(1,
      (Table13[[#This Row],[OrgName]]=Table13[OrgName]) *
      (Table13[[#This Row],[Month Number]]-1=Table13[Month Number]),
    0)
  ),
"")</f>
        <v>TopQuartile</v>
      </c>
      <c r="H1093" s="9">
        <f>IF(Table13[[#This Row],[Previous Quartile]]="TopQuartile", 1,
 IF(Table13[[#This Row],[Previous Quartile]]="SecondQuartile", 2,
 IF(Table13[[#This Row],[Previous Quartile]]="ThirdQuartile", 3,
 IF(Table13[[#This Row],[Previous Quartile]]="FourthQuartile", 4, ""))))</f>
        <v>1</v>
      </c>
      <c r="I1093" s="9" t="str">
        <f>IF(Table13[[#This Row],[Previous Quartile Value]]="", "",
   IF(Table13[[#This Row],[Quartile Value]] &lt; Table13[[#This Row],[Previous Quartile Value]], "Improved",
   IF(Table13[[#This Row],[Quartile Value]] &gt; Table13[[#This Row],[Previous Quartile Value]], "Dropped", "Same")))</f>
        <v>Same</v>
      </c>
      <c r="J1093" s="9" t="s">
        <v>18</v>
      </c>
      <c r="K1093" s="7" t="str">
        <f>VLOOKUP(J1093,Introduction!$B$6:$C$14,2)</f>
        <v>Midlands</v>
      </c>
      <c r="L1093" s="11">
        <v>274</v>
      </c>
      <c r="M1093" s="12" t="s">
        <v>573</v>
      </c>
    </row>
    <row r="1094" spans="1:13" ht="19.95" customHeight="1" x14ac:dyDescent="0.25">
      <c r="A1094" s="41">
        <v>45383</v>
      </c>
      <c r="B1094" s="47">
        <f>MONTH(Table13[[#This Row],[YearMonth]])</f>
        <v>4</v>
      </c>
      <c r="C1094" s="9" t="s">
        <v>49</v>
      </c>
      <c r="D1094" s="6" t="s">
        <v>330</v>
      </c>
      <c r="E1094" s="6">
        <f>IF(Table13[[#This Row],[Quartile]]="TopQuartile", 1,
 IF(Table13[[#This Row],[Quartile]]="SecondQuartile", 2,
 IF(Table13[[#This Row],[Quartile]]="ThirdQuartile", 3,
 IF(Table13[[#This Row],[Quartile]]="FourthQuartile", 4, ""))))</f>
        <v>1</v>
      </c>
      <c r="F1094" s="9" t="s">
        <v>577</v>
      </c>
      <c r="G1094" s="9" t="str" cm="1">
        <f t="array" ref="G1094">IFERROR(
  INDEX(Table13[Quartile],
    MATCH(1,
      (Table13[[#This Row],[OrgName]]=Table13[OrgName]) *
      (Table13[[#This Row],[Month Number]]-1=Table13[Month Number]),
    0)
  ),
"")</f>
        <v>TopQuartile</v>
      </c>
      <c r="H1094" s="9">
        <f>IF(Table13[[#This Row],[Previous Quartile]]="TopQuartile", 1,
 IF(Table13[[#This Row],[Previous Quartile]]="SecondQuartile", 2,
 IF(Table13[[#This Row],[Previous Quartile]]="ThirdQuartile", 3,
 IF(Table13[[#This Row],[Previous Quartile]]="FourthQuartile", 4, ""))))</f>
        <v>1</v>
      </c>
      <c r="I1094" s="9" t="str">
        <f>IF(Table13[[#This Row],[Previous Quartile Value]]="", "",
   IF(Table13[[#This Row],[Quartile Value]] &lt; Table13[[#This Row],[Previous Quartile Value]], "Improved",
   IF(Table13[[#This Row],[Quartile Value]] &gt; Table13[[#This Row],[Previous Quartile Value]], "Dropped", "Same")))</f>
        <v>Same</v>
      </c>
      <c r="J1094" s="9" t="s">
        <v>24</v>
      </c>
      <c r="K1094" s="7" t="str">
        <f>VLOOKUP(J1094,Introduction!$B$6:$C$14,2)</f>
        <v>North East and Yorkshire</v>
      </c>
      <c r="L1094" s="11">
        <v>263</v>
      </c>
      <c r="M1094" s="12" t="s">
        <v>573</v>
      </c>
    </row>
    <row r="1095" spans="1:13" ht="19.95" customHeight="1" x14ac:dyDescent="0.25">
      <c r="A1095" s="41">
        <v>45383</v>
      </c>
      <c r="B1095" s="47">
        <f>MONTH(Table13[[#This Row],[YearMonth]])</f>
        <v>4</v>
      </c>
      <c r="C1095" s="9" t="s">
        <v>70</v>
      </c>
      <c r="D1095" s="6" t="s">
        <v>330</v>
      </c>
      <c r="E1095" s="6">
        <f>IF(Table13[[#This Row],[Quartile]]="TopQuartile", 1,
 IF(Table13[[#This Row],[Quartile]]="SecondQuartile", 2,
 IF(Table13[[#This Row],[Quartile]]="ThirdQuartile", 3,
 IF(Table13[[#This Row],[Quartile]]="FourthQuartile", 4, ""))))</f>
        <v>1</v>
      </c>
      <c r="F1095" s="9" t="s">
        <v>581</v>
      </c>
      <c r="G1095" s="9" t="str" cm="1">
        <f t="array" ref="G1095">IFERROR(
  INDEX(Table13[Quartile],
    MATCH(1,
      (Table13[[#This Row],[OrgName]]=Table13[OrgName]) *
      (Table13[[#This Row],[Month Number]]-1=Table13[Month Number]),
    0)
  ),
"")</f>
        <v>TopQuartile</v>
      </c>
      <c r="H1095" s="9">
        <f>IF(Table13[[#This Row],[Previous Quartile]]="TopQuartile", 1,
 IF(Table13[[#This Row],[Previous Quartile]]="SecondQuartile", 2,
 IF(Table13[[#This Row],[Previous Quartile]]="ThirdQuartile", 3,
 IF(Table13[[#This Row],[Previous Quartile]]="FourthQuartile", 4, ""))))</f>
        <v>1</v>
      </c>
      <c r="I1095" s="9" t="str">
        <f>IF(Table13[[#This Row],[Previous Quartile Value]]="", "",
   IF(Table13[[#This Row],[Quartile Value]] &lt; Table13[[#This Row],[Previous Quartile Value]], "Improved",
   IF(Table13[[#This Row],[Quartile Value]] &gt; Table13[[#This Row],[Previous Quartile Value]], "Dropped", "Same")))</f>
        <v>Same</v>
      </c>
      <c r="J1095" s="9" t="s">
        <v>14</v>
      </c>
      <c r="K1095" s="7" t="str">
        <f>VLOOKUP(J1095,Introduction!$B$6:$C$14,2)</f>
        <v>South West</v>
      </c>
      <c r="L1095" s="11">
        <v>369</v>
      </c>
      <c r="M1095" s="12" t="s">
        <v>573</v>
      </c>
    </row>
    <row r="1096" spans="1:13" ht="19.95" customHeight="1" x14ac:dyDescent="0.25">
      <c r="A1096" s="41">
        <v>45383</v>
      </c>
      <c r="B1096" s="47">
        <f>MONTH(Table13[[#This Row],[YearMonth]])</f>
        <v>4</v>
      </c>
      <c r="C1096" s="9" t="s">
        <v>62</v>
      </c>
      <c r="D1096" s="6" t="s">
        <v>330</v>
      </c>
      <c r="E1096" s="6">
        <f>IF(Table13[[#This Row],[Quartile]]="TopQuartile", 1,
 IF(Table13[[#This Row],[Quartile]]="SecondQuartile", 2,
 IF(Table13[[#This Row],[Quartile]]="ThirdQuartile", 3,
 IF(Table13[[#This Row],[Quartile]]="FourthQuartile", 4, ""))))</f>
        <v>1</v>
      </c>
      <c r="F1096" s="9" t="s">
        <v>579</v>
      </c>
      <c r="G1096" s="9" t="str" cm="1">
        <f t="array" ref="G1096">IFERROR(
  INDEX(Table13[Quartile],
    MATCH(1,
      (Table13[[#This Row],[OrgName]]=Table13[OrgName]) *
      (Table13[[#This Row],[Month Number]]-1=Table13[Month Number]),
    0)
  ),
"")</f>
        <v>TopQuartile</v>
      </c>
      <c r="H1096" s="9">
        <f>IF(Table13[[#This Row],[Previous Quartile]]="TopQuartile", 1,
 IF(Table13[[#This Row],[Previous Quartile]]="SecondQuartile", 2,
 IF(Table13[[#This Row],[Previous Quartile]]="ThirdQuartile", 3,
 IF(Table13[[#This Row],[Previous Quartile]]="FourthQuartile", 4, ""))))</f>
        <v>1</v>
      </c>
      <c r="I1096" s="9" t="str">
        <f>IF(Table13[[#This Row],[Previous Quartile Value]]="", "",
   IF(Table13[[#This Row],[Quartile Value]] &lt; Table13[[#This Row],[Previous Quartile Value]], "Improved",
   IF(Table13[[#This Row],[Quartile Value]] &gt; Table13[[#This Row],[Previous Quartile Value]], "Dropped", "Same")))</f>
        <v>Same</v>
      </c>
      <c r="J1096" s="9" t="s">
        <v>22</v>
      </c>
      <c r="K1096" s="7" t="str">
        <f>VLOOKUP(J1096,Introduction!$B$6:$C$14,2)</f>
        <v>North West</v>
      </c>
      <c r="L1096" s="11">
        <v>373</v>
      </c>
      <c r="M1096" s="12" t="s">
        <v>573</v>
      </c>
    </row>
    <row r="1097" spans="1:13" ht="19.95" customHeight="1" x14ac:dyDescent="0.25">
      <c r="A1097" s="41">
        <v>45383</v>
      </c>
      <c r="B1097" s="47">
        <f>MONTH(Table13[[#This Row],[YearMonth]])</f>
        <v>4</v>
      </c>
      <c r="C1097" s="9" t="s">
        <v>58</v>
      </c>
      <c r="D1097" s="6" t="s">
        <v>330</v>
      </c>
      <c r="E1097" s="6">
        <f>IF(Table13[[#This Row],[Quartile]]="TopQuartile", 1,
 IF(Table13[[#This Row],[Quartile]]="SecondQuartile", 2,
 IF(Table13[[#This Row],[Quartile]]="ThirdQuartile", 3,
 IF(Table13[[#This Row],[Quartile]]="FourthQuartile", 4, ""))))</f>
        <v>1</v>
      </c>
      <c r="F1097" s="9" t="s">
        <v>578</v>
      </c>
      <c r="G1097" s="9" t="str" cm="1">
        <f t="array" ref="G1097">IFERROR(
  INDEX(Table13[Quartile],
    MATCH(1,
      (Table13[[#This Row],[OrgName]]=Table13[OrgName]) *
      (Table13[[#This Row],[Month Number]]-1=Table13[Month Number]),
    0)
  ),
"")</f>
        <v>ThirdQuartile</v>
      </c>
      <c r="H1097" s="9">
        <f>IF(Table13[[#This Row],[Previous Quartile]]="TopQuartile", 1,
 IF(Table13[[#This Row],[Previous Quartile]]="SecondQuartile", 2,
 IF(Table13[[#This Row],[Previous Quartile]]="ThirdQuartile", 3,
 IF(Table13[[#This Row],[Previous Quartile]]="FourthQuartile", 4, ""))))</f>
        <v>3</v>
      </c>
      <c r="I1097" s="9" t="str">
        <f>IF(Table13[[#This Row],[Previous Quartile Value]]="", "",
   IF(Table13[[#This Row],[Quartile Value]] &lt; Table13[[#This Row],[Previous Quartile Value]], "Improved",
   IF(Table13[[#This Row],[Quartile Value]] &gt; Table13[[#This Row],[Previous Quartile Value]], "Dropped", "Same")))</f>
        <v>Improved</v>
      </c>
      <c r="J1097" s="9" t="s">
        <v>24</v>
      </c>
      <c r="K1097" s="7" t="str">
        <f>VLOOKUP(J1097,Introduction!$B$6:$C$14,2)</f>
        <v>North East and Yorkshire</v>
      </c>
      <c r="L1097" s="11">
        <v>376</v>
      </c>
      <c r="M1097" s="12" t="s">
        <v>573</v>
      </c>
    </row>
    <row r="1098" spans="1:13" ht="19.95" customHeight="1" x14ac:dyDescent="0.25">
      <c r="A1098" s="41">
        <v>45383</v>
      </c>
      <c r="B1098" s="47">
        <f>MONTH(Table13[[#This Row],[YearMonth]])</f>
        <v>4</v>
      </c>
      <c r="C1098" s="9" t="s">
        <v>109</v>
      </c>
      <c r="D1098" s="6" t="s">
        <v>330</v>
      </c>
      <c r="E1098" s="6">
        <f>IF(Table13[[#This Row],[Quartile]]="TopQuartile", 1,
 IF(Table13[[#This Row],[Quartile]]="SecondQuartile", 2,
 IF(Table13[[#This Row],[Quartile]]="ThirdQuartile", 3,
 IF(Table13[[#This Row],[Quartile]]="FourthQuartile", 4, ""))))</f>
        <v>1</v>
      </c>
      <c r="F1098" s="9" t="s">
        <v>589</v>
      </c>
      <c r="G1098" s="9" t="str" cm="1">
        <f t="array" ref="G1098">IFERROR(
  INDEX(Table13[Quartile],
    MATCH(1,
      (Table13[[#This Row],[OrgName]]=Table13[OrgName]) *
      (Table13[[#This Row],[Month Number]]-1=Table13[Month Number]),
    0)
  ),
"")</f>
        <v>TopQuartile</v>
      </c>
      <c r="H1098" s="9">
        <f>IF(Table13[[#This Row],[Previous Quartile]]="TopQuartile", 1,
 IF(Table13[[#This Row],[Previous Quartile]]="SecondQuartile", 2,
 IF(Table13[[#This Row],[Previous Quartile]]="ThirdQuartile", 3,
 IF(Table13[[#This Row],[Previous Quartile]]="FourthQuartile", 4, ""))))</f>
        <v>1</v>
      </c>
      <c r="I1098" s="9" t="str">
        <f>IF(Table13[[#This Row],[Previous Quartile Value]]="", "",
   IF(Table13[[#This Row],[Quartile Value]] &lt; Table13[[#This Row],[Previous Quartile Value]], "Improved",
   IF(Table13[[#This Row],[Quartile Value]] &gt; Table13[[#This Row],[Previous Quartile Value]], "Dropped", "Same")))</f>
        <v>Same</v>
      </c>
      <c r="J1098" s="9" t="s">
        <v>12</v>
      </c>
      <c r="K1098" s="7" t="str">
        <f>VLOOKUP(J1098,Introduction!$B$6:$C$14,2)</f>
        <v>London</v>
      </c>
      <c r="L1098" s="11">
        <v>333</v>
      </c>
      <c r="M1098" s="12" t="s">
        <v>573</v>
      </c>
    </row>
    <row r="1099" spans="1:13" ht="19.95" customHeight="1" x14ac:dyDescent="0.25">
      <c r="A1099" s="41">
        <v>45383</v>
      </c>
      <c r="B1099" s="47">
        <f>MONTH(Table13[[#This Row],[YearMonth]])</f>
        <v>4</v>
      </c>
      <c r="C1099" s="9" t="s">
        <v>74</v>
      </c>
      <c r="D1099" s="6" t="s">
        <v>330</v>
      </c>
      <c r="E1099" s="6">
        <f>IF(Table13[[#This Row],[Quartile]]="TopQuartile", 1,
 IF(Table13[[#This Row],[Quartile]]="SecondQuartile", 2,
 IF(Table13[[#This Row],[Quartile]]="ThirdQuartile", 3,
 IF(Table13[[#This Row],[Quartile]]="FourthQuartile", 4, ""))))</f>
        <v>1</v>
      </c>
      <c r="F1099" s="9" t="s">
        <v>583</v>
      </c>
      <c r="G1099" s="9" t="str" cm="1">
        <f t="array" ref="G1099">IFERROR(
  INDEX(Table13[Quartile],
    MATCH(1,
      (Table13[[#This Row],[OrgName]]=Table13[OrgName]) *
      (Table13[[#This Row],[Month Number]]-1=Table13[Month Number]),
    0)
  ),
"")</f>
        <v>TopQuartile</v>
      </c>
      <c r="H1099" s="9">
        <f>IF(Table13[[#This Row],[Previous Quartile]]="TopQuartile", 1,
 IF(Table13[[#This Row],[Previous Quartile]]="SecondQuartile", 2,
 IF(Table13[[#This Row],[Previous Quartile]]="ThirdQuartile", 3,
 IF(Table13[[#This Row],[Previous Quartile]]="FourthQuartile", 4, ""))))</f>
        <v>1</v>
      </c>
      <c r="I1099" s="9" t="str">
        <f>IF(Table13[[#This Row],[Previous Quartile Value]]="", "",
   IF(Table13[[#This Row],[Quartile Value]] &lt; Table13[[#This Row],[Previous Quartile Value]], "Improved",
   IF(Table13[[#This Row],[Quartile Value]] &gt; Table13[[#This Row],[Previous Quartile Value]], "Dropped", "Same")))</f>
        <v>Same</v>
      </c>
      <c r="J1099" s="9" t="s">
        <v>24</v>
      </c>
      <c r="K1099" s="7" t="str">
        <f>VLOOKUP(J1099,Introduction!$B$6:$C$14,2)</f>
        <v>North East and Yorkshire</v>
      </c>
      <c r="L1099" s="11">
        <v>378</v>
      </c>
      <c r="M1099" s="12" t="s">
        <v>573</v>
      </c>
    </row>
    <row r="1100" spans="1:13" ht="19.95" customHeight="1" x14ac:dyDescent="0.25">
      <c r="A1100" s="41">
        <v>45383</v>
      </c>
      <c r="B1100" s="47">
        <f>MONTH(Table13[[#This Row],[YearMonth]])</f>
        <v>4</v>
      </c>
      <c r="C1100" s="9" t="s">
        <v>71</v>
      </c>
      <c r="D1100" s="6" t="s">
        <v>330</v>
      </c>
      <c r="E1100" s="6">
        <f>IF(Table13[[#This Row],[Quartile]]="TopQuartile", 1,
 IF(Table13[[#This Row],[Quartile]]="SecondQuartile", 2,
 IF(Table13[[#This Row],[Quartile]]="ThirdQuartile", 3,
 IF(Table13[[#This Row],[Quartile]]="FourthQuartile", 4, ""))))</f>
        <v>1</v>
      </c>
      <c r="F1100" s="9" t="s">
        <v>582</v>
      </c>
      <c r="G1100" s="9" t="str" cm="1">
        <f t="array" ref="G1100">IFERROR(
  INDEX(Table13[Quartile],
    MATCH(1,
      (Table13[[#This Row],[OrgName]]=Table13[OrgName]) *
      (Table13[[#This Row],[Month Number]]-1=Table13[Month Number]),
    0)
  ),
"")</f>
        <v>TopQuartile</v>
      </c>
      <c r="H1100" s="9">
        <f>IF(Table13[[#This Row],[Previous Quartile]]="TopQuartile", 1,
 IF(Table13[[#This Row],[Previous Quartile]]="SecondQuartile", 2,
 IF(Table13[[#This Row],[Previous Quartile]]="ThirdQuartile", 3,
 IF(Table13[[#This Row],[Previous Quartile]]="FourthQuartile", 4, ""))))</f>
        <v>1</v>
      </c>
      <c r="I1100" s="9" t="str">
        <f>IF(Table13[[#This Row],[Previous Quartile Value]]="", "",
   IF(Table13[[#This Row],[Quartile Value]] &lt; Table13[[#This Row],[Previous Quartile Value]], "Improved",
   IF(Table13[[#This Row],[Quartile Value]] &gt; Table13[[#This Row],[Previous Quartile Value]], "Dropped", "Same")))</f>
        <v>Same</v>
      </c>
      <c r="J1100" s="9" t="s">
        <v>14</v>
      </c>
      <c r="K1100" s="7" t="str">
        <f>VLOOKUP(J1100,Introduction!$B$6:$C$14,2)</f>
        <v>South West</v>
      </c>
      <c r="L1100" s="11">
        <v>342</v>
      </c>
      <c r="M1100" s="12" t="s">
        <v>573</v>
      </c>
    </row>
    <row r="1101" spans="1:13" ht="19.95" customHeight="1" x14ac:dyDescent="0.25">
      <c r="A1101" s="41">
        <v>45383</v>
      </c>
      <c r="B1101" s="47">
        <f>MONTH(Table13[[#This Row],[YearMonth]])</f>
        <v>4</v>
      </c>
      <c r="C1101" s="9" t="s">
        <v>92</v>
      </c>
      <c r="D1101" s="6" t="s">
        <v>330</v>
      </c>
      <c r="E1101" s="6">
        <f>IF(Table13[[#This Row],[Quartile]]="TopQuartile", 1,
 IF(Table13[[#This Row],[Quartile]]="SecondQuartile", 2,
 IF(Table13[[#This Row],[Quartile]]="ThirdQuartile", 3,
 IF(Table13[[#This Row],[Quartile]]="FourthQuartile", 4, ""))))</f>
        <v>1</v>
      </c>
      <c r="F1101" s="9" t="s">
        <v>586</v>
      </c>
      <c r="G1101" s="9" t="str" cm="1">
        <f t="array" ref="G1101">IFERROR(
  INDEX(Table13[Quartile],
    MATCH(1,
      (Table13[[#This Row],[OrgName]]=Table13[OrgName]) *
      (Table13[[#This Row],[Month Number]]-1=Table13[Month Number]),
    0)
  ),
"")</f>
        <v>TopQuartile</v>
      </c>
      <c r="H1101" s="9">
        <f>IF(Table13[[#This Row],[Previous Quartile]]="TopQuartile", 1,
 IF(Table13[[#This Row],[Previous Quartile]]="SecondQuartile", 2,
 IF(Table13[[#This Row],[Previous Quartile]]="ThirdQuartile", 3,
 IF(Table13[[#This Row],[Previous Quartile]]="FourthQuartile", 4, ""))))</f>
        <v>1</v>
      </c>
      <c r="I1101" s="9" t="str">
        <f>IF(Table13[[#This Row],[Previous Quartile Value]]="", "",
   IF(Table13[[#This Row],[Quartile Value]] &lt; Table13[[#This Row],[Previous Quartile Value]], "Improved",
   IF(Table13[[#This Row],[Quartile Value]] &gt; Table13[[#This Row],[Previous Quartile Value]], "Dropped", "Same")))</f>
        <v>Same</v>
      </c>
      <c r="J1101" s="9" t="s">
        <v>24</v>
      </c>
      <c r="K1101" s="7" t="str">
        <f>VLOOKUP(J1101,Introduction!$B$6:$C$14,2)</f>
        <v>North East and Yorkshire</v>
      </c>
      <c r="L1101" s="11">
        <v>338</v>
      </c>
      <c r="M1101" s="12" t="s">
        <v>573</v>
      </c>
    </row>
    <row r="1102" spans="1:13" ht="19.95" customHeight="1" x14ac:dyDescent="0.25">
      <c r="A1102" s="41">
        <v>45383</v>
      </c>
      <c r="B1102" s="47">
        <f>MONTH(Table13[[#This Row],[YearMonth]])</f>
        <v>4</v>
      </c>
      <c r="C1102" s="9" t="s">
        <v>101</v>
      </c>
      <c r="D1102" s="6" t="s">
        <v>330</v>
      </c>
      <c r="E1102" s="6">
        <f>IF(Table13[[#This Row],[Quartile]]="TopQuartile", 1,
 IF(Table13[[#This Row],[Quartile]]="SecondQuartile", 2,
 IF(Table13[[#This Row],[Quartile]]="ThirdQuartile", 3,
 IF(Table13[[#This Row],[Quartile]]="FourthQuartile", 4, ""))))</f>
        <v>1</v>
      </c>
      <c r="F1102" s="9" t="s">
        <v>587</v>
      </c>
      <c r="G1102" s="9" t="str" cm="1">
        <f t="array" ref="G1102">IFERROR(
  INDEX(Table13[Quartile],
    MATCH(1,
      (Table13[[#This Row],[OrgName]]=Table13[OrgName]) *
      (Table13[[#This Row],[Month Number]]-1=Table13[Month Number]),
    0)
  ),
"")</f>
        <v>TopQuartile</v>
      </c>
      <c r="H1102" s="9">
        <f>IF(Table13[[#This Row],[Previous Quartile]]="TopQuartile", 1,
 IF(Table13[[#This Row],[Previous Quartile]]="SecondQuartile", 2,
 IF(Table13[[#This Row],[Previous Quartile]]="ThirdQuartile", 3,
 IF(Table13[[#This Row],[Previous Quartile]]="FourthQuartile", 4, ""))))</f>
        <v>1</v>
      </c>
      <c r="I1102" s="9" t="str">
        <f>IF(Table13[[#This Row],[Previous Quartile Value]]="", "",
   IF(Table13[[#This Row],[Quartile Value]] &lt; Table13[[#This Row],[Previous Quartile Value]], "Improved",
   IF(Table13[[#This Row],[Quartile Value]] &gt; Table13[[#This Row],[Previous Quartile Value]], "Dropped", "Same")))</f>
        <v>Same</v>
      </c>
      <c r="J1102" s="9" t="s">
        <v>22</v>
      </c>
      <c r="K1102" s="7" t="str">
        <f>VLOOKUP(J1102,Introduction!$B$6:$C$14,2)</f>
        <v>North West</v>
      </c>
      <c r="L1102" s="11">
        <v>350</v>
      </c>
      <c r="M1102" s="12" t="s">
        <v>573</v>
      </c>
    </row>
    <row r="1103" spans="1:13" ht="19.95" customHeight="1" x14ac:dyDescent="0.25">
      <c r="A1103" s="41">
        <v>45383</v>
      </c>
      <c r="B1103" s="47">
        <f>MONTH(Table13[[#This Row],[YearMonth]])</f>
        <v>4</v>
      </c>
      <c r="C1103" s="9" t="s">
        <v>107</v>
      </c>
      <c r="D1103" s="6" t="s">
        <v>330</v>
      </c>
      <c r="E1103" s="6">
        <f>IF(Table13[[#This Row],[Quartile]]="TopQuartile", 1,
 IF(Table13[[#This Row],[Quartile]]="SecondQuartile", 2,
 IF(Table13[[#This Row],[Quartile]]="ThirdQuartile", 3,
 IF(Table13[[#This Row],[Quartile]]="FourthQuartile", 4, ""))))</f>
        <v>1</v>
      </c>
      <c r="F1103" s="9" t="s">
        <v>588</v>
      </c>
      <c r="G1103" s="9" t="str" cm="1">
        <f t="array" ref="G1103">IFERROR(
  INDEX(Table13[Quartile],
    MATCH(1,
      (Table13[[#This Row],[OrgName]]=Table13[OrgName]) *
      (Table13[[#This Row],[Month Number]]-1=Table13[Month Number]),
    0)
  ),
"")</f>
        <v>TopQuartile</v>
      </c>
      <c r="H1103" s="9">
        <f>IF(Table13[[#This Row],[Previous Quartile]]="TopQuartile", 1,
 IF(Table13[[#This Row],[Previous Quartile]]="SecondQuartile", 2,
 IF(Table13[[#This Row],[Previous Quartile]]="ThirdQuartile", 3,
 IF(Table13[[#This Row],[Previous Quartile]]="FourthQuartile", 4, ""))))</f>
        <v>1</v>
      </c>
      <c r="I1103" s="9" t="str">
        <f>IF(Table13[[#This Row],[Previous Quartile Value]]="", "",
   IF(Table13[[#This Row],[Quartile Value]] &lt; Table13[[#This Row],[Previous Quartile Value]], "Improved",
   IF(Table13[[#This Row],[Quartile Value]] &gt; Table13[[#This Row],[Previous Quartile Value]], "Dropped", "Same")))</f>
        <v>Same</v>
      </c>
      <c r="J1103" s="9" t="s">
        <v>12</v>
      </c>
      <c r="K1103" s="7" t="str">
        <f>VLOOKUP(J1103,Introduction!$B$6:$C$14,2)</f>
        <v>London</v>
      </c>
      <c r="L1103" s="11">
        <v>294</v>
      </c>
      <c r="M1103" s="12" t="s">
        <v>573</v>
      </c>
    </row>
    <row r="1104" spans="1:13" ht="19.95" customHeight="1" x14ac:dyDescent="0.25">
      <c r="A1104" s="41">
        <v>45383</v>
      </c>
      <c r="B1104" s="47">
        <f>MONTH(Table13[[#This Row],[YearMonth]])</f>
        <v>4</v>
      </c>
      <c r="C1104" s="9" t="s">
        <v>116</v>
      </c>
      <c r="D1104" s="6" t="s">
        <v>338</v>
      </c>
      <c r="E1104" s="6">
        <f>IF(Table13[[#This Row],[Quartile]]="TopQuartile", 1,
 IF(Table13[[#This Row],[Quartile]]="SecondQuartile", 2,
 IF(Table13[[#This Row],[Quartile]]="ThirdQuartile", 3,
 IF(Table13[[#This Row],[Quartile]]="FourthQuartile", 4, ""))))</f>
        <v>2</v>
      </c>
      <c r="F1104" s="9" t="s">
        <v>591</v>
      </c>
      <c r="G1104" s="9" t="str" cm="1">
        <f t="array" ref="G1104">IFERROR(
  INDEX(Table13[Quartile],
    MATCH(1,
      (Table13[[#This Row],[OrgName]]=Table13[OrgName]) *
      (Table13[[#This Row],[Month Number]]-1=Table13[Month Number]),
    0)
  ),
"")</f>
        <v>TopQuartile</v>
      </c>
      <c r="H1104" s="9">
        <f>IF(Table13[[#This Row],[Previous Quartile]]="TopQuartile", 1,
 IF(Table13[[#This Row],[Previous Quartile]]="SecondQuartile", 2,
 IF(Table13[[#This Row],[Previous Quartile]]="ThirdQuartile", 3,
 IF(Table13[[#This Row],[Previous Quartile]]="FourthQuartile", 4, ""))))</f>
        <v>1</v>
      </c>
      <c r="I1104" s="9" t="str">
        <f>IF(Table13[[#This Row],[Previous Quartile Value]]="", "",
   IF(Table13[[#This Row],[Quartile Value]] &lt; Table13[[#This Row],[Previous Quartile Value]], "Improved",
   IF(Table13[[#This Row],[Quartile Value]] &gt; Table13[[#This Row],[Previous Quartile Value]], "Dropped", "Same")))</f>
        <v>Dropped</v>
      </c>
      <c r="J1104" s="9" t="s">
        <v>14</v>
      </c>
      <c r="K1104" s="7" t="str">
        <f>VLOOKUP(J1104,Introduction!$B$6:$C$14,2)</f>
        <v>South West</v>
      </c>
      <c r="L1104" s="11">
        <v>152</v>
      </c>
      <c r="M1104" s="12" t="s">
        <v>573</v>
      </c>
    </row>
    <row r="1105" spans="1:13" ht="19.95" customHeight="1" x14ac:dyDescent="0.25">
      <c r="A1105" s="41">
        <v>45383</v>
      </c>
      <c r="B1105" s="47">
        <f>MONTH(Table13[[#This Row],[YearMonth]])</f>
        <v>4</v>
      </c>
      <c r="C1105" s="9" t="s">
        <v>178</v>
      </c>
      <c r="D1105" s="6" t="s">
        <v>338</v>
      </c>
      <c r="E1105" s="6">
        <f>IF(Table13[[#This Row],[Quartile]]="TopQuartile", 1,
 IF(Table13[[#This Row],[Quartile]]="SecondQuartile", 2,
 IF(Table13[[#This Row],[Quartile]]="ThirdQuartile", 3,
 IF(Table13[[#This Row],[Quartile]]="FourthQuartile", 4, ""))))</f>
        <v>2</v>
      </c>
      <c r="F1105" s="9" t="s">
        <v>599</v>
      </c>
      <c r="G1105" s="9" t="str" cm="1">
        <f t="array" ref="G1105">IFERROR(
  INDEX(Table13[Quartile],
    MATCH(1,
      (Table13[[#This Row],[OrgName]]=Table13[OrgName]) *
      (Table13[[#This Row],[Month Number]]-1=Table13[Month Number]),
    0)
  ),
"")</f>
        <v>SecondQuartile</v>
      </c>
      <c r="H1105" s="9">
        <f>IF(Table13[[#This Row],[Previous Quartile]]="TopQuartile", 1,
 IF(Table13[[#This Row],[Previous Quartile]]="SecondQuartile", 2,
 IF(Table13[[#This Row],[Previous Quartile]]="ThirdQuartile", 3,
 IF(Table13[[#This Row],[Previous Quartile]]="FourthQuartile", 4, ""))))</f>
        <v>2</v>
      </c>
      <c r="I1105" s="9" t="str">
        <f>IF(Table13[[#This Row],[Previous Quartile Value]]="", "",
   IF(Table13[[#This Row],[Quartile Value]] &lt; Table13[[#This Row],[Previous Quartile Value]], "Improved",
   IF(Table13[[#This Row],[Quartile Value]] &gt; Table13[[#This Row],[Previous Quartile Value]], "Dropped", "Same")))</f>
        <v>Same</v>
      </c>
      <c r="J1105" s="9" t="s">
        <v>16</v>
      </c>
      <c r="K1105" s="7" t="str">
        <f>VLOOKUP(J1105,Introduction!$B$6:$C$14,2)</f>
        <v>South East</v>
      </c>
      <c r="L1105" s="11">
        <v>348</v>
      </c>
      <c r="M1105" s="12" t="s">
        <v>573</v>
      </c>
    </row>
    <row r="1106" spans="1:13" ht="19.95" customHeight="1" x14ac:dyDescent="0.25">
      <c r="A1106" s="41">
        <v>45383</v>
      </c>
      <c r="B1106" s="47">
        <f>MONTH(Table13[[#This Row],[YearMonth]])</f>
        <v>4</v>
      </c>
      <c r="C1106" s="9" t="s">
        <v>213</v>
      </c>
      <c r="D1106" s="6" t="s">
        <v>338</v>
      </c>
      <c r="E1106" s="6">
        <f>IF(Table13[[#This Row],[Quartile]]="TopQuartile", 1,
 IF(Table13[[#This Row],[Quartile]]="SecondQuartile", 2,
 IF(Table13[[#This Row],[Quartile]]="ThirdQuartile", 3,
 IF(Table13[[#This Row],[Quartile]]="FourthQuartile", 4, ""))))</f>
        <v>2</v>
      </c>
      <c r="F1106" s="9" t="s">
        <v>604</v>
      </c>
      <c r="G1106" s="9" t="str" cm="1">
        <f t="array" ref="G1106">IFERROR(
  INDEX(Table13[Quartile],
    MATCH(1,
      (Table13[[#This Row],[OrgName]]=Table13[OrgName]) *
      (Table13[[#This Row],[Month Number]]-1=Table13[Month Number]),
    0)
  ),
"")</f>
        <v>SecondQuartile</v>
      </c>
      <c r="H1106" s="9">
        <f>IF(Table13[[#This Row],[Previous Quartile]]="TopQuartile", 1,
 IF(Table13[[#This Row],[Previous Quartile]]="SecondQuartile", 2,
 IF(Table13[[#This Row],[Previous Quartile]]="ThirdQuartile", 3,
 IF(Table13[[#This Row],[Previous Quartile]]="FourthQuartile", 4, ""))))</f>
        <v>2</v>
      </c>
      <c r="I1106" s="9" t="str">
        <f>IF(Table13[[#This Row],[Previous Quartile Value]]="", "",
   IF(Table13[[#This Row],[Quartile Value]] &lt; Table13[[#This Row],[Previous Quartile Value]], "Improved",
   IF(Table13[[#This Row],[Quartile Value]] &gt; Table13[[#This Row],[Previous Quartile Value]], "Dropped", "Same")))</f>
        <v>Same</v>
      </c>
      <c r="J1106" s="9" t="s">
        <v>12</v>
      </c>
      <c r="K1106" s="7" t="str">
        <f>VLOOKUP(J1106,Introduction!$B$6:$C$14,2)</f>
        <v>London</v>
      </c>
      <c r="L1106" s="11">
        <v>363</v>
      </c>
      <c r="M1106" s="12" t="s">
        <v>573</v>
      </c>
    </row>
    <row r="1107" spans="1:13" ht="19.95" customHeight="1" x14ac:dyDescent="0.25">
      <c r="A1107" s="41">
        <v>45383</v>
      </c>
      <c r="B1107" s="47">
        <f>MONTH(Table13[[#This Row],[YearMonth]])</f>
        <v>4</v>
      </c>
      <c r="C1107" s="9" t="s">
        <v>208</v>
      </c>
      <c r="D1107" s="6" t="s">
        <v>338</v>
      </c>
      <c r="E1107" s="6">
        <f>IF(Table13[[#This Row],[Quartile]]="TopQuartile", 1,
 IF(Table13[[#This Row],[Quartile]]="SecondQuartile", 2,
 IF(Table13[[#This Row],[Quartile]]="ThirdQuartile", 3,
 IF(Table13[[#This Row],[Quartile]]="FourthQuartile", 4, ""))))</f>
        <v>2</v>
      </c>
      <c r="F1107" s="9" t="s">
        <v>603</v>
      </c>
      <c r="G1107" s="9" t="str" cm="1">
        <f t="array" ref="G1107">IFERROR(
  INDEX(Table13[Quartile],
    MATCH(1,
      (Table13[[#This Row],[OrgName]]=Table13[OrgName]) *
      (Table13[[#This Row],[Month Number]]-1=Table13[Month Number]),
    0)
  ),
"")</f>
        <v>SecondQuartile</v>
      </c>
      <c r="H1107" s="9">
        <f>IF(Table13[[#This Row],[Previous Quartile]]="TopQuartile", 1,
 IF(Table13[[#This Row],[Previous Quartile]]="SecondQuartile", 2,
 IF(Table13[[#This Row],[Previous Quartile]]="ThirdQuartile", 3,
 IF(Table13[[#This Row],[Previous Quartile]]="FourthQuartile", 4, ""))))</f>
        <v>2</v>
      </c>
      <c r="I1107" s="9" t="str">
        <f>IF(Table13[[#This Row],[Previous Quartile Value]]="", "",
   IF(Table13[[#This Row],[Quartile Value]] &lt; Table13[[#This Row],[Previous Quartile Value]], "Improved",
   IF(Table13[[#This Row],[Quartile Value]] &gt; Table13[[#This Row],[Previous Quartile Value]], "Dropped", "Same")))</f>
        <v>Same</v>
      </c>
      <c r="J1107" s="9" t="s">
        <v>20</v>
      </c>
      <c r="K1107" s="7" t="str">
        <f>VLOOKUP(J1107,Introduction!$B$6:$C$14,2)</f>
        <v>East of England</v>
      </c>
      <c r="L1107" s="11">
        <v>246</v>
      </c>
      <c r="M1107" s="12" t="s">
        <v>573</v>
      </c>
    </row>
    <row r="1108" spans="1:13" ht="19.95" customHeight="1" x14ac:dyDescent="0.25">
      <c r="A1108" s="41">
        <v>45383</v>
      </c>
      <c r="B1108" s="47">
        <f>MONTH(Table13[[#This Row],[YearMonth]])</f>
        <v>4</v>
      </c>
      <c r="C1108" s="9" t="s">
        <v>123</v>
      </c>
      <c r="D1108" s="6" t="s">
        <v>338</v>
      </c>
      <c r="E1108" s="6">
        <f>IF(Table13[[#This Row],[Quartile]]="TopQuartile", 1,
 IF(Table13[[#This Row],[Quartile]]="SecondQuartile", 2,
 IF(Table13[[#This Row],[Quartile]]="ThirdQuartile", 3,
 IF(Table13[[#This Row],[Quartile]]="FourthQuartile", 4, ""))))</f>
        <v>2</v>
      </c>
      <c r="F1108" s="9" t="s">
        <v>593</v>
      </c>
      <c r="G1108" s="9" t="str" cm="1">
        <f t="array" ref="G1108">IFERROR(
  INDEX(Table13[Quartile],
    MATCH(1,
      (Table13[[#This Row],[OrgName]]=Table13[OrgName]) *
      (Table13[[#This Row],[Month Number]]-1=Table13[Month Number]),
    0)
  ),
"")</f>
        <v>ThirdQuartile</v>
      </c>
      <c r="H1108" s="9">
        <f>IF(Table13[[#This Row],[Previous Quartile]]="TopQuartile", 1,
 IF(Table13[[#This Row],[Previous Quartile]]="SecondQuartile", 2,
 IF(Table13[[#This Row],[Previous Quartile]]="ThirdQuartile", 3,
 IF(Table13[[#This Row],[Previous Quartile]]="FourthQuartile", 4, ""))))</f>
        <v>3</v>
      </c>
      <c r="I1108" s="9" t="str">
        <f>IF(Table13[[#This Row],[Previous Quartile Value]]="", "",
   IF(Table13[[#This Row],[Quartile Value]] &lt; Table13[[#This Row],[Previous Quartile Value]], "Improved",
   IF(Table13[[#This Row],[Quartile Value]] &gt; Table13[[#This Row],[Previous Quartile Value]], "Dropped", "Same")))</f>
        <v>Improved</v>
      </c>
      <c r="J1108" s="9" t="s">
        <v>20</v>
      </c>
      <c r="K1108" s="7" t="str">
        <f>VLOOKUP(J1108,Introduction!$B$6:$C$14,2)</f>
        <v>East of England</v>
      </c>
      <c r="L1108" s="11">
        <v>364</v>
      </c>
      <c r="M1108" s="12" t="s">
        <v>573</v>
      </c>
    </row>
    <row r="1109" spans="1:13" ht="19.95" customHeight="1" x14ac:dyDescent="0.25">
      <c r="A1109" s="41">
        <v>45383</v>
      </c>
      <c r="B1109" s="47">
        <f>MONTH(Table13[[#This Row],[YearMonth]])</f>
        <v>4</v>
      </c>
      <c r="C1109" s="9" t="s">
        <v>78</v>
      </c>
      <c r="D1109" s="6" t="s">
        <v>338</v>
      </c>
      <c r="E1109" s="6">
        <f>IF(Table13[[#This Row],[Quartile]]="TopQuartile", 1,
 IF(Table13[[#This Row],[Quartile]]="SecondQuartile", 2,
 IF(Table13[[#This Row],[Quartile]]="ThirdQuartile", 3,
 IF(Table13[[#This Row],[Quartile]]="FourthQuartile", 4, ""))))</f>
        <v>2</v>
      </c>
      <c r="F1109" s="9" t="s">
        <v>585</v>
      </c>
      <c r="G1109" s="9" t="str" cm="1">
        <f t="array" ref="G1109">IFERROR(
  INDEX(Table13[Quartile],
    MATCH(1,
      (Table13[[#This Row],[OrgName]]=Table13[OrgName]) *
      (Table13[[#This Row],[Month Number]]-1=Table13[Month Number]),
    0)
  ),
"")</f>
        <v>SecondQuartile</v>
      </c>
      <c r="H1109" s="9">
        <f>IF(Table13[[#This Row],[Previous Quartile]]="TopQuartile", 1,
 IF(Table13[[#This Row],[Previous Quartile]]="SecondQuartile", 2,
 IF(Table13[[#This Row],[Previous Quartile]]="ThirdQuartile", 3,
 IF(Table13[[#This Row],[Previous Quartile]]="FourthQuartile", 4, ""))))</f>
        <v>2</v>
      </c>
      <c r="I1109" s="9" t="str">
        <f>IF(Table13[[#This Row],[Previous Quartile Value]]="", "",
   IF(Table13[[#This Row],[Quartile Value]] &lt; Table13[[#This Row],[Previous Quartile Value]], "Improved",
   IF(Table13[[#This Row],[Quartile Value]] &gt; Table13[[#This Row],[Previous Quartile Value]], "Dropped", "Same")))</f>
        <v>Same</v>
      </c>
      <c r="J1109" s="9" t="s">
        <v>24</v>
      </c>
      <c r="K1109" s="7" t="str">
        <f>VLOOKUP(J1109,Introduction!$B$6:$C$14,2)</f>
        <v>North East and Yorkshire</v>
      </c>
      <c r="L1109" s="11">
        <v>346</v>
      </c>
      <c r="M1109" s="12" t="s">
        <v>573</v>
      </c>
    </row>
    <row r="1110" spans="1:13" ht="19.95" customHeight="1" x14ac:dyDescent="0.25">
      <c r="A1110" s="41">
        <v>45383</v>
      </c>
      <c r="B1110" s="47">
        <f>MONTH(Table13[[#This Row],[YearMonth]])</f>
        <v>4</v>
      </c>
      <c r="C1110" s="9" t="s">
        <v>141</v>
      </c>
      <c r="D1110" s="6" t="s">
        <v>338</v>
      </c>
      <c r="E1110" s="6">
        <f>IF(Table13[[#This Row],[Quartile]]="TopQuartile", 1,
 IF(Table13[[#This Row],[Quartile]]="SecondQuartile", 2,
 IF(Table13[[#This Row],[Quartile]]="ThirdQuartile", 3,
 IF(Table13[[#This Row],[Quartile]]="FourthQuartile", 4, ""))))</f>
        <v>2</v>
      </c>
      <c r="F1110" s="9" t="s">
        <v>594</v>
      </c>
      <c r="G1110" s="9" t="str" cm="1">
        <f t="array" ref="G1110">IFERROR(
  INDEX(Table13[Quartile],
    MATCH(1,
      (Table13[[#This Row],[OrgName]]=Table13[OrgName]) *
      (Table13[[#This Row],[Month Number]]-1=Table13[Month Number]),
    0)
  ),
"")</f>
        <v>SecondQuartile</v>
      </c>
      <c r="H1110" s="9">
        <f>IF(Table13[[#This Row],[Previous Quartile]]="TopQuartile", 1,
 IF(Table13[[#This Row],[Previous Quartile]]="SecondQuartile", 2,
 IF(Table13[[#This Row],[Previous Quartile]]="ThirdQuartile", 3,
 IF(Table13[[#This Row],[Previous Quartile]]="FourthQuartile", 4, ""))))</f>
        <v>2</v>
      </c>
      <c r="I1110" s="9" t="str">
        <f>IF(Table13[[#This Row],[Previous Quartile Value]]="", "",
   IF(Table13[[#This Row],[Quartile Value]] &lt; Table13[[#This Row],[Previous Quartile Value]], "Improved",
   IF(Table13[[#This Row],[Quartile Value]] &gt; Table13[[#This Row],[Previous Quartile Value]], "Dropped", "Same")))</f>
        <v>Same</v>
      </c>
      <c r="J1110" s="9" t="s">
        <v>12</v>
      </c>
      <c r="K1110" s="7" t="str">
        <f>VLOOKUP(J1110,Introduction!$B$6:$C$14,2)</f>
        <v>London</v>
      </c>
      <c r="L1110" s="11">
        <v>306</v>
      </c>
      <c r="M1110" s="12" t="s">
        <v>573</v>
      </c>
    </row>
    <row r="1111" spans="1:13" ht="19.95" customHeight="1" x14ac:dyDescent="0.25">
      <c r="A1111" s="41">
        <v>45383</v>
      </c>
      <c r="B1111" s="47">
        <f>MONTH(Table13[[#This Row],[YearMonth]])</f>
        <v>4</v>
      </c>
      <c r="C1111" s="9" t="s">
        <v>77</v>
      </c>
      <c r="D1111" s="6" t="s">
        <v>338</v>
      </c>
      <c r="E1111" s="6">
        <f>IF(Table13[[#This Row],[Quartile]]="TopQuartile", 1,
 IF(Table13[[#This Row],[Quartile]]="SecondQuartile", 2,
 IF(Table13[[#This Row],[Quartile]]="ThirdQuartile", 3,
 IF(Table13[[#This Row],[Quartile]]="FourthQuartile", 4, ""))))</f>
        <v>2</v>
      </c>
      <c r="F1111" s="9" t="s">
        <v>584</v>
      </c>
      <c r="G1111" s="9" t="str" cm="1">
        <f t="array" ref="G1111">IFERROR(
  INDEX(Table13[Quartile],
    MATCH(1,
      (Table13[[#This Row],[OrgName]]=Table13[OrgName]) *
      (Table13[[#This Row],[Month Number]]-1=Table13[Month Number]),
    0)
  ),
"")</f>
        <v>SecondQuartile</v>
      </c>
      <c r="H1111" s="9">
        <f>IF(Table13[[#This Row],[Previous Quartile]]="TopQuartile", 1,
 IF(Table13[[#This Row],[Previous Quartile]]="SecondQuartile", 2,
 IF(Table13[[#This Row],[Previous Quartile]]="ThirdQuartile", 3,
 IF(Table13[[#This Row],[Previous Quartile]]="FourthQuartile", 4, ""))))</f>
        <v>2</v>
      </c>
      <c r="I1111" s="9" t="str">
        <f>IF(Table13[[#This Row],[Previous Quartile Value]]="", "",
   IF(Table13[[#This Row],[Quartile Value]] &lt; Table13[[#This Row],[Previous Quartile Value]], "Improved",
   IF(Table13[[#This Row],[Quartile Value]] &gt; Table13[[#This Row],[Previous Quartile Value]], "Dropped", "Same")))</f>
        <v>Same</v>
      </c>
      <c r="J1111" s="9" t="s">
        <v>14</v>
      </c>
      <c r="K1111" s="7" t="str">
        <f>VLOOKUP(J1111,Introduction!$B$6:$C$14,2)</f>
        <v>South West</v>
      </c>
      <c r="L1111" s="11">
        <v>327</v>
      </c>
      <c r="M1111" s="12" t="s">
        <v>573</v>
      </c>
    </row>
    <row r="1112" spans="1:13" ht="19.95" customHeight="1" x14ac:dyDescent="0.25">
      <c r="A1112" s="41">
        <v>45383</v>
      </c>
      <c r="B1112" s="47">
        <f>MONTH(Table13[[#This Row],[YearMonth]])</f>
        <v>4</v>
      </c>
      <c r="C1112" s="9" t="s">
        <v>152</v>
      </c>
      <c r="D1112" s="6" t="s">
        <v>338</v>
      </c>
      <c r="E1112" s="6">
        <f>IF(Table13[[#This Row],[Quartile]]="TopQuartile", 1,
 IF(Table13[[#This Row],[Quartile]]="SecondQuartile", 2,
 IF(Table13[[#This Row],[Quartile]]="ThirdQuartile", 3,
 IF(Table13[[#This Row],[Quartile]]="FourthQuartile", 4, ""))))</f>
        <v>2</v>
      </c>
      <c r="F1112" s="9" t="s">
        <v>596</v>
      </c>
      <c r="G1112" s="9" t="str" cm="1">
        <f t="array" ref="G1112">IFERROR(
  INDEX(Table13[Quartile],
    MATCH(1,
      (Table13[[#This Row],[OrgName]]=Table13[OrgName]) *
      (Table13[[#This Row],[Month Number]]-1=Table13[Month Number]),
    0)
  ),
"")</f>
        <v>SecondQuartile</v>
      </c>
      <c r="H1112" s="9">
        <f>IF(Table13[[#This Row],[Previous Quartile]]="TopQuartile", 1,
 IF(Table13[[#This Row],[Previous Quartile]]="SecondQuartile", 2,
 IF(Table13[[#This Row],[Previous Quartile]]="ThirdQuartile", 3,
 IF(Table13[[#This Row],[Previous Quartile]]="FourthQuartile", 4, ""))))</f>
        <v>2</v>
      </c>
      <c r="I1112" s="9" t="str">
        <f>IF(Table13[[#This Row],[Previous Quartile Value]]="", "",
   IF(Table13[[#This Row],[Quartile Value]] &lt; Table13[[#This Row],[Previous Quartile Value]], "Improved",
   IF(Table13[[#This Row],[Quartile Value]] &gt; Table13[[#This Row],[Previous Quartile Value]], "Dropped", "Same")))</f>
        <v>Same</v>
      </c>
      <c r="J1112" s="9" t="s">
        <v>12</v>
      </c>
      <c r="K1112" s="7" t="str">
        <f>VLOOKUP(J1112,Introduction!$B$6:$C$14,2)</f>
        <v>London</v>
      </c>
      <c r="L1112" s="11">
        <v>222</v>
      </c>
      <c r="M1112" s="12" t="s">
        <v>573</v>
      </c>
    </row>
    <row r="1113" spans="1:13" ht="19.95" customHeight="1" x14ac:dyDescent="0.25">
      <c r="A1113" s="41">
        <v>45383</v>
      </c>
      <c r="B1113" s="47">
        <f>MONTH(Table13[[#This Row],[YearMonth]])</f>
        <v>4</v>
      </c>
      <c r="C1113" s="9" t="s">
        <v>146</v>
      </c>
      <c r="D1113" s="6" t="s">
        <v>338</v>
      </c>
      <c r="E1113" s="6">
        <f>IF(Table13[[#This Row],[Quartile]]="TopQuartile", 1,
 IF(Table13[[#This Row],[Quartile]]="SecondQuartile", 2,
 IF(Table13[[#This Row],[Quartile]]="ThirdQuartile", 3,
 IF(Table13[[#This Row],[Quartile]]="FourthQuartile", 4, ""))))</f>
        <v>2</v>
      </c>
      <c r="F1113" s="9" t="s">
        <v>595</v>
      </c>
      <c r="G1113" s="9" t="str" cm="1">
        <f t="array" ref="G1113">IFERROR(
  INDEX(Table13[Quartile],
    MATCH(1,
      (Table13[[#This Row],[OrgName]]=Table13[OrgName]) *
      (Table13[[#This Row],[Month Number]]-1=Table13[Month Number]),
    0)
  ),
"")</f>
        <v>SecondQuartile</v>
      </c>
      <c r="H1113" s="9">
        <f>IF(Table13[[#This Row],[Previous Quartile]]="TopQuartile", 1,
 IF(Table13[[#This Row],[Previous Quartile]]="SecondQuartile", 2,
 IF(Table13[[#This Row],[Previous Quartile]]="ThirdQuartile", 3,
 IF(Table13[[#This Row],[Previous Quartile]]="FourthQuartile", 4, ""))))</f>
        <v>2</v>
      </c>
      <c r="I1113" s="9" t="str">
        <f>IF(Table13[[#This Row],[Previous Quartile Value]]="", "",
   IF(Table13[[#This Row],[Quartile Value]] &lt; Table13[[#This Row],[Previous Quartile Value]], "Improved",
   IF(Table13[[#This Row],[Quartile Value]] &gt; Table13[[#This Row],[Previous Quartile Value]], "Dropped", "Same")))</f>
        <v>Same</v>
      </c>
      <c r="J1113" s="9" t="s">
        <v>22</v>
      </c>
      <c r="K1113" s="7" t="str">
        <f>VLOOKUP(J1113,Introduction!$B$6:$C$14,2)</f>
        <v>North West</v>
      </c>
      <c r="L1113" s="11">
        <v>437</v>
      </c>
      <c r="M1113" s="12" t="s">
        <v>573</v>
      </c>
    </row>
    <row r="1114" spans="1:13" ht="19.95" customHeight="1" x14ac:dyDescent="0.25">
      <c r="A1114" s="41">
        <v>45383</v>
      </c>
      <c r="B1114" s="47">
        <f>MONTH(Table13[[#This Row],[YearMonth]])</f>
        <v>4</v>
      </c>
      <c r="C1114" s="9" t="s">
        <v>114</v>
      </c>
      <c r="D1114" s="6" t="s">
        <v>338</v>
      </c>
      <c r="E1114" s="6">
        <f>IF(Table13[[#This Row],[Quartile]]="TopQuartile", 1,
 IF(Table13[[#This Row],[Quartile]]="SecondQuartile", 2,
 IF(Table13[[#This Row],[Quartile]]="ThirdQuartile", 3,
 IF(Table13[[#This Row],[Quartile]]="FourthQuartile", 4, ""))))</f>
        <v>2</v>
      </c>
      <c r="F1114" s="9" t="s">
        <v>590</v>
      </c>
      <c r="G1114" s="9" t="str" cm="1">
        <f t="array" ref="G1114">IFERROR(
  INDEX(Table13[Quartile],
    MATCH(1,
      (Table13[[#This Row],[OrgName]]=Table13[OrgName]) *
      (Table13[[#This Row],[Month Number]]-1=Table13[Month Number]),
    0)
  ),
"")</f>
        <v>SecondQuartile</v>
      </c>
      <c r="H1114" s="9">
        <f>IF(Table13[[#This Row],[Previous Quartile]]="TopQuartile", 1,
 IF(Table13[[#This Row],[Previous Quartile]]="SecondQuartile", 2,
 IF(Table13[[#This Row],[Previous Quartile]]="ThirdQuartile", 3,
 IF(Table13[[#This Row],[Previous Quartile]]="FourthQuartile", 4, ""))))</f>
        <v>2</v>
      </c>
      <c r="I1114" s="9" t="str">
        <f>IF(Table13[[#This Row],[Previous Quartile Value]]="", "",
   IF(Table13[[#This Row],[Quartile Value]] &lt; Table13[[#This Row],[Previous Quartile Value]], "Improved",
   IF(Table13[[#This Row],[Quartile Value]] &gt; Table13[[#This Row],[Previous Quartile Value]], "Dropped", "Same")))</f>
        <v>Same</v>
      </c>
      <c r="J1114" s="9" t="s">
        <v>20</v>
      </c>
      <c r="K1114" s="7" t="str">
        <f>VLOOKUP(J1114,Introduction!$B$6:$C$14,2)</f>
        <v>East of England</v>
      </c>
      <c r="L1114" s="11">
        <v>367</v>
      </c>
      <c r="M1114" s="12" t="s">
        <v>573</v>
      </c>
    </row>
    <row r="1115" spans="1:13" ht="19.95" customHeight="1" x14ac:dyDescent="0.25">
      <c r="A1115" s="41">
        <v>45383</v>
      </c>
      <c r="B1115" s="47">
        <f>MONTH(Table13[[#This Row],[YearMonth]])</f>
        <v>4</v>
      </c>
      <c r="C1115" s="9" t="s">
        <v>244</v>
      </c>
      <c r="D1115" s="6" t="s">
        <v>338</v>
      </c>
      <c r="E1115" s="6">
        <f>IF(Table13[[#This Row],[Quartile]]="TopQuartile", 1,
 IF(Table13[[#This Row],[Quartile]]="SecondQuartile", 2,
 IF(Table13[[#This Row],[Quartile]]="ThirdQuartile", 3,
 IF(Table13[[#This Row],[Quartile]]="FourthQuartile", 4, ""))))</f>
        <v>2</v>
      </c>
      <c r="F1115" s="9" t="s">
        <v>606</v>
      </c>
      <c r="G1115" s="9" t="str" cm="1">
        <f t="array" ref="G1115">IFERROR(
  INDEX(Table13[Quartile],
    MATCH(1,
      (Table13[[#This Row],[OrgName]]=Table13[OrgName]) *
      (Table13[[#This Row],[Month Number]]-1=Table13[Month Number]),
    0)
  ),
"")</f>
        <v>SecondQuartile</v>
      </c>
      <c r="H1115" s="9">
        <f>IF(Table13[[#This Row],[Previous Quartile]]="TopQuartile", 1,
 IF(Table13[[#This Row],[Previous Quartile]]="SecondQuartile", 2,
 IF(Table13[[#This Row],[Previous Quartile]]="ThirdQuartile", 3,
 IF(Table13[[#This Row],[Previous Quartile]]="FourthQuartile", 4, ""))))</f>
        <v>2</v>
      </c>
      <c r="I1115" s="9" t="str">
        <f>IF(Table13[[#This Row],[Previous Quartile Value]]="", "",
   IF(Table13[[#This Row],[Quartile Value]] &lt; Table13[[#This Row],[Previous Quartile Value]], "Improved",
   IF(Table13[[#This Row],[Quartile Value]] &gt; Table13[[#This Row],[Previous Quartile Value]], "Dropped", "Same")))</f>
        <v>Same</v>
      </c>
      <c r="J1115" s="9" t="s">
        <v>18</v>
      </c>
      <c r="K1115" s="7" t="str">
        <f>VLOOKUP(J1115,Introduction!$B$6:$C$14,2)</f>
        <v>Midlands</v>
      </c>
      <c r="L1115" s="11">
        <v>313</v>
      </c>
      <c r="M1115" s="12" t="s">
        <v>573</v>
      </c>
    </row>
    <row r="1116" spans="1:13" ht="19.95" customHeight="1" x14ac:dyDescent="0.25">
      <c r="A1116" s="41">
        <v>45383</v>
      </c>
      <c r="B1116" s="47">
        <f>MONTH(Table13[[#This Row],[YearMonth]])</f>
        <v>4</v>
      </c>
      <c r="C1116" s="9" t="s">
        <v>172</v>
      </c>
      <c r="D1116" s="6" t="s">
        <v>338</v>
      </c>
      <c r="E1116" s="6">
        <f>IF(Table13[[#This Row],[Quartile]]="TopQuartile", 1,
 IF(Table13[[#This Row],[Quartile]]="SecondQuartile", 2,
 IF(Table13[[#This Row],[Quartile]]="ThirdQuartile", 3,
 IF(Table13[[#This Row],[Quartile]]="FourthQuartile", 4, ""))))</f>
        <v>2</v>
      </c>
      <c r="F1116" s="9" t="s">
        <v>598</v>
      </c>
      <c r="G1116" s="9" t="str" cm="1">
        <f t="array" ref="G1116">IFERROR(
  INDEX(Table13[Quartile],
    MATCH(1,
      (Table13[[#This Row],[OrgName]]=Table13[OrgName]) *
      (Table13[[#This Row],[Month Number]]-1=Table13[Month Number]),
    0)
  ),
"")</f>
        <v>SecondQuartile</v>
      </c>
      <c r="H1116" s="9">
        <f>IF(Table13[[#This Row],[Previous Quartile]]="TopQuartile", 1,
 IF(Table13[[#This Row],[Previous Quartile]]="SecondQuartile", 2,
 IF(Table13[[#This Row],[Previous Quartile]]="ThirdQuartile", 3,
 IF(Table13[[#This Row],[Previous Quartile]]="FourthQuartile", 4, ""))))</f>
        <v>2</v>
      </c>
      <c r="I1116" s="9" t="str">
        <f>IF(Table13[[#This Row],[Previous Quartile Value]]="", "",
   IF(Table13[[#This Row],[Quartile Value]] &lt; Table13[[#This Row],[Previous Quartile Value]], "Improved",
   IF(Table13[[#This Row],[Quartile Value]] &gt; Table13[[#This Row],[Previous Quartile Value]], "Dropped", "Same")))</f>
        <v>Same</v>
      </c>
      <c r="J1116" s="9" t="s">
        <v>18</v>
      </c>
      <c r="K1116" s="7" t="str">
        <f>VLOOKUP(J1116,Introduction!$B$6:$C$14,2)</f>
        <v>Midlands</v>
      </c>
      <c r="L1116" s="11">
        <v>232</v>
      </c>
      <c r="M1116" s="12" t="s">
        <v>573</v>
      </c>
    </row>
    <row r="1117" spans="1:13" ht="19.95" customHeight="1" x14ac:dyDescent="0.25">
      <c r="A1117" s="41">
        <v>45383</v>
      </c>
      <c r="B1117" s="47">
        <f>MONTH(Table13[[#This Row],[YearMonth]])</f>
        <v>4</v>
      </c>
      <c r="C1117" s="9" t="s">
        <v>67</v>
      </c>
      <c r="D1117" s="6" t="s">
        <v>341</v>
      </c>
      <c r="E1117" s="6">
        <f>IF(Table13[[#This Row],[Quartile]]="TopQuartile", 1,
 IF(Table13[[#This Row],[Quartile]]="SecondQuartile", 2,
 IF(Table13[[#This Row],[Quartile]]="ThirdQuartile", 3,
 IF(Table13[[#This Row],[Quartile]]="FourthQuartile", 4, ""))))</f>
        <v>3</v>
      </c>
      <c r="F1117" s="9" t="s">
        <v>580</v>
      </c>
      <c r="G1117" s="9" t="str" cm="1">
        <f t="array" ref="G1117">IFERROR(
  INDEX(Table13[Quartile],
    MATCH(1,
      (Table13[[#This Row],[OrgName]]=Table13[OrgName]) *
      (Table13[[#This Row],[Month Number]]-1=Table13[Month Number]),
    0)
  ),
"")</f>
        <v>SecondQuartile</v>
      </c>
      <c r="H1117" s="9">
        <f>IF(Table13[[#This Row],[Previous Quartile]]="TopQuartile", 1,
 IF(Table13[[#This Row],[Previous Quartile]]="SecondQuartile", 2,
 IF(Table13[[#This Row],[Previous Quartile]]="ThirdQuartile", 3,
 IF(Table13[[#This Row],[Previous Quartile]]="FourthQuartile", 4, ""))))</f>
        <v>2</v>
      </c>
      <c r="I1117" s="9" t="str">
        <f>IF(Table13[[#This Row],[Previous Quartile Value]]="", "",
   IF(Table13[[#This Row],[Quartile Value]] &lt; Table13[[#This Row],[Previous Quartile Value]], "Improved",
   IF(Table13[[#This Row],[Quartile Value]] &gt; Table13[[#This Row],[Previous Quartile Value]], "Dropped", "Same")))</f>
        <v>Dropped</v>
      </c>
      <c r="J1117" s="9" t="s">
        <v>22</v>
      </c>
      <c r="K1117" s="7" t="str">
        <f>VLOOKUP(J1117,Introduction!$B$6:$C$14,2)</f>
        <v>North West</v>
      </c>
      <c r="L1117" s="11">
        <v>311</v>
      </c>
      <c r="M1117" s="12" t="s">
        <v>573</v>
      </c>
    </row>
    <row r="1118" spans="1:13" ht="19.95" customHeight="1" x14ac:dyDescent="0.25">
      <c r="A1118" s="41">
        <v>45383</v>
      </c>
      <c r="B1118" s="47">
        <f>MONTH(Table13[[#This Row],[YearMonth]])</f>
        <v>4</v>
      </c>
      <c r="C1118" s="9" t="s">
        <v>187</v>
      </c>
      <c r="D1118" s="6" t="s">
        <v>341</v>
      </c>
      <c r="E1118" s="6">
        <f>IF(Table13[[#This Row],[Quartile]]="TopQuartile", 1,
 IF(Table13[[#This Row],[Quartile]]="SecondQuartile", 2,
 IF(Table13[[#This Row],[Quartile]]="ThirdQuartile", 3,
 IF(Table13[[#This Row],[Quartile]]="FourthQuartile", 4, ""))))</f>
        <v>3</v>
      </c>
      <c r="F1118" s="9" t="s">
        <v>602</v>
      </c>
      <c r="G1118" s="9" t="str" cm="1">
        <f t="array" ref="G1118">IFERROR(
  INDEX(Table13[Quartile],
    MATCH(1,
      (Table13[[#This Row],[OrgName]]=Table13[OrgName]) *
      (Table13[[#This Row],[Month Number]]-1=Table13[Month Number]),
    0)
  ),
"")</f>
        <v>ThirdQuartile</v>
      </c>
      <c r="H1118" s="9">
        <f>IF(Table13[[#This Row],[Previous Quartile]]="TopQuartile", 1,
 IF(Table13[[#This Row],[Previous Quartile]]="SecondQuartile", 2,
 IF(Table13[[#This Row],[Previous Quartile]]="ThirdQuartile", 3,
 IF(Table13[[#This Row],[Previous Quartile]]="FourthQuartile", 4, ""))))</f>
        <v>3</v>
      </c>
      <c r="I1118" s="9" t="str">
        <f>IF(Table13[[#This Row],[Previous Quartile Value]]="", "",
   IF(Table13[[#This Row],[Quartile Value]] &lt; Table13[[#This Row],[Previous Quartile Value]], "Improved",
   IF(Table13[[#This Row],[Quartile Value]] &gt; Table13[[#This Row],[Previous Quartile Value]], "Dropped", "Same")))</f>
        <v>Same</v>
      </c>
      <c r="J1118" s="9" t="s">
        <v>18</v>
      </c>
      <c r="K1118" s="7" t="str">
        <f>VLOOKUP(J1118,Introduction!$B$6:$C$14,2)</f>
        <v>Midlands</v>
      </c>
      <c r="L1118" s="11">
        <v>383</v>
      </c>
      <c r="M1118" s="12" t="s">
        <v>573</v>
      </c>
    </row>
    <row r="1119" spans="1:13" ht="19.95" customHeight="1" x14ac:dyDescent="0.25">
      <c r="A1119" s="41">
        <v>45383</v>
      </c>
      <c r="B1119" s="47">
        <f>MONTH(Table13[[#This Row],[YearMonth]])</f>
        <v>4</v>
      </c>
      <c r="C1119" s="9" t="s">
        <v>167</v>
      </c>
      <c r="D1119" s="6" t="s">
        <v>341</v>
      </c>
      <c r="E1119" s="6">
        <f>IF(Table13[[#This Row],[Quartile]]="TopQuartile", 1,
 IF(Table13[[#This Row],[Quartile]]="SecondQuartile", 2,
 IF(Table13[[#This Row],[Quartile]]="ThirdQuartile", 3,
 IF(Table13[[#This Row],[Quartile]]="FourthQuartile", 4, ""))))</f>
        <v>3</v>
      </c>
      <c r="F1119" s="9" t="s">
        <v>597</v>
      </c>
      <c r="G1119" s="9" t="str" cm="1">
        <f t="array" ref="G1119">IFERROR(
  INDEX(Table13[Quartile],
    MATCH(1,
      (Table13[[#This Row],[OrgName]]=Table13[OrgName]) *
      (Table13[[#This Row],[Month Number]]-1=Table13[Month Number]),
    0)
  ),
"")</f>
        <v>ThirdQuartile</v>
      </c>
      <c r="H1119" s="9">
        <f>IF(Table13[[#This Row],[Previous Quartile]]="TopQuartile", 1,
 IF(Table13[[#This Row],[Previous Quartile]]="SecondQuartile", 2,
 IF(Table13[[#This Row],[Previous Quartile]]="ThirdQuartile", 3,
 IF(Table13[[#This Row],[Previous Quartile]]="FourthQuartile", 4, ""))))</f>
        <v>3</v>
      </c>
      <c r="I1119" s="9" t="str">
        <f>IF(Table13[[#This Row],[Previous Quartile Value]]="", "",
   IF(Table13[[#This Row],[Quartile Value]] &lt; Table13[[#This Row],[Previous Quartile Value]], "Improved",
   IF(Table13[[#This Row],[Quartile Value]] &gt; Table13[[#This Row],[Previous Quartile Value]], "Dropped", "Same")))</f>
        <v>Same</v>
      </c>
      <c r="J1119" s="9" t="s">
        <v>18</v>
      </c>
      <c r="K1119" s="7" t="str">
        <f>VLOOKUP(J1119,Introduction!$B$6:$C$14,2)</f>
        <v>Midlands</v>
      </c>
      <c r="L1119" s="11">
        <v>301</v>
      </c>
      <c r="M1119" s="12" t="s">
        <v>573</v>
      </c>
    </row>
    <row r="1120" spans="1:13" ht="19.95" customHeight="1" x14ac:dyDescent="0.25">
      <c r="A1120" s="41">
        <v>45383</v>
      </c>
      <c r="B1120" s="47">
        <f>MONTH(Table13[[#This Row],[YearMonth]])</f>
        <v>4</v>
      </c>
      <c r="C1120" s="9" t="s">
        <v>182</v>
      </c>
      <c r="D1120" s="6" t="s">
        <v>341</v>
      </c>
      <c r="E1120" s="6">
        <f>IF(Table13[[#This Row],[Quartile]]="TopQuartile", 1,
 IF(Table13[[#This Row],[Quartile]]="SecondQuartile", 2,
 IF(Table13[[#This Row],[Quartile]]="ThirdQuartile", 3,
 IF(Table13[[#This Row],[Quartile]]="FourthQuartile", 4, ""))))</f>
        <v>3</v>
      </c>
      <c r="F1120" s="9" t="s">
        <v>600</v>
      </c>
      <c r="G1120" s="9" t="str" cm="1">
        <f t="array" ref="G1120">IFERROR(
  INDEX(Table13[Quartile],
    MATCH(1,
      (Table13[[#This Row],[OrgName]]=Table13[OrgName]) *
      (Table13[[#This Row],[Month Number]]-1=Table13[Month Number]),
    0)
  ),
"")</f>
        <v>SecondQuartile</v>
      </c>
      <c r="H1120" s="9">
        <f>IF(Table13[[#This Row],[Previous Quartile]]="TopQuartile", 1,
 IF(Table13[[#This Row],[Previous Quartile]]="SecondQuartile", 2,
 IF(Table13[[#This Row],[Previous Quartile]]="ThirdQuartile", 3,
 IF(Table13[[#This Row],[Previous Quartile]]="FourthQuartile", 4, ""))))</f>
        <v>2</v>
      </c>
      <c r="I1120" s="9" t="str">
        <f>IF(Table13[[#This Row],[Previous Quartile Value]]="", "",
   IF(Table13[[#This Row],[Quartile Value]] &lt; Table13[[#This Row],[Previous Quartile Value]], "Improved",
   IF(Table13[[#This Row],[Quartile Value]] &gt; Table13[[#This Row],[Previous Quartile Value]], "Dropped", "Same")))</f>
        <v>Dropped</v>
      </c>
      <c r="J1120" s="9" t="s">
        <v>18</v>
      </c>
      <c r="K1120" s="7" t="str">
        <f>VLOOKUP(J1120,Introduction!$B$6:$C$14,2)</f>
        <v>Midlands</v>
      </c>
      <c r="L1120" s="11">
        <v>270</v>
      </c>
      <c r="M1120" s="12" t="s">
        <v>573</v>
      </c>
    </row>
    <row r="1121" spans="1:13" ht="19.95" customHeight="1" x14ac:dyDescent="0.25">
      <c r="A1121" s="41">
        <v>45383</v>
      </c>
      <c r="B1121" s="47">
        <f>MONTH(Table13[[#This Row],[YearMonth]])</f>
        <v>4</v>
      </c>
      <c r="C1121" s="9" t="s">
        <v>118</v>
      </c>
      <c r="D1121" s="6" t="s">
        <v>341</v>
      </c>
      <c r="E1121" s="6">
        <f>IF(Table13[[#This Row],[Quartile]]="TopQuartile", 1,
 IF(Table13[[#This Row],[Quartile]]="SecondQuartile", 2,
 IF(Table13[[#This Row],[Quartile]]="ThirdQuartile", 3,
 IF(Table13[[#This Row],[Quartile]]="FourthQuartile", 4, ""))))</f>
        <v>3</v>
      </c>
      <c r="F1121" s="9" t="s">
        <v>592</v>
      </c>
      <c r="G1121" s="9" t="str" cm="1">
        <f t="array" ref="G1121">IFERROR(
  INDEX(Table13[Quartile],
    MATCH(1,
      (Table13[[#This Row],[OrgName]]=Table13[OrgName]) *
      (Table13[[#This Row],[Month Number]]-1=Table13[Month Number]),
    0)
  ),
"")</f>
        <v>ThirdQuartile</v>
      </c>
      <c r="H1121" s="9">
        <f>IF(Table13[[#This Row],[Previous Quartile]]="TopQuartile", 1,
 IF(Table13[[#This Row],[Previous Quartile]]="SecondQuartile", 2,
 IF(Table13[[#This Row],[Previous Quartile]]="ThirdQuartile", 3,
 IF(Table13[[#This Row],[Previous Quartile]]="FourthQuartile", 4, ""))))</f>
        <v>3</v>
      </c>
      <c r="I1121" s="9" t="str">
        <f>IF(Table13[[#This Row],[Previous Quartile Value]]="", "",
   IF(Table13[[#This Row],[Quartile Value]] &lt; Table13[[#This Row],[Previous Quartile Value]], "Improved",
   IF(Table13[[#This Row],[Quartile Value]] &gt; Table13[[#This Row],[Previous Quartile Value]], "Dropped", "Same")))</f>
        <v>Same</v>
      </c>
      <c r="J1121" s="9" t="s">
        <v>18</v>
      </c>
      <c r="K1121" s="7" t="str">
        <f>VLOOKUP(J1121,Introduction!$B$6:$C$14,2)</f>
        <v>Midlands</v>
      </c>
      <c r="L1121" s="11">
        <v>186</v>
      </c>
      <c r="M1121" s="12" t="s">
        <v>573</v>
      </c>
    </row>
    <row r="1122" spans="1:13" ht="19.95" customHeight="1" x14ac:dyDescent="0.25">
      <c r="A1122" s="41">
        <v>45383</v>
      </c>
      <c r="B1122" s="47">
        <f>MONTH(Table13[[#This Row],[YearMonth]])</f>
        <v>4</v>
      </c>
      <c r="C1122" s="9" t="s">
        <v>280</v>
      </c>
      <c r="D1122" s="6" t="s">
        <v>341</v>
      </c>
      <c r="E1122" s="6">
        <f>IF(Table13[[#This Row],[Quartile]]="TopQuartile", 1,
 IF(Table13[[#This Row],[Quartile]]="SecondQuartile", 2,
 IF(Table13[[#This Row],[Quartile]]="ThirdQuartile", 3,
 IF(Table13[[#This Row],[Quartile]]="FourthQuartile", 4, ""))))</f>
        <v>3</v>
      </c>
      <c r="F1122" s="9" t="s">
        <v>612</v>
      </c>
      <c r="G1122" s="9" t="str" cm="1">
        <f t="array" ref="G1122">IFERROR(
  INDEX(Table13[Quartile],
    MATCH(1,
      (Table13[[#This Row],[OrgName]]=Table13[OrgName]) *
      (Table13[[#This Row],[Month Number]]-1=Table13[Month Number]),
    0)
  ),
"")</f>
        <v>ThirdQuartile</v>
      </c>
      <c r="H1122" s="9">
        <f>IF(Table13[[#This Row],[Previous Quartile]]="TopQuartile", 1,
 IF(Table13[[#This Row],[Previous Quartile]]="SecondQuartile", 2,
 IF(Table13[[#This Row],[Previous Quartile]]="ThirdQuartile", 3,
 IF(Table13[[#This Row],[Previous Quartile]]="FourthQuartile", 4, ""))))</f>
        <v>3</v>
      </c>
      <c r="I1122" s="9" t="str">
        <f>IF(Table13[[#This Row],[Previous Quartile Value]]="", "",
   IF(Table13[[#This Row],[Quartile Value]] &lt; Table13[[#This Row],[Previous Quartile Value]], "Improved",
   IF(Table13[[#This Row],[Quartile Value]] &gt; Table13[[#This Row],[Previous Quartile Value]], "Dropped", "Same")))</f>
        <v>Same</v>
      </c>
      <c r="J1122" s="9" t="s">
        <v>12</v>
      </c>
      <c r="K1122" s="7" t="str">
        <f>VLOOKUP(J1122,Introduction!$B$6:$C$14,2)</f>
        <v>London</v>
      </c>
      <c r="L1122" s="11">
        <v>260</v>
      </c>
      <c r="M1122" s="12" t="s">
        <v>573</v>
      </c>
    </row>
    <row r="1123" spans="1:13" ht="19.95" customHeight="1" x14ac:dyDescent="0.25">
      <c r="A1123" s="41">
        <v>45383</v>
      </c>
      <c r="B1123" s="47">
        <f>MONTH(Table13[[#This Row],[YearMonth]])</f>
        <v>4</v>
      </c>
      <c r="C1123" s="9" t="s">
        <v>186</v>
      </c>
      <c r="D1123" s="6" t="s">
        <v>341</v>
      </c>
      <c r="E1123" s="6">
        <f>IF(Table13[[#This Row],[Quartile]]="TopQuartile", 1,
 IF(Table13[[#This Row],[Quartile]]="SecondQuartile", 2,
 IF(Table13[[#This Row],[Quartile]]="ThirdQuartile", 3,
 IF(Table13[[#This Row],[Quartile]]="FourthQuartile", 4, ""))))</f>
        <v>3</v>
      </c>
      <c r="F1123" s="9" t="s">
        <v>601</v>
      </c>
      <c r="G1123" s="9" t="str" cm="1">
        <f t="array" ref="G1123">IFERROR(
  INDEX(Table13[Quartile],
    MATCH(1,
      (Table13[[#This Row],[OrgName]]=Table13[OrgName]) *
      (Table13[[#This Row],[Month Number]]-1=Table13[Month Number]),
    0)
  ),
"")</f>
        <v>ThirdQuartile</v>
      </c>
      <c r="H1123" s="9">
        <f>IF(Table13[[#This Row],[Previous Quartile]]="TopQuartile", 1,
 IF(Table13[[#This Row],[Previous Quartile]]="SecondQuartile", 2,
 IF(Table13[[#This Row],[Previous Quartile]]="ThirdQuartile", 3,
 IF(Table13[[#This Row],[Previous Quartile]]="FourthQuartile", 4, ""))))</f>
        <v>3</v>
      </c>
      <c r="I1123" s="9" t="str">
        <f>IF(Table13[[#This Row],[Previous Quartile Value]]="", "",
   IF(Table13[[#This Row],[Quartile Value]] &lt; Table13[[#This Row],[Previous Quartile Value]], "Improved",
   IF(Table13[[#This Row],[Quartile Value]] &gt; Table13[[#This Row],[Previous Quartile Value]], "Dropped", "Same")))</f>
        <v>Same</v>
      </c>
      <c r="J1123" s="9" t="s">
        <v>16</v>
      </c>
      <c r="K1123" s="7" t="str">
        <f>VLOOKUP(J1123,Introduction!$B$6:$C$14,2)</f>
        <v>South East</v>
      </c>
      <c r="L1123" s="11">
        <v>371</v>
      </c>
      <c r="M1123" s="12" t="s">
        <v>573</v>
      </c>
    </row>
    <row r="1124" spans="1:13" ht="19.95" customHeight="1" x14ac:dyDescent="0.25">
      <c r="A1124" s="41">
        <v>45383</v>
      </c>
      <c r="B1124" s="47">
        <f>MONTH(Table13[[#This Row],[YearMonth]])</f>
        <v>4</v>
      </c>
      <c r="C1124" s="9" t="s">
        <v>250</v>
      </c>
      <c r="D1124" s="6" t="s">
        <v>350</v>
      </c>
      <c r="E1124" s="6">
        <f>IF(Table13[[#This Row],[Quartile]]="TopQuartile", 1,
 IF(Table13[[#This Row],[Quartile]]="SecondQuartile", 2,
 IF(Table13[[#This Row],[Quartile]]="ThirdQuartile", 3,
 IF(Table13[[#This Row],[Quartile]]="FourthQuartile", 4, ""))))</f>
        <v>4</v>
      </c>
      <c r="F1124" s="9" t="s">
        <v>607</v>
      </c>
      <c r="G1124" s="9" t="str" cm="1">
        <f t="array" ref="G1124">IFERROR(
  INDEX(Table13[Quartile],
    MATCH(1,
      (Table13[[#This Row],[OrgName]]=Table13[OrgName]) *
      (Table13[[#This Row],[Month Number]]-1=Table13[Month Number]),
    0)
  ),
"")</f>
        <v>FourthQuartile</v>
      </c>
      <c r="H1124" s="9">
        <f>IF(Table13[[#This Row],[Previous Quartile]]="TopQuartile", 1,
 IF(Table13[[#This Row],[Previous Quartile]]="SecondQuartile", 2,
 IF(Table13[[#This Row],[Previous Quartile]]="ThirdQuartile", 3,
 IF(Table13[[#This Row],[Previous Quartile]]="FourthQuartile", 4, ""))))</f>
        <v>4</v>
      </c>
      <c r="I1124" s="9" t="str">
        <f>IF(Table13[[#This Row],[Previous Quartile Value]]="", "",
   IF(Table13[[#This Row],[Quartile Value]] &lt; Table13[[#This Row],[Previous Quartile Value]], "Improved",
   IF(Table13[[#This Row],[Quartile Value]] &gt; Table13[[#This Row],[Previous Quartile Value]], "Dropped", "Same")))</f>
        <v>Same</v>
      </c>
      <c r="J1124" s="9" t="s">
        <v>16</v>
      </c>
      <c r="K1124" s="7" t="str">
        <f>VLOOKUP(J1124,Introduction!$B$6:$C$14,2)</f>
        <v>South East</v>
      </c>
      <c r="L1124" s="11">
        <v>380</v>
      </c>
      <c r="M1124" s="12" t="s">
        <v>573</v>
      </c>
    </row>
    <row r="1125" spans="1:13" ht="19.95" customHeight="1" x14ac:dyDescent="0.25">
      <c r="A1125" s="41">
        <v>45383</v>
      </c>
      <c r="B1125" s="47">
        <f>MONTH(Table13[[#This Row],[YearMonth]])</f>
        <v>4</v>
      </c>
      <c r="C1125" s="9" t="s">
        <v>255</v>
      </c>
      <c r="D1125" s="6" t="s">
        <v>350</v>
      </c>
      <c r="E1125" s="6">
        <f>IF(Table13[[#This Row],[Quartile]]="TopQuartile", 1,
 IF(Table13[[#This Row],[Quartile]]="SecondQuartile", 2,
 IF(Table13[[#This Row],[Quartile]]="ThirdQuartile", 3,
 IF(Table13[[#This Row],[Quartile]]="FourthQuartile", 4, ""))))</f>
        <v>4</v>
      </c>
      <c r="F1125" s="9" t="s">
        <v>608</v>
      </c>
      <c r="G1125" s="9" t="str" cm="1">
        <f t="array" ref="G1125">IFERROR(
  INDEX(Table13[Quartile],
    MATCH(1,
      (Table13[[#This Row],[OrgName]]=Table13[OrgName]) *
      (Table13[[#This Row],[Month Number]]-1=Table13[Month Number]),
    0)
  ),
"")</f>
        <v>FourthQuartile</v>
      </c>
      <c r="H1125" s="9">
        <f>IF(Table13[[#This Row],[Previous Quartile]]="TopQuartile", 1,
 IF(Table13[[#This Row],[Previous Quartile]]="SecondQuartile", 2,
 IF(Table13[[#This Row],[Previous Quartile]]="ThirdQuartile", 3,
 IF(Table13[[#This Row],[Previous Quartile]]="FourthQuartile", 4, ""))))</f>
        <v>4</v>
      </c>
      <c r="I1125" s="9" t="str">
        <f>IF(Table13[[#This Row],[Previous Quartile Value]]="", "",
   IF(Table13[[#This Row],[Quartile Value]] &lt; Table13[[#This Row],[Previous Quartile Value]], "Improved",
   IF(Table13[[#This Row],[Quartile Value]] &gt; Table13[[#This Row],[Previous Quartile Value]], "Dropped", "Same")))</f>
        <v>Same</v>
      </c>
      <c r="J1125" s="9" t="s">
        <v>20</v>
      </c>
      <c r="K1125" s="7" t="str">
        <f>VLOOKUP(J1125,Introduction!$B$6:$C$14,2)</f>
        <v>East of England</v>
      </c>
      <c r="L1125" s="11">
        <v>310</v>
      </c>
      <c r="M1125" s="12" t="s">
        <v>573</v>
      </c>
    </row>
    <row r="1126" spans="1:13" ht="19.95" customHeight="1" x14ac:dyDescent="0.25">
      <c r="A1126" s="41">
        <v>45383</v>
      </c>
      <c r="B1126" s="47">
        <f>MONTH(Table13[[#This Row],[YearMonth]])</f>
        <v>4</v>
      </c>
      <c r="C1126" s="9" t="s">
        <v>240</v>
      </c>
      <c r="D1126" s="6" t="s">
        <v>350</v>
      </c>
      <c r="E1126" s="6">
        <f>IF(Table13[[#This Row],[Quartile]]="TopQuartile", 1,
 IF(Table13[[#This Row],[Quartile]]="SecondQuartile", 2,
 IF(Table13[[#This Row],[Quartile]]="ThirdQuartile", 3,
 IF(Table13[[#This Row],[Quartile]]="FourthQuartile", 4, ""))))</f>
        <v>4</v>
      </c>
      <c r="F1126" s="9" t="s">
        <v>605</v>
      </c>
      <c r="G1126" s="9" t="str" cm="1">
        <f t="array" ref="G1126">IFERROR(
  INDEX(Table13[Quartile],
    MATCH(1,
      (Table13[[#This Row],[OrgName]]=Table13[OrgName]) *
      (Table13[[#This Row],[Month Number]]-1=Table13[Month Number]),
    0)
  ),
"")</f>
        <v>ThirdQuartile</v>
      </c>
      <c r="H1126" s="9">
        <f>IF(Table13[[#This Row],[Previous Quartile]]="TopQuartile", 1,
 IF(Table13[[#This Row],[Previous Quartile]]="SecondQuartile", 2,
 IF(Table13[[#This Row],[Previous Quartile]]="ThirdQuartile", 3,
 IF(Table13[[#This Row],[Previous Quartile]]="FourthQuartile", 4, ""))))</f>
        <v>3</v>
      </c>
      <c r="I1126" s="9" t="str">
        <f>IF(Table13[[#This Row],[Previous Quartile Value]]="", "",
   IF(Table13[[#This Row],[Quartile Value]] &lt; Table13[[#This Row],[Previous Quartile Value]], "Improved",
   IF(Table13[[#This Row],[Quartile Value]] &gt; Table13[[#This Row],[Previous Quartile Value]], "Dropped", "Same")))</f>
        <v>Dropped</v>
      </c>
      <c r="J1126" s="9" t="s">
        <v>12</v>
      </c>
      <c r="K1126" s="7" t="str">
        <f>VLOOKUP(J1126,Introduction!$B$6:$C$14,2)</f>
        <v>London</v>
      </c>
      <c r="L1126" s="11">
        <v>277</v>
      </c>
      <c r="M1126" s="12" t="s">
        <v>573</v>
      </c>
    </row>
    <row r="1127" spans="1:13" ht="19.95" customHeight="1" x14ac:dyDescent="0.25">
      <c r="A1127" s="41">
        <v>45383</v>
      </c>
      <c r="B1127" s="47">
        <f>MONTH(Table13[[#This Row],[YearMonth]])</f>
        <v>4</v>
      </c>
      <c r="C1127" s="9" t="s">
        <v>268</v>
      </c>
      <c r="D1127" s="6" t="s">
        <v>350</v>
      </c>
      <c r="E1127" s="6">
        <f>IF(Table13[[#This Row],[Quartile]]="TopQuartile", 1,
 IF(Table13[[#This Row],[Quartile]]="SecondQuartile", 2,
 IF(Table13[[#This Row],[Quartile]]="ThirdQuartile", 3,
 IF(Table13[[#This Row],[Quartile]]="FourthQuartile", 4, ""))))</f>
        <v>4</v>
      </c>
      <c r="F1127" s="9" t="s">
        <v>610</v>
      </c>
      <c r="G1127" s="9" t="str" cm="1">
        <f t="array" ref="G1127">IFERROR(
  INDEX(Table13[Quartile],
    MATCH(1,
      (Table13[[#This Row],[OrgName]]=Table13[OrgName]) *
      (Table13[[#This Row],[Month Number]]-1=Table13[Month Number]),
    0)
  ),
"")</f>
        <v>FourthQuartile</v>
      </c>
      <c r="H1127" s="9">
        <f>IF(Table13[[#This Row],[Previous Quartile]]="TopQuartile", 1,
 IF(Table13[[#This Row],[Previous Quartile]]="SecondQuartile", 2,
 IF(Table13[[#This Row],[Previous Quartile]]="ThirdQuartile", 3,
 IF(Table13[[#This Row],[Previous Quartile]]="FourthQuartile", 4, ""))))</f>
        <v>4</v>
      </c>
      <c r="I1127" s="9" t="str">
        <f>IF(Table13[[#This Row],[Previous Quartile Value]]="", "",
   IF(Table13[[#This Row],[Quartile Value]] &lt; Table13[[#This Row],[Previous Quartile Value]], "Improved",
   IF(Table13[[#This Row],[Quartile Value]] &gt; Table13[[#This Row],[Previous Quartile Value]], "Dropped", "Same")))</f>
        <v>Same</v>
      </c>
      <c r="J1127" s="9" t="s">
        <v>16</v>
      </c>
      <c r="K1127" s="7" t="str">
        <f>VLOOKUP(J1127,Introduction!$B$6:$C$14,2)</f>
        <v>South East</v>
      </c>
      <c r="L1127" s="11">
        <v>325</v>
      </c>
      <c r="M1127" s="12" t="s">
        <v>573</v>
      </c>
    </row>
    <row r="1128" spans="1:13" ht="19.95" customHeight="1" x14ac:dyDescent="0.25">
      <c r="A1128" s="41">
        <v>45383</v>
      </c>
      <c r="B1128" s="47">
        <f>MONTH(Table13[[#This Row],[YearMonth]])</f>
        <v>4</v>
      </c>
      <c r="C1128" s="9" t="s">
        <v>271</v>
      </c>
      <c r="D1128" s="6" t="s">
        <v>350</v>
      </c>
      <c r="E1128" s="6">
        <f>IF(Table13[[#This Row],[Quartile]]="TopQuartile", 1,
 IF(Table13[[#This Row],[Quartile]]="SecondQuartile", 2,
 IF(Table13[[#This Row],[Quartile]]="ThirdQuartile", 3,
 IF(Table13[[#This Row],[Quartile]]="FourthQuartile", 4, ""))))</f>
        <v>4</v>
      </c>
      <c r="F1128" s="9" t="s">
        <v>611</v>
      </c>
      <c r="G1128" s="9" t="str" cm="1">
        <f t="array" ref="G1128">IFERROR(
  INDEX(Table13[Quartile],
    MATCH(1,
      (Table13[[#This Row],[OrgName]]=Table13[OrgName]) *
      (Table13[[#This Row],[Month Number]]-1=Table13[Month Number]),
    0)
  ),
"")</f>
        <v>FourthQuartile</v>
      </c>
      <c r="H1128" s="9">
        <f>IF(Table13[[#This Row],[Previous Quartile]]="TopQuartile", 1,
 IF(Table13[[#This Row],[Previous Quartile]]="SecondQuartile", 2,
 IF(Table13[[#This Row],[Previous Quartile]]="ThirdQuartile", 3,
 IF(Table13[[#This Row],[Previous Quartile]]="FourthQuartile", 4, ""))))</f>
        <v>4</v>
      </c>
      <c r="I1128" s="9" t="str">
        <f>IF(Table13[[#This Row],[Previous Quartile Value]]="", "",
   IF(Table13[[#This Row],[Quartile Value]] &lt; Table13[[#This Row],[Previous Quartile Value]], "Improved",
   IF(Table13[[#This Row],[Quartile Value]] &gt; Table13[[#This Row],[Previous Quartile Value]], "Dropped", "Same")))</f>
        <v>Same</v>
      </c>
      <c r="J1128" s="9" t="s">
        <v>12</v>
      </c>
      <c r="K1128" s="7" t="str">
        <f>VLOOKUP(J1128,Introduction!$B$6:$C$14,2)</f>
        <v>London</v>
      </c>
      <c r="L1128" s="11">
        <v>334</v>
      </c>
      <c r="M1128" s="12" t="s">
        <v>573</v>
      </c>
    </row>
    <row r="1129" spans="1:13" ht="19.95" customHeight="1" x14ac:dyDescent="0.25">
      <c r="A1129" s="41">
        <v>45383</v>
      </c>
      <c r="B1129" s="47">
        <f>MONTH(Table13[[#This Row],[YearMonth]])</f>
        <v>4</v>
      </c>
      <c r="C1129" s="9" t="s">
        <v>264</v>
      </c>
      <c r="D1129" s="6" t="s">
        <v>350</v>
      </c>
      <c r="E1129" s="6">
        <f>IF(Table13[[#This Row],[Quartile]]="TopQuartile", 1,
 IF(Table13[[#This Row],[Quartile]]="SecondQuartile", 2,
 IF(Table13[[#This Row],[Quartile]]="ThirdQuartile", 3,
 IF(Table13[[#This Row],[Quartile]]="FourthQuartile", 4, ""))))</f>
        <v>4</v>
      </c>
      <c r="F1129" s="9" t="s">
        <v>609</v>
      </c>
      <c r="G1129" s="9" t="str" cm="1">
        <f t="array" ref="G1129">IFERROR(
  INDEX(Table13[Quartile],
    MATCH(1,
      (Table13[[#This Row],[OrgName]]=Table13[OrgName]) *
      (Table13[[#This Row],[Month Number]]-1=Table13[Month Number]),
    0)
  ),
"")</f>
        <v>FourthQuartile</v>
      </c>
      <c r="H1129" s="9">
        <f>IF(Table13[[#This Row],[Previous Quartile]]="TopQuartile", 1,
 IF(Table13[[#This Row],[Previous Quartile]]="SecondQuartile", 2,
 IF(Table13[[#This Row],[Previous Quartile]]="ThirdQuartile", 3,
 IF(Table13[[#This Row],[Previous Quartile]]="FourthQuartile", 4, ""))))</f>
        <v>4</v>
      </c>
      <c r="I1129" s="9" t="str">
        <f>IF(Table13[[#This Row],[Previous Quartile Value]]="", "",
   IF(Table13[[#This Row],[Quartile Value]] &lt; Table13[[#This Row],[Previous Quartile Value]], "Improved",
   IF(Table13[[#This Row],[Quartile Value]] &gt; Table13[[#This Row],[Previous Quartile Value]], "Dropped", "Same")))</f>
        <v>Same</v>
      </c>
      <c r="J1129" s="9" t="s">
        <v>16</v>
      </c>
      <c r="K1129" s="7" t="str">
        <f>VLOOKUP(J1129,Introduction!$B$6:$C$14,2)</f>
        <v>South East</v>
      </c>
      <c r="L1129" s="11">
        <v>267</v>
      </c>
      <c r="M1129" s="12" t="s">
        <v>573</v>
      </c>
    </row>
    <row r="1130" spans="1:13" ht="19.95" customHeight="1" x14ac:dyDescent="0.25">
      <c r="A1130" s="41">
        <v>45383</v>
      </c>
      <c r="B1130" s="47">
        <f>MONTH(Table13[[#This Row],[YearMonth]])</f>
        <v>4</v>
      </c>
      <c r="C1130" s="9" t="s">
        <v>289</v>
      </c>
      <c r="D1130" s="6" t="s">
        <v>350</v>
      </c>
      <c r="E1130" s="6">
        <f>IF(Table13[[#This Row],[Quartile]]="TopQuartile", 1,
 IF(Table13[[#This Row],[Quartile]]="SecondQuartile", 2,
 IF(Table13[[#This Row],[Quartile]]="ThirdQuartile", 3,
 IF(Table13[[#This Row],[Quartile]]="FourthQuartile", 4, ""))))</f>
        <v>4</v>
      </c>
      <c r="F1130" s="9" t="s">
        <v>614</v>
      </c>
      <c r="G1130" s="9" t="str" cm="1">
        <f t="array" ref="G1130">IFERROR(
  INDEX(Table13[Quartile],
    MATCH(1,
      (Table13[[#This Row],[OrgName]]=Table13[OrgName]) *
      (Table13[[#This Row],[Month Number]]-1=Table13[Month Number]),
    0)
  ),
"")</f>
        <v>FourthQuartile</v>
      </c>
      <c r="H1130" s="9">
        <f>IF(Table13[[#This Row],[Previous Quartile]]="TopQuartile", 1,
 IF(Table13[[#This Row],[Previous Quartile]]="SecondQuartile", 2,
 IF(Table13[[#This Row],[Previous Quartile]]="ThirdQuartile", 3,
 IF(Table13[[#This Row],[Previous Quartile]]="FourthQuartile", 4, ""))))</f>
        <v>4</v>
      </c>
      <c r="I1130" s="9" t="str">
        <f>IF(Table13[[#This Row],[Previous Quartile Value]]="", "",
   IF(Table13[[#This Row],[Quartile Value]] &lt; Table13[[#This Row],[Previous Quartile Value]], "Improved",
   IF(Table13[[#This Row],[Quartile Value]] &gt; Table13[[#This Row],[Previous Quartile Value]], "Dropped", "Same")))</f>
        <v>Same</v>
      </c>
      <c r="J1130" s="9" t="s">
        <v>18</v>
      </c>
      <c r="K1130" s="7" t="str">
        <f>VLOOKUP(J1130,Introduction!$B$6:$C$14,2)</f>
        <v>Midlands</v>
      </c>
      <c r="L1130" s="11">
        <v>285</v>
      </c>
      <c r="M1130" s="12" t="s">
        <v>573</v>
      </c>
    </row>
    <row r="1131" spans="1:13" ht="19.95" customHeight="1" x14ac:dyDescent="0.25">
      <c r="A1131" s="41">
        <v>45383</v>
      </c>
      <c r="B1131" s="47">
        <f>MONTH(Table13[[#This Row],[YearMonth]])</f>
        <v>4</v>
      </c>
      <c r="C1131" s="9" t="s">
        <v>293</v>
      </c>
      <c r="D1131" s="6" t="s">
        <v>350</v>
      </c>
      <c r="E1131" s="6">
        <f>IF(Table13[[#This Row],[Quartile]]="TopQuartile", 1,
 IF(Table13[[#This Row],[Quartile]]="SecondQuartile", 2,
 IF(Table13[[#This Row],[Quartile]]="ThirdQuartile", 3,
 IF(Table13[[#This Row],[Quartile]]="FourthQuartile", 4, ""))))</f>
        <v>4</v>
      </c>
      <c r="F1131" s="9" t="s">
        <v>615</v>
      </c>
      <c r="G1131" s="9" t="str" cm="1">
        <f t="array" ref="G1131">IFERROR(
  INDEX(Table13[Quartile],
    MATCH(1,
      (Table13[[#This Row],[OrgName]]=Table13[OrgName]) *
      (Table13[[#This Row],[Month Number]]-1=Table13[Month Number]),
    0)
  ),
"")</f>
        <v>FourthQuartile</v>
      </c>
      <c r="H1131" s="9">
        <f>IF(Table13[[#This Row],[Previous Quartile]]="TopQuartile", 1,
 IF(Table13[[#This Row],[Previous Quartile]]="SecondQuartile", 2,
 IF(Table13[[#This Row],[Previous Quartile]]="ThirdQuartile", 3,
 IF(Table13[[#This Row],[Previous Quartile]]="FourthQuartile", 4, ""))))</f>
        <v>4</v>
      </c>
      <c r="I1131" s="9" t="str">
        <f>IF(Table13[[#This Row],[Previous Quartile Value]]="", "",
   IF(Table13[[#This Row],[Quartile Value]] &lt; Table13[[#This Row],[Previous Quartile Value]], "Improved",
   IF(Table13[[#This Row],[Quartile Value]] &gt; Table13[[#This Row],[Previous Quartile Value]], "Dropped", "Same")))</f>
        <v>Same</v>
      </c>
      <c r="J1131" s="9" t="s">
        <v>22</v>
      </c>
      <c r="K1131" s="7" t="str">
        <f>VLOOKUP(J1131,Introduction!$B$6:$C$14,2)</f>
        <v>North West</v>
      </c>
      <c r="L1131" s="11">
        <v>351</v>
      </c>
      <c r="M1131" s="12" t="s">
        <v>573</v>
      </c>
    </row>
    <row r="1132" spans="1:13" ht="19.95" customHeight="1" x14ac:dyDescent="0.25">
      <c r="A1132" s="41">
        <v>45383</v>
      </c>
      <c r="B1132" s="47">
        <f>MONTH(Table13[[#This Row],[YearMonth]])</f>
        <v>4</v>
      </c>
      <c r="C1132" s="9" t="s">
        <v>286</v>
      </c>
      <c r="D1132" s="6" t="s">
        <v>350</v>
      </c>
      <c r="E1132" s="6">
        <f>IF(Table13[[#This Row],[Quartile]]="TopQuartile", 1,
 IF(Table13[[#This Row],[Quartile]]="SecondQuartile", 2,
 IF(Table13[[#This Row],[Quartile]]="ThirdQuartile", 3,
 IF(Table13[[#This Row],[Quartile]]="FourthQuartile", 4, ""))))</f>
        <v>4</v>
      </c>
      <c r="F1132" s="9" t="s">
        <v>613</v>
      </c>
      <c r="G1132" s="9" t="str" cm="1">
        <f t="array" ref="G1132">IFERROR(
  INDEX(Table13[Quartile],
    MATCH(1,
      (Table13[[#This Row],[OrgName]]=Table13[OrgName]) *
      (Table13[[#This Row],[Month Number]]-1=Table13[Month Number]),
    0)
  ),
"")</f>
        <v>FourthQuartile</v>
      </c>
      <c r="H1132" s="9">
        <f>IF(Table13[[#This Row],[Previous Quartile]]="TopQuartile", 1,
 IF(Table13[[#This Row],[Previous Quartile]]="SecondQuartile", 2,
 IF(Table13[[#This Row],[Previous Quartile]]="ThirdQuartile", 3,
 IF(Table13[[#This Row],[Previous Quartile]]="FourthQuartile", 4, ""))))</f>
        <v>4</v>
      </c>
      <c r="I1132" s="9" t="str">
        <f>IF(Table13[[#This Row],[Previous Quartile Value]]="", "",
   IF(Table13[[#This Row],[Quartile Value]] &lt; Table13[[#This Row],[Previous Quartile Value]], "Improved",
   IF(Table13[[#This Row],[Quartile Value]] &gt; Table13[[#This Row],[Previous Quartile Value]], "Dropped", "Same")))</f>
        <v>Same</v>
      </c>
      <c r="J1132" s="9" t="s">
        <v>12</v>
      </c>
      <c r="K1132" s="7" t="str">
        <f>VLOOKUP(J1132,Introduction!$B$6:$C$14,2)</f>
        <v>London</v>
      </c>
      <c r="L1132" s="11">
        <v>395</v>
      </c>
      <c r="M1132" s="12" t="s">
        <v>573</v>
      </c>
    </row>
    <row r="1133" spans="1:13" ht="19.95" customHeight="1" x14ac:dyDescent="0.25">
      <c r="A1133" s="41">
        <v>45383</v>
      </c>
      <c r="B1133" s="47">
        <f>MONTH(Table13[[#This Row],[YearMonth]])</f>
        <v>4</v>
      </c>
      <c r="C1133" s="9" t="s">
        <v>295</v>
      </c>
      <c r="D1133" s="6" t="s">
        <v>350</v>
      </c>
      <c r="E1133" s="6">
        <f>IF(Table13[[#This Row],[Quartile]]="TopQuartile", 1,
 IF(Table13[[#This Row],[Quartile]]="SecondQuartile", 2,
 IF(Table13[[#This Row],[Quartile]]="ThirdQuartile", 3,
 IF(Table13[[#This Row],[Quartile]]="FourthQuartile", 4, ""))))</f>
        <v>4</v>
      </c>
      <c r="F1133" s="9" t="s">
        <v>616</v>
      </c>
      <c r="G1133" s="9" t="str" cm="1">
        <f t="array" ref="G1133">IFERROR(
  INDEX(Table13[Quartile],
    MATCH(1,
      (Table13[[#This Row],[OrgName]]=Table13[OrgName]) *
      (Table13[[#This Row],[Month Number]]-1=Table13[Month Number]),
    0)
  ),
"")</f>
        <v>FourthQuartile</v>
      </c>
      <c r="H1133" s="9">
        <f>IF(Table13[[#This Row],[Previous Quartile]]="TopQuartile", 1,
 IF(Table13[[#This Row],[Previous Quartile]]="SecondQuartile", 2,
 IF(Table13[[#This Row],[Previous Quartile]]="ThirdQuartile", 3,
 IF(Table13[[#This Row],[Previous Quartile]]="FourthQuartile", 4, ""))))</f>
        <v>4</v>
      </c>
      <c r="I1133" s="9" t="str">
        <f>IF(Table13[[#This Row],[Previous Quartile Value]]="", "",
   IF(Table13[[#This Row],[Quartile Value]] &lt; Table13[[#This Row],[Previous Quartile Value]], "Improved",
   IF(Table13[[#This Row],[Quartile Value]] &gt; Table13[[#This Row],[Previous Quartile Value]], "Dropped", "Same")))</f>
        <v>Same</v>
      </c>
      <c r="J1133" s="9" t="s">
        <v>18</v>
      </c>
      <c r="K1133" s="7" t="str">
        <f>VLOOKUP(J1133,Introduction!$B$6:$C$14,2)</f>
        <v>Midlands</v>
      </c>
      <c r="L1133" s="11">
        <v>444</v>
      </c>
      <c r="M1133" s="12" t="s">
        <v>573</v>
      </c>
    </row>
    <row r="1134" spans="1:13" ht="19.95" customHeight="1" x14ac:dyDescent="0.25">
      <c r="A1134" s="41">
        <v>45383</v>
      </c>
      <c r="B1134" s="47">
        <f>MONTH(Table13[[#This Row],[YearMonth]])</f>
        <v>4</v>
      </c>
      <c r="C1134" s="9" t="s">
        <v>306</v>
      </c>
      <c r="D1134" s="6" t="s">
        <v>350</v>
      </c>
      <c r="E1134" s="6">
        <f>IF(Table13[[#This Row],[Quartile]]="TopQuartile", 1,
 IF(Table13[[#This Row],[Quartile]]="SecondQuartile", 2,
 IF(Table13[[#This Row],[Quartile]]="ThirdQuartile", 3,
 IF(Table13[[#This Row],[Quartile]]="FourthQuartile", 4, ""))))</f>
        <v>4</v>
      </c>
      <c r="F1134" s="9" t="s">
        <v>617</v>
      </c>
      <c r="G1134" s="9" t="str" cm="1">
        <f t="array" ref="G1134">IFERROR(
  INDEX(Table13[Quartile],
    MATCH(1,
      (Table13[[#This Row],[OrgName]]=Table13[OrgName]) *
      (Table13[[#This Row],[Month Number]]-1=Table13[Month Number]),
    0)
  ),
"")</f>
        <v>FourthQuartile</v>
      </c>
      <c r="H1134" s="9">
        <f>IF(Table13[[#This Row],[Previous Quartile]]="TopQuartile", 1,
 IF(Table13[[#This Row],[Previous Quartile]]="SecondQuartile", 2,
 IF(Table13[[#This Row],[Previous Quartile]]="ThirdQuartile", 3,
 IF(Table13[[#This Row],[Previous Quartile]]="FourthQuartile", 4, ""))))</f>
        <v>4</v>
      </c>
      <c r="I1134" s="9" t="str">
        <f>IF(Table13[[#This Row],[Previous Quartile Value]]="", "",
   IF(Table13[[#This Row],[Quartile Value]] &lt; Table13[[#This Row],[Previous Quartile Value]], "Improved",
   IF(Table13[[#This Row],[Quartile Value]] &gt; Table13[[#This Row],[Previous Quartile Value]], "Dropped", "Same")))</f>
        <v>Same</v>
      </c>
      <c r="J1134" s="9" t="s">
        <v>18</v>
      </c>
      <c r="K1134" s="7" t="str">
        <f>VLOOKUP(J1134,Introduction!$B$6:$C$14,2)</f>
        <v>Midlands</v>
      </c>
      <c r="L1134" s="11">
        <v>436</v>
      </c>
      <c r="M1134" s="12" t="s">
        <v>573</v>
      </c>
    </row>
    <row r="1135" spans="1:13" ht="19.95" customHeight="1" x14ac:dyDescent="0.25">
      <c r="A1135" s="41">
        <v>45383</v>
      </c>
      <c r="B1135" s="47">
        <f>MONTH(Table13[[#This Row],[YearMonth]])</f>
        <v>4</v>
      </c>
      <c r="C1135" s="9" t="s">
        <v>120</v>
      </c>
      <c r="D1135" s="6" t="s">
        <v>330</v>
      </c>
      <c r="E1135" s="6">
        <f>IF(Table13[[#This Row],[Quartile]]="TopQuartile", 1,
 IF(Table13[[#This Row],[Quartile]]="SecondQuartile", 2,
 IF(Table13[[#This Row],[Quartile]]="ThirdQuartile", 3,
 IF(Table13[[#This Row],[Quartile]]="FourthQuartile", 4, ""))))</f>
        <v>1</v>
      </c>
      <c r="F1135" s="9" t="s">
        <v>619</v>
      </c>
      <c r="G1135" s="9" t="str" cm="1">
        <f t="array" ref="G1135">IFERROR(
  INDEX(Table13[Quartile],
    MATCH(1,
      (Table13[[#This Row],[OrgName]]=Table13[OrgName]) *
      (Table13[[#This Row],[Month Number]]-1=Table13[Month Number]),
    0)
  ),
"")</f>
        <v>TopQuartile</v>
      </c>
      <c r="H1135" s="9">
        <f>IF(Table13[[#This Row],[Previous Quartile]]="TopQuartile", 1,
 IF(Table13[[#This Row],[Previous Quartile]]="SecondQuartile", 2,
 IF(Table13[[#This Row],[Previous Quartile]]="ThirdQuartile", 3,
 IF(Table13[[#This Row],[Previous Quartile]]="FourthQuartile", 4, ""))))</f>
        <v>1</v>
      </c>
      <c r="I1135" s="9" t="str">
        <f>IF(Table13[[#This Row],[Previous Quartile Value]]="", "",
   IF(Table13[[#This Row],[Quartile Value]] &lt; Table13[[#This Row],[Previous Quartile Value]], "Improved",
   IF(Table13[[#This Row],[Quartile Value]] &gt; Table13[[#This Row],[Previous Quartile Value]], "Dropped", "Same")))</f>
        <v>Same</v>
      </c>
      <c r="J1135" s="9" t="s">
        <v>10</v>
      </c>
      <c r="K1135" s="7" t="str">
        <f>VLOOKUP(J1135,Introduction!$B$6:$C$14,2)</f>
        <v>Special Health Authorities and other statutory bodies</v>
      </c>
      <c r="L1135" s="11">
        <v>980</v>
      </c>
      <c r="M1135" s="12" t="s">
        <v>33</v>
      </c>
    </row>
    <row r="1136" spans="1:13" ht="19.95" customHeight="1" x14ac:dyDescent="0.25">
      <c r="A1136" s="41">
        <v>45383</v>
      </c>
      <c r="B1136" s="47">
        <f>MONTH(Table13[[#This Row],[YearMonth]])</f>
        <v>4</v>
      </c>
      <c r="C1136" s="9" t="s">
        <v>32</v>
      </c>
      <c r="D1136" s="6" t="s">
        <v>338</v>
      </c>
      <c r="E1136" s="6">
        <f>IF(Table13[[#This Row],[Quartile]]="TopQuartile", 1,
 IF(Table13[[#This Row],[Quartile]]="SecondQuartile", 2,
 IF(Table13[[#This Row],[Quartile]]="ThirdQuartile", 3,
 IF(Table13[[#This Row],[Quartile]]="FourthQuartile", 4, ""))))</f>
        <v>2</v>
      </c>
      <c r="F1136" s="9" t="s">
        <v>618</v>
      </c>
      <c r="G1136" s="9" t="str" cm="1">
        <f t="array" ref="G1136">IFERROR(
  INDEX(Table13[Quartile],
    MATCH(1,
      (Table13[[#This Row],[OrgName]]=Table13[OrgName]) *
      (Table13[[#This Row],[Month Number]]-1=Table13[Month Number]),
    0)
  ),
"")</f>
        <v>SecondQuartile</v>
      </c>
      <c r="H1136" s="9">
        <f>IF(Table13[[#This Row],[Previous Quartile]]="TopQuartile", 1,
 IF(Table13[[#This Row],[Previous Quartile]]="SecondQuartile", 2,
 IF(Table13[[#This Row],[Previous Quartile]]="ThirdQuartile", 3,
 IF(Table13[[#This Row],[Previous Quartile]]="FourthQuartile", 4, ""))))</f>
        <v>2</v>
      </c>
      <c r="I1136" s="9" t="str">
        <f>IF(Table13[[#This Row],[Previous Quartile Value]]="", "",
   IF(Table13[[#This Row],[Quartile Value]] &lt; Table13[[#This Row],[Previous Quartile Value]], "Improved",
   IF(Table13[[#This Row],[Quartile Value]] &gt; Table13[[#This Row],[Previous Quartile Value]], "Dropped", "Same")))</f>
        <v>Same</v>
      </c>
      <c r="J1136" s="9" t="s">
        <v>10</v>
      </c>
      <c r="K1136" s="7" t="str">
        <f>VLOOKUP(J1136,Introduction!$B$6:$C$14,2)</f>
        <v>Special Health Authorities and other statutory bodies</v>
      </c>
      <c r="L1136" s="11">
        <v>907</v>
      </c>
      <c r="M1136" s="12" t="s">
        <v>33</v>
      </c>
    </row>
    <row r="1137" spans="1:13" ht="19.95" customHeight="1" x14ac:dyDescent="0.25">
      <c r="A1137" s="41">
        <v>45383</v>
      </c>
      <c r="B1137" s="47">
        <f>MONTH(Table13[[#This Row],[YearMonth]])</f>
        <v>4</v>
      </c>
      <c r="C1137" s="9" t="s">
        <v>155</v>
      </c>
      <c r="D1137" s="6" t="s">
        <v>338</v>
      </c>
      <c r="E1137" s="6">
        <f>IF(Table13[[#This Row],[Quartile]]="TopQuartile", 1,
 IF(Table13[[#This Row],[Quartile]]="SecondQuartile", 2,
 IF(Table13[[#This Row],[Quartile]]="ThirdQuartile", 3,
 IF(Table13[[#This Row],[Quartile]]="FourthQuartile", 4, ""))))</f>
        <v>2</v>
      </c>
      <c r="F1137" s="9" t="s">
        <v>620</v>
      </c>
      <c r="G1137" s="9" t="str" cm="1">
        <f t="array" ref="G1137">IFERROR(
  INDEX(Table13[Quartile],
    MATCH(1,
      (Table13[[#This Row],[OrgName]]=Table13[OrgName]) *
      (Table13[[#This Row],[Month Number]]-1=Table13[Month Number]),
    0)
  ),
"")</f>
        <v>SecondQuartile</v>
      </c>
      <c r="H1137" s="9">
        <f>IF(Table13[[#This Row],[Previous Quartile]]="TopQuartile", 1,
 IF(Table13[[#This Row],[Previous Quartile]]="SecondQuartile", 2,
 IF(Table13[[#This Row],[Previous Quartile]]="ThirdQuartile", 3,
 IF(Table13[[#This Row],[Previous Quartile]]="FourthQuartile", 4, ""))))</f>
        <v>2</v>
      </c>
      <c r="I1137" s="9" t="str">
        <f>IF(Table13[[#This Row],[Previous Quartile Value]]="", "",
   IF(Table13[[#This Row],[Quartile Value]] &lt; Table13[[#This Row],[Previous Quartile Value]], "Improved",
   IF(Table13[[#This Row],[Quartile Value]] &gt; Table13[[#This Row],[Previous Quartile Value]], "Dropped", "Same")))</f>
        <v>Same</v>
      </c>
      <c r="J1137" s="9" t="s">
        <v>10</v>
      </c>
      <c r="K1137" s="7" t="str">
        <f>VLOOKUP(J1137,Introduction!$B$6:$C$14,2)</f>
        <v>Special Health Authorities and other statutory bodies</v>
      </c>
      <c r="L1137" s="11">
        <v>918</v>
      </c>
      <c r="M1137" s="12" t="s">
        <v>33</v>
      </c>
    </row>
    <row r="1138" spans="1:13" ht="19.95" customHeight="1" x14ac:dyDescent="0.25">
      <c r="A1138" s="41">
        <v>45383</v>
      </c>
      <c r="B1138" s="47">
        <f>MONTH(Table13[[#This Row],[YearMonth]])</f>
        <v>4</v>
      </c>
      <c r="C1138" s="9" t="s">
        <v>176</v>
      </c>
      <c r="D1138" s="6" t="s">
        <v>338</v>
      </c>
      <c r="E1138" s="6">
        <f>IF(Table13[[#This Row],[Quartile]]="TopQuartile", 1,
 IF(Table13[[#This Row],[Quartile]]="SecondQuartile", 2,
 IF(Table13[[#This Row],[Quartile]]="ThirdQuartile", 3,
 IF(Table13[[#This Row],[Quartile]]="FourthQuartile", 4, ""))))</f>
        <v>2</v>
      </c>
      <c r="F1138" s="9" t="s">
        <v>622</v>
      </c>
      <c r="G1138" s="9" t="str" cm="1">
        <f t="array" ref="G1138">IFERROR(
  INDEX(Table13[Quartile],
    MATCH(1,
      (Table13[[#This Row],[OrgName]]=Table13[OrgName]) *
      (Table13[[#This Row],[Month Number]]-1=Table13[Month Number]),
    0)
  ),
"")</f>
        <v>SecondQuartile</v>
      </c>
      <c r="H1138" s="9">
        <f>IF(Table13[[#This Row],[Previous Quartile]]="TopQuartile", 1,
 IF(Table13[[#This Row],[Previous Quartile]]="SecondQuartile", 2,
 IF(Table13[[#This Row],[Previous Quartile]]="ThirdQuartile", 3,
 IF(Table13[[#This Row],[Previous Quartile]]="FourthQuartile", 4, ""))))</f>
        <v>2</v>
      </c>
      <c r="I1138" s="9" t="str">
        <f>IF(Table13[[#This Row],[Previous Quartile Value]]="", "",
   IF(Table13[[#This Row],[Quartile Value]] &lt; Table13[[#This Row],[Previous Quartile Value]], "Improved",
   IF(Table13[[#This Row],[Quartile Value]] &gt; Table13[[#This Row],[Previous Quartile Value]], "Dropped", "Same")))</f>
        <v>Same</v>
      </c>
      <c r="J1138" s="9" t="s">
        <v>12</v>
      </c>
      <c r="K1138" s="7" t="str">
        <f>VLOOKUP(J1138,Introduction!$B$6:$C$14,2)</f>
        <v>London</v>
      </c>
      <c r="L1138" s="11">
        <v>44</v>
      </c>
      <c r="M1138" s="12" t="s">
        <v>33</v>
      </c>
    </row>
    <row r="1139" spans="1:13" ht="19.95" customHeight="1" x14ac:dyDescent="0.25">
      <c r="A1139" s="41">
        <v>45383</v>
      </c>
      <c r="B1139" s="47">
        <f>MONTH(Table13[[#This Row],[YearMonth]])</f>
        <v>4</v>
      </c>
      <c r="C1139" s="9" t="s">
        <v>163</v>
      </c>
      <c r="D1139" s="6" t="s">
        <v>338</v>
      </c>
      <c r="E1139" s="6">
        <f>IF(Table13[[#This Row],[Quartile]]="TopQuartile", 1,
 IF(Table13[[#This Row],[Quartile]]="SecondQuartile", 2,
 IF(Table13[[#This Row],[Quartile]]="ThirdQuartile", 3,
 IF(Table13[[#This Row],[Quartile]]="FourthQuartile", 4, ""))))</f>
        <v>2</v>
      </c>
      <c r="F1139" s="9" t="s">
        <v>621</v>
      </c>
      <c r="G1139" s="9" t="str" cm="1">
        <f t="array" ref="G1139">IFERROR(
  INDEX(Table13[Quartile],
    MATCH(1,
      (Table13[[#This Row],[OrgName]]=Table13[OrgName]) *
      (Table13[[#This Row],[Month Number]]-1=Table13[Month Number]),
    0)
  ),
"")</f>
        <v>SecondQuartile</v>
      </c>
      <c r="H1139" s="9">
        <f>IF(Table13[[#This Row],[Previous Quartile]]="TopQuartile", 1,
 IF(Table13[[#This Row],[Previous Quartile]]="SecondQuartile", 2,
 IF(Table13[[#This Row],[Previous Quartile]]="ThirdQuartile", 3,
 IF(Table13[[#This Row],[Previous Quartile]]="FourthQuartile", 4, ""))))</f>
        <v>2</v>
      </c>
      <c r="I1139" s="9" t="str">
        <f>IF(Table13[[#This Row],[Previous Quartile Value]]="", "",
   IF(Table13[[#This Row],[Quartile Value]] &lt; Table13[[#This Row],[Previous Quartile Value]], "Improved",
   IF(Table13[[#This Row],[Quartile Value]] &gt; Table13[[#This Row],[Previous Quartile Value]], "Dropped", "Same")))</f>
        <v>Same</v>
      </c>
      <c r="J1139" s="9" t="s">
        <v>10</v>
      </c>
      <c r="K1139" s="7" t="str">
        <f>VLOOKUP(J1139,Introduction!$B$6:$C$14,2)</f>
        <v>Special Health Authorities and other statutory bodies</v>
      </c>
      <c r="L1139" s="11">
        <v>914</v>
      </c>
      <c r="M1139" s="12" t="s">
        <v>33</v>
      </c>
    </row>
    <row r="1140" spans="1:13" ht="19.95" customHeight="1" x14ac:dyDescent="0.25">
      <c r="A1140" s="41">
        <v>45383</v>
      </c>
      <c r="B1140" s="47">
        <f>MONTH(Table13[[#This Row],[YearMonth]])</f>
        <v>4</v>
      </c>
      <c r="C1140" s="9" t="s">
        <v>212</v>
      </c>
      <c r="D1140" s="6" t="s">
        <v>341</v>
      </c>
      <c r="E1140" s="6">
        <f>IF(Table13[[#This Row],[Quartile]]="TopQuartile", 1,
 IF(Table13[[#This Row],[Quartile]]="SecondQuartile", 2,
 IF(Table13[[#This Row],[Quartile]]="ThirdQuartile", 3,
 IF(Table13[[#This Row],[Quartile]]="FourthQuartile", 4, ""))))</f>
        <v>3</v>
      </c>
      <c r="F1140" s="9" t="s">
        <v>623</v>
      </c>
      <c r="G1140" s="9" t="str" cm="1">
        <f t="array" ref="G1140">IFERROR(
  INDEX(Table13[Quartile],
    MATCH(1,
      (Table13[[#This Row],[OrgName]]=Table13[OrgName]) *
      (Table13[[#This Row],[Month Number]]-1=Table13[Month Number]),
    0)
  ),
"")</f>
        <v>ThirdQuartile</v>
      </c>
      <c r="H1140" s="9">
        <f>IF(Table13[[#This Row],[Previous Quartile]]="TopQuartile", 1,
 IF(Table13[[#This Row],[Previous Quartile]]="SecondQuartile", 2,
 IF(Table13[[#This Row],[Previous Quartile]]="ThirdQuartile", 3,
 IF(Table13[[#This Row],[Previous Quartile]]="FourthQuartile", 4, ""))))</f>
        <v>3</v>
      </c>
      <c r="I1140" s="9" t="str">
        <f>IF(Table13[[#This Row],[Previous Quartile Value]]="", "",
   IF(Table13[[#This Row],[Quartile Value]] &lt; Table13[[#This Row],[Previous Quartile Value]], "Improved",
   IF(Table13[[#This Row],[Quartile Value]] &gt; Table13[[#This Row],[Previous Quartile Value]], "Dropped", "Same")))</f>
        <v>Same</v>
      </c>
      <c r="J1140" s="9" t="s">
        <v>10</v>
      </c>
      <c r="K1140" s="7" t="str">
        <f>VLOOKUP(J1140,Introduction!$B$6:$C$14,2)</f>
        <v>Special Health Authorities and other statutory bodies</v>
      </c>
      <c r="L1140" s="11">
        <v>65</v>
      </c>
      <c r="M1140" s="12" t="s">
        <v>33</v>
      </c>
    </row>
    <row r="1141" spans="1:13" ht="19.95" customHeight="1" x14ac:dyDescent="0.25">
      <c r="A1141" s="41">
        <v>45383</v>
      </c>
      <c r="B1141" s="47">
        <f>MONTH(Table13[[#This Row],[YearMonth]])</f>
        <v>4</v>
      </c>
      <c r="C1141" s="9" t="s">
        <v>218</v>
      </c>
      <c r="D1141" s="6" t="s">
        <v>341</v>
      </c>
      <c r="E1141" s="6">
        <f>IF(Table13[[#This Row],[Quartile]]="TopQuartile", 1,
 IF(Table13[[#This Row],[Quartile]]="SecondQuartile", 2,
 IF(Table13[[#This Row],[Quartile]]="ThirdQuartile", 3,
 IF(Table13[[#This Row],[Quartile]]="FourthQuartile", 4, ""))))</f>
        <v>3</v>
      </c>
      <c r="F1141" s="9" t="s">
        <v>624</v>
      </c>
      <c r="G1141" s="9" t="str" cm="1">
        <f t="array" ref="G1141">IFERROR(
  INDEX(Table13[Quartile],
    MATCH(1,
      (Table13[[#This Row],[OrgName]]=Table13[OrgName]) *
      (Table13[[#This Row],[Month Number]]-1=Table13[Month Number]),
    0)
  ),
"")</f>
        <v>ThirdQuartile</v>
      </c>
      <c r="H1141" s="9">
        <f>IF(Table13[[#This Row],[Previous Quartile]]="TopQuartile", 1,
 IF(Table13[[#This Row],[Previous Quartile]]="SecondQuartile", 2,
 IF(Table13[[#This Row],[Previous Quartile]]="ThirdQuartile", 3,
 IF(Table13[[#This Row],[Previous Quartile]]="FourthQuartile", 4, ""))))</f>
        <v>3</v>
      </c>
      <c r="I1141" s="9" t="str">
        <f>IF(Table13[[#This Row],[Previous Quartile Value]]="", "",
   IF(Table13[[#This Row],[Quartile Value]] &lt; Table13[[#This Row],[Previous Quartile Value]], "Improved",
   IF(Table13[[#This Row],[Quartile Value]] &gt; Table13[[#This Row],[Previous Quartile Value]], "Dropped", "Same")))</f>
        <v>Same</v>
      </c>
      <c r="J1141" s="9" t="s">
        <v>10</v>
      </c>
      <c r="K1141" s="7" t="str">
        <f>VLOOKUP(J1141,Introduction!$B$6:$C$14,2)</f>
        <v>Special Health Authorities and other statutory bodies</v>
      </c>
      <c r="L1141" s="11">
        <v>76</v>
      </c>
      <c r="M1141" s="12" t="s">
        <v>33</v>
      </c>
    </row>
    <row r="1142" spans="1:13" ht="19.95" customHeight="1" x14ac:dyDescent="0.25">
      <c r="A1142" s="41">
        <v>45383</v>
      </c>
      <c r="B1142" s="47">
        <f>MONTH(Table13[[#This Row],[YearMonth]])</f>
        <v>4</v>
      </c>
      <c r="C1142" s="9" t="s">
        <v>294</v>
      </c>
      <c r="D1142" s="6" t="s">
        <v>350</v>
      </c>
      <c r="E1142" s="6">
        <f>IF(Table13[[#This Row],[Quartile]]="TopQuartile", 1,
 IF(Table13[[#This Row],[Quartile]]="SecondQuartile", 2,
 IF(Table13[[#This Row],[Quartile]]="ThirdQuartile", 3,
 IF(Table13[[#This Row],[Quartile]]="FourthQuartile", 4, ""))))</f>
        <v>4</v>
      </c>
      <c r="F1142" s="9" t="s">
        <v>625</v>
      </c>
      <c r="G1142" s="9" t="str" cm="1">
        <f t="array" ref="G1142">IFERROR(
  INDEX(Table13[Quartile],
    MATCH(1,
      (Table13[[#This Row],[OrgName]]=Table13[OrgName]) *
      (Table13[[#This Row],[Month Number]]-1=Table13[Month Number]),
    0)
  ),
"")</f>
        <v>FourthQuartile</v>
      </c>
      <c r="H1142" s="9">
        <f>IF(Table13[[#This Row],[Previous Quartile]]="TopQuartile", 1,
 IF(Table13[[#This Row],[Previous Quartile]]="SecondQuartile", 2,
 IF(Table13[[#This Row],[Previous Quartile]]="ThirdQuartile", 3,
 IF(Table13[[#This Row],[Previous Quartile]]="FourthQuartile", 4, ""))))</f>
        <v>4</v>
      </c>
      <c r="I1142" s="9" t="str">
        <f>IF(Table13[[#This Row],[Previous Quartile Value]]="", "",
   IF(Table13[[#This Row],[Quartile Value]] &lt; Table13[[#This Row],[Previous Quartile Value]], "Improved",
   IF(Table13[[#This Row],[Quartile Value]] &gt; Table13[[#This Row],[Previous Quartile Value]], "Dropped", "Same")))</f>
        <v>Same</v>
      </c>
      <c r="J1142" s="9" t="s">
        <v>10</v>
      </c>
      <c r="K1142" s="7" t="str">
        <f>VLOOKUP(J1142,Introduction!$B$6:$C$14,2)</f>
        <v>Special Health Authorities and other statutory bodies</v>
      </c>
      <c r="L1142" s="11">
        <v>990</v>
      </c>
      <c r="M1142" s="12" t="s">
        <v>33</v>
      </c>
    </row>
    <row r="1143" spans="1:13" ht="19.95" customHeight="1" x14ac:dyDescent="0.25">
      <c r="A1143" s="41">
        <v>45383</v>
      </c>
      <c r="B1143" s="47">
        <f>MONTH(Table13[[#This Row],[YearMonth]])</f>
        <v>4</v>
      </c>
      <c r="C1143" s="9" t="s">
        <v>300</v>
      </c>
      <c r="D1143" s="6" t="s">
        <v>350</v>
      </c>
      <c r="E1143" s="6">
        <f>IF(Table13[[#This Row],[Quartile]]="TopQuartile", 1,
 IF(Table13[[#This Row],[Quartile]]="SecondQuartile", 2,
 IF(Table13[[#This Row],[Quartile]]="ThirdQuartile", 3,
 IF(Table13[[#This Row],[Quartile]]="FourthQuartile", 4, ""))))</f>
        <v>4</v>
      </c>
      <c r="F1143" s="9" t="s">
        <v>627</v>
      </c>
      <c r="G1143" s="9" t="str" cm="1">
        <f t="array" ref="G1143">IFERROR(
  INDEX(Table13[Quartile],
    MATCH(1,
      (Table13[[#This Row],[OrgName]]=Table13[OrgName]) *
      (Table13[[#This Row],[Month Number]]-1=Table13[Month Number]),
    0)
  ),
"")</f>
        <v>FourthQuartile</v>
      </c>
      <c r="H1143" s="9">
        <f>IF(Table13[[#This Row],[Previous Quartile]]="TopQuartile", 1,
 IF(Table13[[#This Row],[Previous Quartile]]="SecondQuartile", 2,
 IF(Table13[[#This Row],[Previous Quartile]]="ThirdQuartile", 3,
 IF(Table13[[#This Row],[Previous Quartile]]="FourthQuartile", 4, ""))))</f>
        <v>4</v>
      </c>
      <c r="I1143" s="9" t="str">
        <f>IF(Table13[[#This Row],[Previous Quartile Value]]="", "",
   IF(Table13[[#This Row],[Quartile Value]] &lt; Table13[[#This Row],[Previous Quartile Value]], "Improved",
   IF(Table13[[#This Row],[Quartile Value]] &gt; Table13[[#This Row],[Previous Quartile Value]], "Dropped", "Same")))</f>
        <v>Same</v>
      </c>
      <c r="J1143" s="9" t="s">
        <v>10</v>
      </c>
      <c r="K1143" s="7" t="str">
        <f>VLOOKUP(J1143,Introduction!$B$6:$C$14,2)</f>
        <v>Special Health Authorities and other statutory bodies</v>
      </c>
      <c r="L1143" s="11">
        <v>441</v>
      </c>
      <c r="M1143" s="12" t="s">
        <v>33</v>
      </c>
    </row>
    <row r="1144" spans="1:13" ht="19.95" customHeight="1" x14ac:dyDescent="0.25">
      <c r="A1144" s="41">
        <v>45383</v>
      </c>
      <c r="B1144" s="47">
        <f>MONTH(Table13[[#This Row],[YearMonth]])</f>
        <v>4</v>
      </c>
      <c r="C1144" s="9" t="s">
        <v>299</v>
      </c>
      <c r="D1144" s="6" t="s">
        <v>350</v>
      </c>
      <c r="E1144" s="6">
        <f>IF(Table13[[#This Row],[Quartile]]="TopQuartile", 1,
 IF(Table13[[#This Row],[Quartile]]="SecondQuartile", 2,
 IF(Table13[[#This Row],[Quartile]]="ThirdQuartile", 3,
 IF(Table13[[#This Row],[Quartile]]="FourthQuartile", 4, ""))))</f>
        <v>4</v>
      </c>
      <c r="F1144" s="9" t="s">
        <v>626</v>
      </c>
      <c r="G1144" s="9" t="str" cm="1">
        <f t="array" ref="G1144">IFERROR(
  INDEX(Table13[Quartile],
    MATCH(1,
      (Table13[[#This Row],[OrgName]]=Table13[OrgName]) *
      (Table13[[#This Row],[Month Number]]-1=Table13[Month Number]),
    0)
  ),
"")</f>
        <v>FourthQuartile</v>
      </c>
      <c r="H1144" s="9">
        <f>IF(Table13[[#This Row],[Previous Quartile]]="TopQuartile", 1,
 IF(Table13[[#This Row],[Previous Quartile]]="SecondQuartile", 2,
 IF(Table13[[#This Row],[Previous Quartile]]="ThirdQuartile", 3,
 IF(Table13[[#This Row],[Previous Quartile]]="FourthQuartile", 4, ""))))</f>
        <v>4</v>
      </c>
      <c r="I1144" s="9" t="str">
        <f>IF(Table13[[#This Row],[Previous Quartile Value]]="", "",
   IF(Table13[[#This Row],[Quartile Value]] &lt; Table13[[#This Row],[Previous Quartile Value]], "Improved",
   IF(Table13[[#This Row],[Quartile Value]] &gt; Table13[[#This Row],[Previous Quartile Value]], "Dropped", "Same")))</f>
        <v>Same</v>
      </c>
      <c r="J1144" s="9" t="s">
        <v>10</v>
      </c>
      <c r="K1144" s="7" t="str">
        <f>VLOOKUP(J1144,Introduction!$B$6:$C$14,2)</f>
        <v>Special Health Authorities and other statutory bodies</v>
      </c>
      <c r="L1144" s="11">
        <v>912</v>
      </c>
      <c r="M1144" s="12" t="s">
        <v>33</v>
      </c>
    </row>
    <row r="1145" spans="1:13" ht="19.95" customHeight="1" x14ac:dyDescent="0.25">
      <c r="A1145" s="41">
        <v>45383</v>
      </c>
      <c r="B1145" s="47">
        <f>MONTH(Table13[[#This Row],[YearMonth]])</f>
        <v>4</v>
      </c>
      <c r="C1145" s="9" t="s">
        <v>313</v>
      </c>
      <c r="D1145" s="6" t="s">
        <v>350</v>
      </c>
      <c r="E1145" s="6">
        <f>IF(Table13[[#This Row],[Quartile]]="TopQuartile", 1,
 IF(Table13[[#This Row],[Quartile]]="SecondQuartile", 2,
 IF(Table13[[#This Row],[Quartile]]="ThirdQuartile", 3,
 IF(Table13[[#This Row],[Quartile]]="FourthQuartile", 4, ""))))</f>
        <v>4</v>
      </c>
      <c r="F1145" s="9" t="s">
        <v>628</v>
      </c>
      <c r="G1145" s="9" t="str" cm="1">
        <f t="array" ref="G1145">IFERROR(
  INDEX(Table13[Quartile],
    MATCH(1,
      (Table13[[#This Row],[OrgName]]=Table13[OrgName]) *
      (Table13[[#This Row],[Month Number]]-1=Table13[Month Number]),
    0)
  ),
"")</f>
        <v>FourthQuartile</v>
      </c>
      <c r="H1145" s="9">
        <f>IF(Table13[[#This Row],[Previous Quartile]]="TopQuartile", 1,
 IF(Table13[[#This Row],[Previous Quartile]]="SecondQuartile", 2,
 IF(Table13[[#This Row],[Previous Quartile]]="ThirdQuartile", 3,
 IF(Table13[[#This Row],[Previous Quartile]]="FourthQuartile", 4, ""))))</f>
        <v>4</v>
      </c>
      <c r="I1145" s="9" t="str">
        <f>IF(Table13[[#This Row],[Previous Quartile Value]]="", "",
   IF(Table13[[#This Row],[Quartile Value]] &lt; Table13[[#This Row],[Previous Quartile Value]], "Improved",
   IF(Table13[[#This Row],[Quartile Value]] &gt; Table13[[#This Row],[Previous Quartile Value]], "Dropped", "Same")))</f>
        <v>Same</v>
      </c>
      <c r="J1145" s="9" t="s">
        <v>10</v>
      </c>
      <c r="K1145" s="7" t="str">
        <f>VLOOKUP(J1145,Introduction!$B$6:$C$14,2)</f>
        <v>Special Health Authorities and other statutory bodies</v>
      </c>
      <c r="L1145" s="11">
        <v>71</v>
      </c>
      <c r="M1145" s="12" t="s">
        <v>33</v>
      </c>
    </row>
    <row r="1146" spans="1:13" ht="19.95" customHeight="1" x14ac:dyDescent="0.25">
      <c r="A1146" s="40">
        <v>45352</v>
      </c>
      <c r="B1146" s="46">
        <f>MONTH(Table13[[#This Row],[YearMonth]])</f>
        <v>3</v>
      </c>
      <c r="C1146" s="5" t="s">
        <v>52</v>
      </c>
      <c r="D1146" s="6" t="s">
        <v>330</v>
      </c>
      <c r="E1146" s="6">
        <f>IF(Table13[[#This Row],[Quartile]]="TopQuartile", 1,
 IF(Table13[[#This Row],[Quartile]]="SecondQuartile", 2,
 IF(Table13[[#This Row],[Quartile]]="ThirdQuartile", 3,
 IF(Table13[[#This Row],[Quartile]]="FourthQuartile", 4, ""))))</f>
        <v>1</v>
      </c>
      <c r="F1146" s="5" t="s">
        <v>333</v>
      </c>
      <c r="G1146" s="5" t="str" cm="1">
        <f t="array" ref="G1146">IFERROR(
  INDEX(Table13[Quartile],
    MATCH(1,
      (Table13[[#This Row],[OrgName]]=Table13[OrgName]) *
      (Table13[[#This Row],[Month Number]]-1=Table13[Month Number]),
    0)
  ),
"")</f>
        <v>TopQuartile</v>
      </c>
      <c r="H1146" s="5">
        <f>IF(Table13[[#This Row],[Previous Quartile]]="TopQuartile", 1,
 IF(Table13[[#This Row],[Previous Quartile]]="SecondQuartile", 2,
 IF(Table13[[#This Row],[Previous Quartile]]="ThirdQuartile", 3,
 IF(Table13[[#This Row],[Previous Quartile]]="FourthQuartile", 4, ""))))</f>
        <v>1</v>
      </c>
      <c r="I1146" s="5" t="str">
        <f>IF(Table13[[#This Row],[Previous Quartile Value]]="", "",
   IF(Table13[[#This Row],[Quartile Value]] &lt; Table13[[#This Row],[Previous Quartile Value]], "Improved",
   IF(Table13[[#This Row],[Quartile Value]] &gt; Table13[[#This Row],[Previous Quartile Value]], "Dropped", "Same")))</f>
        <v>Same</v>
      </c>
      <c r="J1146" s="5" t="s">
        <v>12</v>
      </c>
      <c r="K1146" s="7" t="str">
        <f>VLOOKUP(J1146,Introduction!$B$6:$C$14,2)</f>
        <v>London</v>
      </c>
      <c r="L1146" s="13">
        <v>197</v>
      </c>
      <c r="M1146" s="8" t="s">
        <v>332</v>
      </c>
    </row>
    <row r="1147" spans="1:13" ht="19.95" customHeight="1" x14ac:dyDescent="0.25">
      <c r="A1147" s="40">
        <v>45352</v>
      </c>
      <c r="B1147" s="46">
        <f>MONTH(Table13[[#This Row],[YearMonth]])</f>
        <v>3</v>
      </c>
      <c r="C1147" s="5" t="s">
        <v>85</v>
      </c>
      <c r="D1147" s="6" t="s">
        <v>330</v>
      </c>
      <c r="E1147" s="6">
        <f>IF(Table13[[#This Row],[Quartile]]="TopQuartile", 1,
 IF(Table13[[#This Row],[Quartile]]="SecondQuartile", 2,
 IF(Table13[[#This Row],[Quartile]]="ThirdQuartile", 3,
 IF(Table13[[#This Row],[Quartile]]="FourthQuartile", 4, ""))))</f>
        <v>1</v>
      </c>
      <c r="F1147" s="5" t="s">
        <v>335</v>
      </c>
      <c r="G1147" s="5" t="str" cm="1">
        <f t="array" ref="G1147">IFERROR(
  INDEX(Table13[Quartile],
    MATCH(1,
      (Table13[[#This Row],[OrgName]]=Table13[OrgName]) *
      (Table13[[#This Row],[Month Number]]-1=Table13[Month Number]),
    0)
  ),
"")</f>
        <v>TopQuartile</v>
      </c>
      <c r="H1147" s="5">
        <f>IF(Table13[[#This Row],[Previous Quartile]]="TopQuartile", 1,
 IF(Table13[[#This Row],[Previous Quartile]]="SecondQuartile", 2,
 IF(Table13[[#This Row],[Previous Quartile]]="ThirdQuartile", 3,
 IF(Table13[[#This Row],[Previous Quartile]]="FourthQuartile", 4, ""))))</f>
        <v>1</v>
      </c>
      <c r="I1147" s="5" t="str">
        <f>IF(Table13[[#This Row],[Previous Quartile Value]]="", "",
   IF(Table13[[#This Row],[Quartile Value]] &lt; Table13[[#This Row],[Previous Quartile Value]], "Improved",
   IF(Table13[[#This Row],[Quartile Value]] &gt; Table13[[#This Row],[Previous Quartile Value]], "Dropped", "Same")))</f>
        <v>Same</v>
      </c>
      <c r="J1147" s="5" t="s">
        <v>24</v>
      </c>
      <c r="K1147" s="7" t="str">
        <f>VLOOKUP(J1147,Introduction!$B$6:$C$14,2)</f>
        <v>North East and Yorkshire</v>
      </c>
      <c r="L1147" s="13">
        <v>319</v>
      </c>
      <c r="M1147" s="8" t="s">
        <v>332</v>
      </c>
    </row>
    <row r="1148" spans="1:13" ht="19.95" customHeight="1" x14ac:dyDescent="0.25">
      <c r="A1148" s="40">
        <v>45352</v>
      </c>
      <c r="B1148" s="46">
        <f>MONTH(Table13[[#This Row],[YearMonth]])</f>
        <v>3</v>
      </c>
      <c r="C1148" s="5" t="s">
        <v>81</v>
      </c>
      <c r="D1148" s="6" t="s">
        <v>330</v>
      </c>
      <c r="E1148" s="6">
        <f>IF(Table13[[#This Row],[Quartile]]="TopQuartile", 1,
 IF(Table13[[#This Row],[Quartile]]="SecondQuartile", 2,
 IF(Table13[[#This Row],[Quartile]]="ThirdQuartile", 3,
 IF(Table13[[#This Row],[Quartile]]="FourthQuartile", 4, ""))))</f>
        <v>1</v>
      </c>
      <c r="F1148" s="5" t="s">
        <v>334</v>
      </c>
      <c r="G1148" s="5" t="str" cm="1">
        <f t="array" ref="G1148">IFERROR(
  INDEX(Table13[Quartile],
    MATCH(1,
      (Table13[[#This Row],[OrgName]]=Table13[OrgName]) *
      (Table13[[#This Row],[Month Number]]-1=Table13[Month Number]),
    0)
  ),
"")</f>
        <v>TopQuartile</v>
      </c>
      <c r="H1148" s="5">
        <f>IF(Table13[[#This Row],[Previous Quartile]]="TopQuartile", 1,
 IF(Table13[[#This Row],[Previous Quartile]]="SecondQuartile", 2,
 IF(Table13[[#This Row],[Previous Quartile]]="ThirdQuartile", 3,
 IF(Table13[[#This Row],[Previous Quartile]]="FourthQuartile", 4, ""))))</f>
        <v>1</v>
      </c>
      <c r="I1148" s="5" t="str">
        <f>IF(Table13[[#This Row],[Previous Quartile Value]]="", "",
   IF(Table13[[#This Row],[Quartile Value]] &lt; Table13[[#This Row],[Previous Quartile Value]], "Improved",
   IF(Table13[[#This Row],[Quartile Value]] &gt; Table13[[#This Row],[Previous Quartile Value]], "Dropped", "Same")))</f>
        <v>Same</v>
      </c>
      <c r="J1148" s="5" t="s">
        <v>16</v>
      </c>
      <c r="K1148" s="7" t="str">
        <f>VLOOKUP(J1148,Introduction!$B$6:$C$14,2)</f>
        <v>South East</v>
      </c>
      <c r="L1148" s="13">
        <v>359</v>
      </c>
      <c r="M1148" s="8" t="s">
        <v>332</v>
      </c>
    </row>
    <row r="1149" spans="1:13" ht="19.95" customHeight="1" x14ac:dyDescent="0.25">
      <c r="A1149" s="40">
        <v>45352</v>
      </c>
      <c r="B1149" s="46">
        <f>MONTH(Table13[[#This Row],[YearMonth]])</f>
        <v>3</v>
      </c>
      <c r="C1149" s="5" t="s">
        <v>40</v>
      </c>
      <c r="D1149" s="6" t="s">
        <v>330</v>
      </c>
      <c r="E1149" s="6">
        <f>IF(Table13[[#This Row],[Quartile]]="TopQuartile", 1,
 IF(Table13[[#This Row],[Quartile]]="SecondQuartile", 2,
 IF(Table13[[#This Row],[Quartile]]="ThirdQuartile", 3,
 IF(Table13[[#This Row],[Quartile]]="FourthQuartile", 4, ""))))</f>
        <v>1</v>
      </c>
      <c r="F1149" s="5" t="s">
        <v>331</v>
      </c>
      <c r="G1149" s="5" t="str" cm="1">
        <f t="array" ref="G1149">IFERROR(
  INDEX(Table13[Quartile],
    MATCH(1,
      (Table13[[#This Row],[OrgName]]=Table13[OrgName]) *
      (Table13[[#This Row],[Month Number]]-1=Table13[Month Number]),
    0)
  ),
"")</f>
        <v>TopQuartile</v>
      </c>
      <c r="H1149" s="5">
        <f>IF(Table13[[#This Row],[Previous Quartile]]="TopQuartile", 1,
 IF(Table13[[#This Row],[Previous Quartile]]="SecondQuartile", 2,
 IF(Table13[[#This Row],[Previous Quartile]]="ThirdQuartile", 3,
 IF(Table13[[#This Row],[Previous Quartile]]="FourthQuartile", 4, ""))))</f>
        <v>1</v>
      </c>
      <c r="I1149" s="5" t="str">
        <f>IF(Table13[[#This Row],[Previous Quartile Value]]="", "",
   IF(Table13[[#This Row],[Quartile Value]] &lt; Table13[[#This Row],[Previous Quartile Value]], "Improved",
   IF(Table13[[#This Row],[Quartile Value]] &gt; Table13[[#This Row],[Previous Quartile Value]], "Dropped", "Same")))</f>
        <v>Same</v>
      </c>
      <c r="J1149" s="5" t="s">
        <v>16</v>
      </c>
      <c r="K1149" s="7" t="str">
        <f>VLOOKUP(J1149,Introduction!$B$6:$C$14,2)</f>
        <v>South East</v>
      </c>
      <c r="L1149" s="13">
        <v>374</v>
      </c>
      <c r="M1149" s="8" t="s">
        <v>332</v>
      </c>
    </row>
    <row r="1150" spans="1:13" ht="19.95" customHeight="1" x14ac:dyDescent="0.25">
      <c r="A1150" s="40">
        <v>45352</v>
      </c>
      <c r="B1150" s="46">
        <f>MONTH(Table13[[#This Row],[YearMonth]])</f>
        <v>3</v>
      </c>
      <c r="C1150" s="5" t="s">
        <v>111</v>
      </c>
      <c r="D1150" s="6" t="s">
        <v>330</v>
      </c>
      <c r="E1150" s="6">
        <f>IF(Table13[[#This Row],[Quartile]]="TopQuartile", 1,
 IF(Table13[[#This Row],[Quartile]]="SecondQuartile", 2,
 IF(Table13[[#This Row],[Quartile]]="ThirdQuartile", 3,
 IF(Table13[[#This Row],[Quartile]]="FourthQuartile", 4, ""))))</f>
        <v>1</v>
      </c>
      <c r="F1150" s="5" t="s">
        <v>339</v>
      </c>
      <c r="G1150" s="5" t="str" cm="1">
        <f t="array" ref="G1150">IFERROR(
  INDEX(Table13[Quartile],
    MATCH(1,
      (Table13[[#This Row],[OrgName]]=Table13[OrgName]) *
      (Table13[[#This Row],[Month Number]]-1=Table13[Month Number]),
    0)
  ),
"")</f>
        <v>SecondQuartile</v>
      </c>
      <c r="H1150" s="5">
        <f>IF(Table13[[#This Row],[Previous Quartile]]="TopQuartile", 1,
 IF(Table13[[#This Row],[Previous Quartile]]="SecondQuartile", 2,
 IF(Table13[[#This Row],[Previous Quartile]]="ThirdQuartile", 3,
 IF(Table13[[#This Row],[Previous Quartile]]="FourthQuartile", 4, ""))))</f>
        <v>2</v>
      </c>
      <c r="I1150" s="5" t="str">
        <f>IF(Table13[[#This Row],[Previous Quartile Value]]="", "",
   IF(Table13[[#This Row],[Quartile Value]] &lt; Table13[[#This Row],[Previous Quartile Value]], "Improved",
   IF(Table13[[#This Row],[Quartile Value]] &gt; Table13[[#This Row],[Previous Quartile Value]], "Dropped", "Same")))</f>
        <v>Improved</v>
      </c>
      <c r="J1150" s="5" t="s">
        <v>20</v>
      </c>
      <c r="K1150" s="7" t="str">
        <f>VLOOKUP(J1150,Introduction!$B$6:$C$14,2)</f>
        <v>East of England</v>
      </c>
      <c r="L1150" s="13">
        <v>432</v>
      </c>
      <c r="M1150" s="8" t="s">
        <v>332</v>
      </c>
    </row>
    <row r="1151" spans="1:13" ht="19.95" customHeight="1" x14ac:dyDescent="0.25">
      <c r="A1151" s="40">
        <v>45352</v>
      </c>
      <c r="B1151" s="46">
        <f>MONTH(Table13[[#This Row],[YearMonth]])</f>
        <v>3</v>
      </c>
      <c r="C1151" s="5" t="s">
        <v>91</v>
      </c>
      <c r="D1151" s="6" t="s">
        <v>338</v>
      </c>
      <c r="E1151" s="6">
        <f>IF(Table13[[#This Row],[Quartile]]="TopQuartile", 1,
 IF(Table13[[#This Row],[Quartile]]="SecondQuartile", 2,
 IF(Table13[[#This Row],[Quartile]]="ThirdQuartile", 3,
 IF(Table13[[#This Row],[Quartile]]="FourthQuartile", 4, ""))))</f>
        <v>2</v>
      </c>
      <c r="F1151" s="5" t="s">
        <v>337</v>
      </c>
      <c r="G1151" s="5" t="str" cm="1">
        <f t="array" ref="G1151">IFERROR(
  INDEX(Table13[Quartile],
    MATCH(1,
      (Table13[[#This Row],[OrgName]]=Table13[OrgName]) *
      (Table13[[#This Row],[Month Number]]-1=Table13[Month Number]),
    0)
  ),
"")</f>
        <v>TopQuartile</v>
      </c>
      <c r="H1151" s="5">
        <f>IF(Table13[[#This Row],[Previous Quartile]]="TopQuartile", 1,
 IF(Table13[[#This Row],[Previous Quartile]]="SecondQuartile", 2,
 IF(Table13[[#This Row],[Previous Quartile]]="ThirdQuartile", 3,
 IF(Table13[[#This Row],[Previous Quartile]]="FourthQuartile", 4, ""))))</f>
        <v>1</v>
      </c>
      <c r="I1151" s="5" t="str">
        <f>IF(Table13[[#This Row],[Previous Quartile Value]]="", "",
   IF(Table13[[#This Row],[Quartile Value]] &lt; Table13[[#This Row],[Previous Quartile Value]], "Improved",
   IF(Table13[[#This Row],[Quartile Value]] &gt; Table13[[#This Row],[Previous Quartile Value]], "Dropped", "Same")))</f>
        <v>Dropped</v>
      </c>
      <c r="J1151" s="5" t="s">
        <v>18</v>
      </c>
      <c r="K1151" s="7" t="str">
        <f>VLOOKUP(J1151,Introduction!$B$6:$C$14,2)</f>
        <v>Midlands</v>
      </c>
      <c r="L1151" s="13">
        <v>357</v>
      </c>
      <c r="M1151" s="8" t="s">
        <v>332</v>
      </c>
    </row>
    <row r="1152" spans="1:13" ht="19.95" customHeight="1" x14ac:dyDescent="0.25">
      <c r="A1152" s="40">
        <v>45352</v>
      </c>
      <c r="B1152" s="46">
        <f>MONTH(Table13[[#This Row],[YearMonth]])</f>
        <v>3</v>
      </c>
      <c r="C1152" s="5" t="s">
        <v>89</v>
      </c>
      <c r="D1152" s="6" t="s">
        <v>338</v>
      </c>
      <c r="E1152" s="6">
        <f>IF(Table13[[#This Row],[Quartile]]="TopQuartile", 1,
 IF(Table13[[#This Row],[Quartile]]="SecondQuartile", 2,
 IF(Table13[[#This Row],[Quartile]]="ThirdQuartile", 3,
 IF(Table13[[#This Row],[Quartile]]="FourthQuartile", 4, ""))))</f>
        <v>2</v>
      </c>
      <c r="F1152" s="5" t="s">
        <v>336</v>
      </c>
      <c r="G1152" s="5" t="str" cm="1">
        <f t="array" ref="G1152">IFERROR(
  INDEX(Table13[Quartile],
    MATCH(1,
      (Table13[[#This Row],[OrgName]]=Table13[OrgName]) *
      (Table13[[#This Row],[Month Number]]-1=Table13[Month Number]),
    0)
  ),
"")</f>
        <v>SecondQuartile</v>
      </c>
      <c r="H1152" s="5">
        <f>IF(Table13[[#This Row],[Previous Quartile]]="TopQuartile", 1,
 IF(Table13[[#This Row],[Previous Quartile]]="SecondQuartile", 2,
 IF(Table13[[#This Row],[Previous Quartile]]="ThirdQuartile", 3,
 IF(Table13[[#This Row],[Previous Quartile]]="FourthQuartile", 4, ""))))</f>
        <v>2</v>
      </c>
      <c r="I1152" s="5" t="str">
        <f>IF(Table13[[#This Row],[Previous Quartile Value]]="", "",
   IF(Table13[[#This Row],[Quartile Value]] &lt; Table13[[#This Row],[Previous Quartile Value]], "Improved",
   IF(Table13[[#This Row],[Quartile Value]] &gt; Table13[[#This Row],[Previous Quartile Value]], "Dropped", "Same")))</f>
        <v>Same</v>
      </c>
      <c r="J1152" s="5" t="s">
        <v>16</v>
      </c>
      <c r="K1152" s="7" t="str">
        <f>VLOOKUP(J1152,Introduction!$B$6:$C$14,2)</f>
        <v>South East</v>
      </c>
      <c r="L1152" s="13">
        <v>192</v>
      </c>
      <c r="M1152" s="8" t="s">
        <v>332</v>
      </c>
    </row>
    <row r="1153" spans="1:13" ht="19.95" customHeight="1" x14ac:dyDescent="0.25">
      <c r="A1153" s="40">
        <v>45352</v>
      </c>
      <c r="B1153" s="46">
        <f>MONTH(Table13[[#This Row],[YearMonth]])</f>
        <v>3</v>
      </c>
      <c r="C1153" s="5" t="s">
        <v>137</v>
      </c>
      <c r="D1153" s="6" t="s">
        <v>341</v>
      </c>
      <c r="E1153" s="6">
        <f>IF(Table13[[#This Row],[Quartile]]="TopQuartile", 1,
 IF(Table13[[#This Row],[Quartile]]="SecondQuartile", 2,
 IF(Table13[[#This Row],[Quartile]]="ThirdQuartile", 3,
 IF(Table13[[#This Row],[Quartile]]="FourthQuartile", 4, ""))))</f>
        <v>3</v>
      </c>
      <c r="F1153" s="5" t="s">
        <v>340</v>
      </c>
      <c r="G1153" s="5" t="str" cm="1">
        <f t="array" ref="G1153">IFERROR(
  INDEX(Table13[Quartile],
    MATCH(1,
      (Table13[[#This Row],[OrgName]]=Table13[OrgName]) *
      (Table13[[#This Row],[Month Number]]-1=Table13[Month Number]),
    0)
  ),
"")</f>
        <v>ThirdQuartile</v>
      </c>
      <c r="H1153" s="5">
        <f>IF(Table13[[#This Row],[Previous Quartile]]="TopQuartile", 1,
 IF(Table13[[#This Row],[Previous Quartile]]="SecondQuartile", 2,
 IF(Table13[[#This Row],[Previous Quartile]]="ThirdQuartile", 3,
 IF(Table13[[#This Row],[Previous Quartile]]="FourthQuartile", 4, ""))))</f>
        <v>3</v>
      </c>
      <c r="I1153" s="5" t="str">
        <f>IF(Table13[[#This Row],[Previous Quartile Value]]="", "",
   IF(Table13[[#This Row],[Quartile Value]] &lt; Table13[[#This Row],[Previous Quartile Value]], "Improved",
   IF(Table13[[#This Row],[Quartile Value]] &gt; Table13[[#This Row],[Previous Quartile Value]], "Dropped", "Same")))</f>
        <v>Same</v>
      </c>
      <c r="J1153" s="5" t="s">
        <v>18</v>
      </c>
      <c r="K1153" s="7" t="str">
        <f>VLOOKUP(J1153,Introduction!$B$6:$C$14,2)</f>
        <v>Midlands</v>
      </c>
      <c r="L1153" s="13">
        <v>225</v>
      </c>
      <c r="M1153" s="8" t="s">
        <v>332</v>
      </c>
    </row>
    <row r="1154" spans="1:13" ht="19.95" customHeight="1" x14ac:dyDescent="0.25">
      <c r="A1154" s="40">
        <v>45352</v>
      </c>
      <c r="B1154" s="46">
        <f>MONTH(Table13[[#This Row],[YearMonth]])</f>
        <v>3</v>
      </c>
      <c r="C1154" s="5" t="s">
        <v>174</v>
      </c>
      <c r="D1154" s="6" t="s">
        <v>341</v>
      </c>
      <c r="E1154" s="6">
        <f>IF(Table13[[#This Row],[Quartile]]="TopQuartile", 1,
 IF(Table13[[#This Row],[Quartile]]="SecondQuartile", 2,
 IF(Table13[[#This Row],[Quartile]]="ThirdQuartile", 3,
 IF(Table13[[#This Row],[Quartile]]="FourthQuartile", 4, ""))))</f>
        <v>3</v>
      </c>
      <c r="F1154" s="5" t="s">
        <v>342</v>
      </c>
      <c r="G1154" s="5" t="str" cm="1">
        <f t="array" ref="G1154">IFERROR(
  INDEX(Table13[Quartile],
    MATCH(1,
      (Table13[[#This Row],[OrgName]]=Table13[OrgName]) *
      (Table13[[#This Row],[Month Number]]-1=Table13[Month Number]),
    0)
  ),
"")</f>
        <v>ThirdQuartile</v>
      </c>
      <c r="H1154" s="5">
        <f>IF(Table13[[#This Row],[Previous Quartile]]="TopQuartile", 1,
 IF(Table13[[#This Row],[Previous Quartile]]="SecondQuartile", 2,
 IF(Table13[[#This Row],[Previous Quartile]]="ThirdQuartile", 3,
 IF(Table13[[#This Row],[Previous Quartile]]="FourthQuartile", 4, ""))))</f>
        <v>3</v>
      </c>
      <c r="I1154" s="5" t="str">
        <f>IF(Table13[[#This Row],[Previous Quartile Value]]="", "",
   IF(Table13[[#This Row],[Quartile Value]] &lt; Table13[[#This Row],[Previous Quartile Value]], "Improved",
   IF(Table13[[#This Row],[Quartile Value]] &gt; Table13[[#This Row],[Previous Quartile Value]], "Dropped", "Same")))</f>
        <v>Same</v>
      </c>
      <c r="J1154" s="5" t="s">
        <v>20</v>
      </c>
      <c r="K1154" s="7" t="str">
        <f>VLOOKUP(J1154,Introduction!$B$6:$C$14,2)</f>
        <v>East of England</v>
      </c>
      <c r="L1154" s="13">
        <v>390</v>
      </c>
      <c r="M1154" s="8" t="s">
        <v>332</v>
      </c>
    </row>
    <row r="1155" spans="1:13" ht="19.95" customHeight="1" x14ac:dyDescent="0.25">
      <c r="A1155" s="40">
        <v>45352</v>
      </c>
      <c r="B1155" s="46">
        <f>MONTH(Table13[[#This Row],[YearMonth]])</f>
        <v>3</v>
      </c>
      <c r="C1155" s="5" t="s">
        <v>228</v>
      </c>
      <c r="D1155" s="6" t="s">
        <v>341</v>
      </c>
      <c r="E1155" s="6">
        <f>IF(Table13[[#This Row],[Quartile]]="TopQuartile", 1,
 IF(Table13[[#This Row],[Quartile]]="SecondQuartile", 2,
 IF(Table13[[#This Row],[Quartile]]="ThirdQuartile", 3,
 IF(Table13[[#This Row],[Quartile]]="FourthQuartile", 4, ""))))</f>
        <v>3</v>
      </c>
      <c r="F1155" s="5" t="s">
        <v>347</v>
      </c>
      <c r="G1155" s="5" t="str" cm="1">
        <f t="array" ref="G1155">IFERROR(
  INDEX(Table13[Quartile],
    MATCH(1,
      (Table13[[#This Row],[OrgName]]=Table13[OrgName]) *
      (Table13[[#This Row],[Month Number]]-1=Table13[Month Number]),
    0)
  ),
"")</f>
        <v>ThirdQuartile</v>
      </c>
      <c r="H1155" s="5">
        <f>IF(Table13[[#This Row],[Previous Quartile]]="TopQuartile", 1,
 IF(Table13[[#This Row],[Previous Quartile]]="SecondQuartile", 2,
 IF(Table13[[#This Row],[Previous Quartile]]="ThirdQuartile", 3,
 IF(Table13[[#This Row],[Previous Quartile]]="FourthQuartile", 4, ""))))</f>
        <v>3</v>
      </c>
      <c r="I1155" s="5" t="str">
        <f>IF(Table13[[#This Row],[Previous Quartile Value]]="", "",
   IF(Table13[[#This Row],[Quartile Value]] &lt; Table13[[#This Row],[Previous Quartile Value]], "Improved",
   IF(Table13[[#This Row],[Quartile Value]] &gt; Table13[[#This Row],[Previous Quartile Value]], "Dropped", "Same")))</f>
        <v>Same</v>
      </c>
      <c r="J1155" s="5" t="s">
        <v>14</v>
      </c>
      <c r="K1155" s="7" t="str">
        <f>VLOOKUP(J1155,Introduction!$B$6:$C$14,2)</f>
        <v>South West</v>
      </c>
      <c r="L1155" s="13">
        <v>339</v>
      </c>
      <c r="M1155" s="8" t="s">
        <v>332</v>
      </c>
    </row>
    <row r="1156" spans="1:13" ht="19.95" customHeight="1" x14ac:dyDescent="0.25">
      <c r="A1156" s="40">
        <v>45352</v>
      </c>
      <c r="B1156" s="46">
        <f>MONTH(Table13[[#This Row],[YearMonth]])</f>
        <v>3</v>
      </c>
      <c r="C1156" s="5" t="s">
        <v>205</v>
      </c>
      <c r="D1156" s="6" t="s">
        <v>341</v>
      </c>
      <c r="E1156" s="6">
        <f>IF(Table13[[#This Row],[Quartile]]="TopQuartile", 1,
 IF(Table13[[#This Row],[Quartile]]="SecondQuartile", 2,
 IF(Table13[[#This Row],[Quartile]]="ThirdQuartile", 3,
 IF(Table13[[#This Row],[Quartile]]="FourthQuartile", 4, ""))))</f>
        <v>3</v>
      </c>
      <c r="F1156" s="5" t="s">
        <v>344</v>
      </c>
      <c r="G1156" s="5" t="str" cm="1">
        <f t="array" ref="G1156">IFERROR(
  INDEX(Table13[Quartile],
    MATCH(1,
      (Table13[[#This Row],[OrgName]]=Table13[OrgName]) *
      (Table13[[#This Row],[Month Number]]-1=Table13[Month Number]),
    0)
  ),
"")</f>
        <v>TopQuartile</v>
      </c>
      <c r="H1156" s="5">
        <f>IF(Table13[[#This Row],[Previous Quartile]]="TopQuartile", 1,
 IF(Table13[[#This Row],[Previous Quartile]]="SecondQuartile", 2,
 IF(Table13[[#This Row],[Previous Quartile]]="ThirdQuartile", 3,
 IF(Table13[[#This Row],[Previous Quartile]]="FourthQuartile", 4, ""))))</f>
        <v>1</v>
      </c>
      <c r="I1156" s="5" t="str">
        <f>IF(Table13[[#This Row],[Previous Quartile Value]]="", "",
   IF(Table13[[#This Row],[Quartile Value]] &lt; Table13[[#This Row],[Previous Quartile Value]], "Improved",
   IF(Table13[[#This Row],[Quartile Value]] &gt; Table13[[#This Row],[Previous Quartile Value]], "Dropped", "Same")))</f>
        <v>Dropped</v>
      </c>
      <c r="J1156" s="5" t="s">
        <v>24</v>
      </c>
      <c r="K1156" s="7" t="str">
        <f>VLOOKUP(J1156,Introduction!$B$6:$C$14,2)</f>
        <v>North East and Yorkshire</v>
      </c>
      <c r="L1156" s="13">
        <v>372</v>
      </c>
      <c r="M1156" s="8" t="s">
        <v>332</v>
      </c>
    </row>
    <row r="1157" spans="1:13" ht="19.95" customHeight="1" x14ac:dyDescent="0.25">
      <c r="A1157" s="40">
        <v>45352</v>
      </c>
      <c r="B1157" s="46">
        <f>MONTH(Table13[[#This Row],[YearMonth]])</f>
        <v>3</v>
      </c>
      <c r="C1157" s="5" t="s">
        <v>220</v>
      </c>
      <c r="D1157" s="6" t="s">
        <v>341</v>
      </c>
      <c r="E1157" s="6">
        <f>IF(Table13[[#This Row],[Quartile]]="TopQuartile", 1,
 IF(Table13[[#This Row],[Quartile]]="SecondQuartile", 2,
 IF(Table13[[#This Row],[Quartile]]="ThirdQuartile", 3,
 IF(Table13[[#This Row],[Quartile]]="FourthQuartile", 4, ""))))</f>
        <v>3</v>
      </c>
      <c r="F1157" s="5" t="s">
        <v>346</v>
      </c>
      <c r="G1157" s="5" t="str" cm="1">
        <f t="array" ref="G1157">IFERROR(
  INDEX(Table13[Quartile],
    MATCH(1,
      (Table13[[#This Row],[OrgName]]=Table13[OrgName]) *
      (Table13[[#This Row],[Month Number]]-1=Table13[Month Number]),
    0)
  ),
"")</f>
        <v>ThirdQuartile</v>
      </c>
      <c r="H1157" s="5">
        <f>IF(Table13[[#This Row],[Previous Quartile]]="TopQuartile", 1,
 IF(Table13[[#This Row],[Previous Quartile]]="SecondQuartile", 2,
 IF(Table13[[#This Row],[Previous Quartile]]="ThirdQuartile", 3,
 IF(Table13[[#This Row],[Previous Quartile]]="FourthQuartile", 4, ""))))</f>
        <v>3</v>
      </c>
      <c r="I1157" s="5" t="str">
        <f>IF(Table13[[#This Row],[Previous Quartile Value]]="", "",
   IF(Table13[[#This Row],[Quartile Value]] &lt; Table13[[#This Row],[Previous Quartile Value]], "Improved",
   IF(Table13[[#This Row],[Quartile Value]] &gt; Table13[[#This Row],[Previous Quartile Value]], "Dropped", "Same")))</f>
        <v>Same</v>
      </c>
      <c r="J1157" s="5" t="s">
        <v>16</v>
      </c>
      <c r="K1157" s="7" t="str">
        <f>VLOOKUP(J1157,Introduction!$B$6:$C$14,2)</f>
        <v>South East</v>
      </c>
      <c r="L1157" s="13">
        <v>151</v>
      </c>
      <c r="M1157" s="8" t="s">
        <v>332</v>
      </c>
    </row>
    <row r="1158" spans="1:13" ht="19.95" customHeight="1" x14ac:dyDescent="0.25">
      <c r="A1158" s="40">
        <v>45352</v>
      </c>
      <c r="B1158" s="46">
        <f>MONTH(Table13[[#This Row],[YearMonth]])</f>
        <v>3</v>
      </c>
      <c r="C1158" s="5" t="s">
        <v>237</v>
      </c>
      <c r="D1158" s="6" t="s">
        <v>341</v>
      </c>
      <c r="E1158" s="6">
        <f>IF(Table13[[#This Row],[Quartile]]="TopQuartile", 1,
 IF(Table13[[#This Row],[Quartile]]="SecondQuartile", 2,
 IF(Table13[[#This Row],[Quartile]]="ThirdQuartile", 3,
 IF(Table13[[#This Row],[Quartile]]="FourthQuartile", 4, ""))))</f>
        <v>3</v>
      </c>
      <c r="F1158" s="5" t="s">
        <v>349</v>
      </c>
      <c r="G1158" s="5" t="str" cm="1">
        <f t="array" ref="G1158">IFERROR(
  INDEX(Table13[Quartile],
    MATCH(1,
      (Table13[[#This Row],[OrgName]]=Table13[OrgName]) *
      (Table13[[#This Row],[Month Number]]-1=Table13[Month Number]),
    0)
  ),
"")</f>
        <v>ThirdQuartile</v>
      </c>
      <c r="H1158" s="5">
        <f>IF(Table13[[#This Row],[Previous Quartile]]="TopQuartile", 1,
 IF(Table13[[#This Row],[Previous Quartile]]="SecondQuartile", 2,
 IF(Table13[[#This Row],[Previous Quartile]]="ThirdQuartile", 3,
 IF(Table13[[#This Row],[Previous Quartile]]="FourthQuartile", 4, ""))))</f>
        <v>3</v>
      </c>
      <c r="I1158" s="5" t="str">
        <f>IF(Table13[[#This Row],[Previous Quartile Value]]="", "",
   IF(Table13[[#This Row],[Quartile Value]] &lt; Table13[[#This Row],[Previous Quartile Value]], "Improved",
   IF(Table13[[#This Row],[Quartile Value]] &gt; Table13[[#This Row],[Previous Quartile Value]], "Dropped", "Same")))</f>
        <v>Same</v>
      </c>
      <c r="J1158" s="5" t="s">
        <v>24</v>
      </c>
      <c r="K1158" s="7" t="str">
        <f>VLOOKUP(J1158,Introduction!$B$6:$C$14,2)</f>
        <v>North East and Yorkshire</v>
      </c>
      <c r="L1158" s="13">
        <v>155</v>
      </c>
      <c r="M1158" s="8" t="s">
        <v>332</v>
      </c>
    </row>
    <row r="1159" spans="1:13" ht="19.95" customHeight="1" x14ac:dyDescent="0.25">
      <c r="A1159" s="40">
        <v>45352</v>
      </c>
      <c r="B1159" s="46">
        <f>MONTH(Table13[[#This Row],[YearMonth]])</f>
        <v>3</v>
      </c>
      <c r="C1159" s="5" t="s">
        <v>236</v>
      </c>
      <c r="D1159" s="6" t="s">
        <v>341</v>
      </c>
      <c r="E1159" s="6">
        <f>IF(Table13[[#This Row],[Quartile]]="TopQuartile", 1,
 IF(Table13[[#This Row],[Quartile]]="SecondQuartile", 2,
 IF(Table13[[#This Row],[Quartile]]="ThirdQuartile", 3,
 IF(Table13[[#This Row],[Quartile]]="FourthQuartile", 4, ""))))</f>
        <v>3</v>
      </c>
      <c r="F1159" s="5" t="s">
        <v>348</v>
      </c>
      <c r="G1159" s="5" t="str" cm="1">
        <f t="array" ref="G1159">IFERROR(
  INDEX(Table13[Quartile],
    MATCH(1,
      (Table13[[#This Row],[OrgName]]=Table13[OrgName]) *
      (Table13[[#This Row],[Month Number]]-1=Table13[Month Number]),
    0)
  ),
"")</f>
        <v>ThirdQuartile</v>
      </c>
      <c r="H1159" s="5">
        <f>IF(Table13[[#This Row],[Previous Quartile]]="TopQuartile", 1,
 IF(Table13[[#This Row],[Previous Quartile]]="SecondQuartile", 2,
 IF(Table13[[#This Row],[Previous Quartile]]="ThirdQuartile", 3,
 IF(Table13[[#This Row],[Previous Quartile]]="FourthQuartile", 4, ""))))</f>
        <v>3</v>
      </c>
      <c r="I1159" s="5" t="str">
        <f>IF(Table13[[#This Row],[Previous Quartile Value]]="", "",
   IF(Table13[[#This Row],[Quartile Value]] &lt; Table13[[#This Row],[Previous Quartile Value]], "Improved",
   IF(Table13[[#This Row],[Quartile Value]] &gt; Table13[[#This Row],[Previous Quartile Value]], "Dropped", "Same")))</f>
        <v>Same</v>
      </c>
      <c r="J1159" s="5" t="s">
        <v>18</v>
      </c>
      <c r="K1159" s="7" t="str">
        <f>VLOOKUP(J1159,Introduction!$B$6:$C$14,2)</f>
        <v>Midlands</v>
      </c>
      <c r="L1159" s="13">
        <v>365</v>
      </c>
      <c r="M1159" s="8" t="s">
        <v>332</v>
      </c>
    </row>
    <row r="1160" spans="1:13" ht="19.95" customHeight="1" x14ac:dyDescent="0.25">
      <c r="A1160" s="40">
        <v>45352</v>
      </c>
      <c r="B1160" s="46">
        <f>MONTH(Table13[[#This Row],[YearMonth]])</f>
        <v>3</v>
      </c>
      <c r="C1160" s="5" t="s">
        <v>200</v>
      </c>
      <c r="D1160" s="6" t="s">
        <v>350</v>
      </c>
      <c r="E1160" s="6">
        <f>IF(Table13[[#This Row],[Quartile]]="TopQuartile", 1,
 IF(Table13[[#This Row],[Quartile]]="SecondQuartile", 2,
 IF(Table13[[#This Row],[Quartile]]="ThirdQuartile", 3,
 IF(Table13[[#This Row],[Quartile]]="FourthQuartile", 4, ""))))</f>
        <v>4</v>
      </c>
      <c r="F1160" s="5" t="s">
        <v>343</v>
      </c>
      <c r="G1160" s="5" t="str" cm="1">
        <f t="array" ref="G1160">IFERROR(
  INDEX(Table13[Quartile],
    MATCH(1,
      (Table13[[#This Row],[OrgName]]=Table13[OrgName]) *
      (Table13[[#This Row],[Month Number]]-1=Table13[Month Number]),
    0)
  ),
"")</f>
        <v>FourthQuartile</v>
      </c>
      <c r="H1160" s="5">
        <f>IF(Table13[[#This Row],[Previous Quartile]]="TopQuartile", 1,
 IF(Table13[[#This Row],[Previous Quartile]]="SecondQuartile", 2,
 IF(Table13[[#This Row],[Previous Quartile]]="ThirdQuartile", 3,
 IF(Table13[[#This Row],[Previous Quartile]]="FourthQuartile", 4, ""))))</f>
        <v>4</v>
      </c>
      <c r="I1160" s="5" t="str">
        <f>IF(Table13[[#This Row],[Previous Quartile Value]]="", "",
   IF(Table13[[#This Row],[Quartile Value]] &lt; Table13[[#This Row],[Previous Quartile Value]], "Improved",
   IF(Table13[[#This Row],[Quartile Value]] &gt; Table13[[#This Row],[Previous Quartile Value]], "Dropped", "Same")))</f>
        <v>Same</v>
      </c>
      <c r="J1160" s="5" t="s">
        <v>20</v>
      </c>
      <c r="K1160" s="7" t="str">
        <f>VLOOKUP(J1160,Introduction!$B$6:$C$14,2)</f>
        <v>East of England</v>
      </c>
      <c r="L1160" s="13">
        <v>361</v>
      </c>
      <c r="M1160" s="8" t="s">
        <v>332</v>
      </c>
    </row>
    <row r="1161" spans="1:13" ht="19.95" customHeight="1" x14ac:dyDescent="0.25">
      <c r="A1161" s="40">
        <v>45352</v>
      </c>
      <c r="B1161" s="46">
        <f>MONTH(Table13[[#This Row],[YearMonth]])</f>
        <v>3</v>
      </c>
      <c r="C1161" s="5" t="s">
        <v>254</v>
      </c>
      <c r="D1161" s="6" t="s">
        <v>350</v>
      </c>
      <c r="E1161" s="6">
        <f>IF(Table13[[#This Row],[Quartile]]="TopQuartile", 1,
 IF(Table13[[#This Row],[Quartile]]="SecondQuartile", 2,
 IF(Table13[[#This Row],[Quartile]]="ThirdQuartile", 3,
 IF(Table13[[#This Row],[Quartile]]="FourthQuartile", 4, ""))))</f>
        <v>4</v>
      </c>
      <c r="F1161" s="5" t="s">
        <v>352</v>
      </c>
      <c r="G1161" s="5" t="str" cm="1">
        <f t="array" ref="G1161">IFERROR(
  INDEX(Table13[Quartile],
    MATCH(1,
      (Table13[[#This Row],[OrgName]]=Table13[OrgName]) *
      (Table13[[#This Row],[Month Number]]-1=Table13[Month Number]),
    0)
  ),
"")</f>
        <v>FourthQuartile</v>
      </c>
      <c r="H1161" s="5">
        <f>IF(Table13[[#This Row],[Previous Quartile]]="TopQuartile", 1,
 IF(Table13[[#This Row],[Previous Quartile]]="SecondQuartile", 2,
 IF(Table13[[#This Row],[Previous Quartile]]="ThirdQuartile", 3,
 IF(Table13[[#This Row],[Previous Quartile]]="FourthQuartile", 4, ""))))</f>
        <v>4</v>
      </c>
      <c r="I1161" s="5" t="str">
        <f>IF(Table13[[#This Row],[Previous Quartile Value]]="", "",
   IF(Table13[[#This Row],[Quartile Value]] &lt; Table13[[#This Row],[Previous Quartile Value]], "Improved",
   IF(Table13[[#This Row],[Quartile Value]] &gt; Table13[[#This Row],[Previous Quartile Value]], "Dropped", "Same")))</f>
        <v>Same</v>
      </c>
      <c r="J1161" s="5" t="s">
        <v>22</v>
      </c>
      <c r="K1161" s="7" t="str">
        <f>VLOOKUP(J1161,Introduction!$B$6:$C$14,2)</f>
        <v>North West</v>
      </c>
      <c r="L1161" s="13">
        <v>435</v>
      </c>
      <c r="M1161" s="8" t="s">
        <v>332</v>
      </c>
    </row>
    <row r="1162" spans="1:13" ht="19.95" customHeight="1" x14ac:dyDescent="0.25">
      <c r="A1162" s="40">
        <v>45352</v>
      </c>
      <c r="B1162" s="46">
        <f>MONTH(Table13[[#This Row],[YearMonth]])</f>
        <v>3</v>
      </c>
      <c r="C1162" s="5" t="s">
        <v>257</v>
      </c>
      <c r="D1162" s="6" t="s">
        <v>350</v>
      </c>
      <c r="E1162" s="6">
        <f>IF(Table13[[#This Row],[Quartile]]="TopQuartile", 1,
 IF(Table13[[#This Row],[Quartile]]="SecondQuartile", 2,
 IF(Table13[[#This Row],[Quartile]]="ThirdQuartile", 3,
 IF(Table13[[#This Row],[Quartile]]="FourthQuartile", 4, ""))))</f>
        <v>4</v>
      </c>
      <c r="F1162" s="5" t="s">
        <v>353</v>
      </c>
      <c r="G1162" s="5" t="str" cm="1">
        <f t="array" ref="G1162">IFERROR(
  INDEX(Table13[Quartile],
    MATCH(1,
      (Table13[[#This Row],[OrgName]]=Table13[OrgName]) *
      (Table13[[#This Row],[Month Number]]-1=Table13[Month Number]),
    0)
  ),
"")</f>
        <v>FourthQuartile</v>
      </c>
      <c r="H1162" s="5">
        <f>IF(Table13[[#This Row],[Previous Quartile]]="TopQuartile", 1,
 IF(Table13[[#This Row],[Previous Quartile]]="SecondQuartile", 2,
 IF(Table13[[#This Row],[Previous Quartile]]="ThirdQuartile", 3,
 IF(Table13[[#This Row],[Previous Quartile]]="FourthQuartile", 4, ""))))</f>
        <v>4</v>
      </c>
      <c r="I1162" s="5" t="str">
        <f>IF(Table13[[#This Row],[Previous Quartile Value]]="", "",
   IF(Table13[[#This Row],[Quartile Value]] &lt; Table13[[#This Row],[Previous Quartile Value]], "Improved",
   IF(Table13[[#This Row],[Quartile Value]] &gt; Table13[[#This Row],[Previous Quartile Value]], "Dropped", "Same")))</f>
        <v>Same</v>
      </c>
      <c r="J1162" s="5" t="s">
        <v>14</v>
      </c>
      <c r="K1162" s="7" t="str">
        <f>VLOOKUP(J1162,Introduction!$B$6:$C$14,2)</f>
        <v>South West</v>
      </c>
      <c r="L1162" s="13">
        <v>185</v>
      </c>
      <c r="M1162" s="8" t="s">
        <v>332</v>
      </c>
    </row>
    <row r="1163" spans="1:13" ht="19.95" customHeight="1" x14ac:dyDescent="0.25">
      <c r="A1163" s="40">
        <v>45352</v>
      </c>
      <c r="B1163" s="46">
        <f>MONTH(Table13[[#This Row],[YearMonth]])</f>
        <v>3</v>
      </c>
      <c r="C1163" s="5" t="s">
        <v>214</v>
      </c>
      <c r="D1163" s="6" t="s">
        <v>350</v>
      </c>
      <c r="E1163" s="6">
        <f>IF(Table13[[#This Row],[Quartile]]="TopQuartile", 1,
 IF(Table13[[#This Row],[Quartile]]="SecondQuartile", 2,
 IF(Table13[[#This Row],[Quartile]]="ThirdQuartile", 3,
 IF(Table13[[#This Row],[Quartile]]="FourthQuartile", 4, ""))))</f>
        <v>4</v>
      </c>
      <c r="F1163" s="5" t="s">
        <v>345</v>
      </c>
      <c r="G1163" s="5" t="str" cm="1">
        <f t="array" ref="G1163">IFERROR(
  INDEX(Table13[Quartile],
    MATCH(1,
      (Table13[[#This Row],[OrgName]]=Table13[OrgName]) *
      (Table13[[#This Row],[Month Number]]-1=Table13[Month Number]),
    0)
  ),
"")</f>
        <v>FourthQuartile</v>
      </c>
      <c r="H1163" s="5">
        <f>IF(Table13[[#This Row],[Previous Quartile]]="TopQuartile", 1,
 IF(Table13[[#This Row],[Previous Quartile]]="SecondQuartile", 2,
 IF(Table13[[#This Row],[Previous Quartile]]="ThirdQuartile", 3,
 IF(Table13[[#This Row],[Previous Quartile]]="FourthQuartile", 4, ""))))</f>
        <v>4</v>
      </c>
      <c r="I1163" s="5" t="str">
        <f>IF(Table13[[#This Row],[Previous Quartile Value]]="", "",
   IF(Table13[[#This Row],[Quartile Value]] &lt; Table13[[#This Row],[Previous Quartile Value]], "Improved",
   IF(Table13[[#This Row],[Quartile Value]] &gt; Table13[[#This Row],[Previous Quartile Value]], "Dropped", "Same")))</f>
        <v>Same</v>
      </c>
      <c r="J1163" s="5" t="s">
        <v>20</v>
      </c>
      <c r="K1163" s="7" t="str">
        <f>VLOOKUP(J1163,Introduction!$B$6:$C$14,2)</f>
        <v>East of England</v>
      </c>
      <c r="L1163" s="13">
        <v>176</v>
      </c>
      <c r="M1163" s="8" t="s">
        <v>332</v>
      </c>
    </row>
    <row r="1164" spans="1:13" ht="19.95" customHeight="1" x14ac:dyDescent="0.25">
      <c r="A1164" s="40">
        <v>45352</v>
      </c>
      <c r="B1164" s="46">
        <f>MONTH(Table13[[#This Row],[YearMonth]])</f>
        <v>3</v>
      </c>
      <c r="C1164" s="5" t="s">
        <v>270</v>
      </c>
      <c r="D1164" s="6" t="s">
        <v>350</v>
      </c>
      <c r="E1164" s="6">
        <f>IF(Table13[[#This Row],[Quartile]]="TopQuartile", 1,
 IF(Table13[[#This Row],[Quartile]]="SecondQuartile", 2,
 IF(Table13[[#This Row],[Quartile]]="ThirdQuartile", 3,
 IF(Table13[[#This Row],[Quartile]]="FourthQuartile", 4, ""))))</f>
        <v>4</v>
      </c>
      <c r="F1164" s="5" t="s">
        <v>354</v>
      </c>
      <c r="G1164" s="5" t="str" cm="1">
        <f t="array" ref="G1164">IFERROR(
  INDEX(Table13[Quartile],
    MATCH(1,
      (Table13[[#This Row],[OrgName]]=Table13[OrgName]) *
      (Table13[[#This Row],[Month Number]]-1=Table13[Month Number]),
    0)
  ),
"")</f>
        <v>FourthQuartile</v>
      </c>
      <c r="H1164" s="5">
        <f>IF(Table13[[#This Row],[Previous Quartile]]="TopQuartile", 1,
 IF(Table13[[#This Row],[Previous Quartile]]="SecondQuartile", 2,
 IF(Table13[[#This Row],[Previous Quartile]]="ThirdQuartile", 3,
 IF(Table13[[#This Row],[Previous Quartile]]="FourthQuartile", 4, ""))))</f>
        <v>4</v>
      </c>
      <c r="I1164" s="5" t="str">
        <f>IF(Table13[[#This Row],[Previous Quartile Value]]="", "",
   IF(Table13[[#This Row],[Quartile Value]] &lt; Table13[[#This Row],[Previous Quartile Value]], "Improved",
   IF(Table13[[#This Row],[Quartile Value]] &gt; Table13[[#This Row],[Previous Quartile Value]], "Dropped", "Same")))</f>
        <v>Same</v>
      </c>
      <c r="J1164" s="5" t="s">
        <v>16</v>
      </c>
      <c r="K1164" s="7" t="str">
        <f>VLOOKUP(J1164,Introduction!$B$6:$C$14,2)</f>
        <v>South East</v>
      </c>
      <c r="L1164" s="13">
        <v>251</v>
      </c>
      <c r="M1164" s="8" t="s">
        <v>332</v>
      </c>
    </row>
    <row r="1165" spans="1:13" ht="19.95" customHeight="1" x14ac:dyDescent="0.25">
      <c r="A1165" s="40">
        <v>45352</v>
      </c>
      <c r="B1165" s="46">
        <f>MONTH(Table13[[#This Row],[YearMonth]])</f>
        <v>3</v>
      </c>
      <c r="C1165" s="5" t="s">
        <v>283</v>
      </c>
      <c r="D1165" s="6" t="s">
        <v>350</v>
      </c>
      <c r="E1165" s="6">
        <f>IF(Table13[[#This Row],[Quartile]]="TopQuartile", 1,
 IF(Table13[[#This Row],[Quartile]]="SecondQuartile", 2,
 IF(Table13[[#This Row],[Quartile]]="ThirdQuartile", 3,
 IF(Table13[[#This Row],[Quartile]]="FourthQuartile", 4, ""))))</f>
        <v>4</v>
      </c>
      <c r="F1165" s="5" t="s">
        <v>355</v>
      </c>
      <c r="G1165" s="5" t="str" cm="1">
        <f t="array" ref="G1165">IFERROR(
  INDEX(Table13[Quartile],
    MATCH(1,
      (Table13[[#This Row],[OrgName]]=Table13[OrgName]) *
      (Table13[[#This Row],[Month Number]]-1=Table13[Month Number]),
    0)
  ),
"")</f>
        <v>FourthQuartile</v>
      </c>
      <c r="H1165" s="5">
        <f>IF(Table13[[#This Row],[Previous Quartile]]="TopQuartile", 1,
 IF(Table13[[#This Row],[Previous Quartile]]="SecondQuartile", 2,
 IF(Table13[[#This Row],[Previous Quartile]]="ThirdQuartile", 3,
 IF(Table13[[#This Row],[Previous Quartile]]="FourthQuartile", 4, ""))))</f>
        <v>4</v>
      </c>
      <c r="I1165" s="5" t="str">
        <f>IF(Table13[[#This Row],[Previous Quartile Value]]="", "",
   IF(Table13[[#This Row],[Quartile Value]] &lt; Table13[[#This Row],[Previous Quartile Value]], "Improved",
   IF(Table13[[#This Row],[Quartile Value]] &gt; Table13[[#This Row],[Previous Quartile Value]], "Dropped", "Same")))</f>
        <v>Same</v>
      </c>
      <c r="J1165" s="5" t="s">
        <v>16</v>
      </c>
      <c r="K1165" s="7" t="str">
        <f>VLOOKUP(J1165,Introduction!$B$6:$C$14,2)</f>
        <v>South East</v>
      </c>
      <c r="L1165" s="13">
        <v>193</v>
      </c>
      <c r="M1165" s="8" t="s">
        <v>332</v>
      </c>
    </row>
    <row r="1166" spans="1:13" ht="19.95" customHeight="1" x14ac:dyDescent="0.25">
      <c r="A1166" s="40">
        <v>45352</v>
      </c>
      <c r="B1166" s="46">
        <f>MONTH(Table13[[#This Row],[YearMonth]])</f>
        <v>3</v>
      </c>
      <c r="C1166" s="5" t="s">
        <v>246</v>
      </c>
      <c r="D1166" s="6" t="s">
        <v>350</v>
      </c>
      <c r="E1166" s="6">
        <f>IF(Table13[[#This Row],[Quartile]]="TopQuartile", 1,
 IF(Table13[[#This Row],[Quartile]]="SecondQuartile", 2,
 IF(Table13[[#This Row],[Quartile]]="ThirdQuartile", 3,
 IF(Table13[[#This Row],[Quartile]]="FourthQuartile", 4, ""))))</f>
        <v>4</v>
      </c>
      <c r="F1166" s="5" t="s">
        <v>351</v>
      </c>
      <c r="G1166" s="5" t="str" cm="1">
        <f t="array" ref="G1166">IFERROR(
  INDEX(Table13[Quartile],
    MATCH(1,
      (Table13[[#This Row],[OrgName]]=Table13[OrgName]) *
      (Table13[[#This Row],[Month Number]]-1=Table13[Month Number]),
    0)
  ),
"")</f>
        <v>FourthQuartile</v>
      </c>
      <c r="H1166" s="5">
        <f>IF(Table13[[#This Row],[Previous Quartile]]="TopQuartile", 1,
 IF(Table13[[#This Row],[Previous Quartile]]="SecondQuartile", 2,
 IF(Table13[[#This Row],[Previous Quartile]]="ThirdQuartile", 3,
 IF(Table13[[#This Row],[Previous Quartile]]="FourthQuartile", 4, ""))))</f>
        <v>4</v>
      </c>
      <c r="I1166" s="5" t="str">
        <f>IF(Table13[[#This Row],[Previous Quartile Value]]="", "",
   IF(Table13[[#This Row],[Quartile Value]] &lt; Table13[[#This Row],[Previous Quartile Value]], "Improved",
   IF(Table13[[#This Row],[Quartile Value]] &gt; Table13[[#This Row],[Previous Quartile Value]], "Dropped", "Same")))</f>
        <v>Same</v>
      </c>
      <c r="J1166" s="5" t="s">
        <v>14</v>
      </c>
      <c r="K1166" s="7" t="str">
        <f>VLOOKUP(J1166,Introduction!$B$6:$C$14,2)</f>
        <v>South West</v>
      </c>
      <c r="L1166" s="13">
        <v>318</v>
      </c>
      <c r="M1166" s="8" t="s">
        <v>332</v>
      </c>
    </row>
    <row r="1167" spans="1:13" ht="19.95" customHeight="1" x14ac:dyDescent="0.25">
      <c r="A1167" s="40">
        <v>45352</v>
      </c>
      <c r="B1167" s="46">
        <f>MONTH(Table13[[#This Row],[YearMonth]])</f>
        <v>3</v>
      </c>
      <c r="C1167" s="5" t="s">
        <v>290</v>
      </c>
      <c r="D1167" s="6" t="s">
        <v>350</v>
      </c>
      <c r="E1167" s="6">
        <f>IF(Table13[[#This Row],[Quartile]]="TopQuartile", 1,
 IF(Table13[[#This Row],[Quartile]]="SecondQuartile", 2,
 IF(Table13[[#This Row],[Quartile]]="ThirdQuartile", 3,
 IF(Table13[[#This Row],[Quartile]]="FourthQuartile", 4, ""))))</f>
        <v>4</v>
      </c>
      <c r="F1167" s="5" t="s">
        <v>356</v>
      </c>
      <c r="G1167" s="5" t="str" cm="1">
        <f t="array" ref="G1167">IFERROR(
  INDEX(Table13[Quartile],
    MATCH(1,
      (Table13[[#This Row],[OrgName]]=Table13[OrgName]) *
      (Table13[[#This Row],[Month Number]]-1=Table13[Month Number]),
    0)
  ),
"")</f>
        <v>FourthQuartile</v>
      </c>
      <c r="H1167" s="5">
        <f>IF(Table13[[#This Row],[Previous Quartile]]="TopQuartile", 1,
 IF(Table13[[#This Row],[Previous Quartile]]="SecondQuartile", 2,
 IF(Table13[[#This Row],[Previous Quartile]]="ThirdQuartile", 3,
 IF(Table13[[#This Row],[Previous Quartile]]="FourthQuartile", 4, ""))))</f>
        <v>4</v>
      </c>
      <c r="I1167" s="5" t="str">
        <f>IF(Table13[[#This Row],[Previous Quartile Value]]="", "",
   IF(Table13[[#This Row],[Quartile Value]] &lt; Table13[[#This Row],[Previous Quartile Value]], "Improved",
   IF(Table13[[#This Row],[Quartile Value]] &gt; Table13[[#This Row],[Previous Quartile Value]], "Dropped", "Same")))</f>
        <v>Same</v>
      </c>
      <c r="J1167" s="5" t="s">
        <v>18</v>
      </c>
      <c r="K1167" s="7" t="str">
        <f>VLOOKUP(J1167,Introduction!$B$6:$C$14,2)</f>
        <v>Midlands</v>
      </c>
      <c r="L1167" s="13">
        <v>381</v>
      </c>
      <c r="M1167" s="8" t="s">
        <v>332</v>
      </c>
    </row>
    <row r="1168" spans="1:13" ht="19.95" customHeight="1" x14ac:dyDescent="0.25">
      <c r="A1168" s="40">
        <v>45352</v>
      </c>
      <c r="B1168" s="46">
        <f>MONTH(Table13[[#This Row],[YearMonth]])</f>
        <v>3</v>
      </c>
      <c r="C1168" s="5" t="s">
        <v>292</v>
      </c>
      <c r="D1168" s="6" t="s">
        <v>350</v>
      </c>
      <c r="E1168" s="6">
        <f>IF(Table13[[#This Row],[Quartile]]="TopQuartile", 1,
 IF(Table13[[#This Row],[Quartile]]="SecondQuartile", 2,
 IF(Table13[[#This Row],[Quartile]]="ThirdQuartile", 3,
 IF(Table13[[#This Row],[Quartile]]="FourthQuartile", 4, ""))))</f>
        <v>4</v>
      </c>
      <c r="F1168" s="5" t="s">
        <v>357</v>
      </c>
      <c r="G1168" s="5" t="str" cm="1">
        <f t="array" ref="G1168">IFERROR(
  INDEX(Table13[Quartile],
    MATCH(1,
      (Table13[[#This Row],[OrgName]]=Table13[OrgName]) *
      (Table13[[#This Row],[Month Number]]-1=Table13[Month Number]),
    0)
  ),
"")</f>
        <v>FourthQuartile</v>
      </c>
      <c r="H1168" s="5">
        <f>IF(Table13[[#This Row],[Previous Quartile]]="TopQuartile", 1,
 IF(Table13[[#This Row],[Previous Quartile]]="SecondQuartile", 2,
 IF(Table13[[#This Row],[Previous Quartile]]="ThirdQuartile", 3,
 IF(Table13[[#This Row],[Previous Quartile]]="FourthQuartile", 4, ""))))</f>
        <v>4</v>
      </c>
      <c r="I1168" s="5" t="str">
        <f>IF(Table13[[#This Row],[Previous Quartile Value]]="", "",
   IF(Table13[[#This Row],[Quartile Value]] &lt; Table13[[#This Row],[Previous Quartile Value]], "Improved",
   IF(Table13[[#This Row],[Quartile Value]] &gt; Table13[[#This Row],[Previous Quartile Value]], "Dropped", "Same")))</f>
        <v>Same</v>
      </c>
      <c r="J1168" s="5" t="s">
        <v>14</v>
      </c>
      <c r="K1168" s="7" t="str">
        <f>VLOOKUP(J1168,Introduction!$B$6:$C$14,2)</f>
        <v>South West</v>
      </c>
      <c r="L1168" s="13">
        <v>156</v>
      </c>
      <c r="M1168" s="8" t="s">
        <v>332</v>
      </c>
    </row>
    <row r="1169" spans="1:13" ht="19.95" customHeight="1" x14ac:dyDescent="0.25">
      <c r="A1169" s="40">
        <v>45352</v>
      </c>
      <c r="B1169" s="46">
        <f>MONTH(Table13[[#This Row],[YearMonth]])</f>
        <v>3</v>
      </c>
      <c r="C1169" s="5" t="s">
        <v>54</v>
      </c>
      <c r="D1169" s="6" t="s">
        <v>330</v>
      </c>
      <c r="E1169" s="6">
        <f>IF(Table13[[#This Row],[Quartile]]="TopQuartile", 1,
 IF(Table13[[#This Row],[Quartile]]="SecondQuartile", 2,
 IF(Table13[[#This Row],[Quartile]]="ThirdQuartile", 3,
 IF(Table13[[#This Row],[Quartile]]="FourthQuartile", 4, ""))))</f>
        <v>1</v>
      </c>
      <c r="F1169" s="5" t="s">
        <v>361</v>
      </c>
      <c r="G1169" s="5" t="str" cm="1">
        <f t="array" ref="G1169">IFERROR(
  INDEX(Table13[Quartile],
    MATCH(1,
      (Table13[[#This Row],[OrgName]]=Table13[OrgName]) *
      (Table13[[#This Row],[Month Number]]-1=Table13[Month Number]),
    0)
  ),
"")</f>
        <v>TopQuartile</v>
      </c>
      <c r="H1169" s="5">
        <f>IF(Table13[[#This Row],[Previous Quartile]]="TopQuartile", 1,
 IF(Table13[[#This Row],[Previous Quartile]]="SecondQuartile", 2,
 IF(Table13[[#This Row],[Previous Quartile]]="ThirdQuartile", 3,
 IF(Table13[[#This Row],[Previous Quartile]]="FourthQuartile", 4, ""))))</f>
        <v>1</v>
      </c>
      <c r="I1169" s="5" t="str">
        <f>IF(Table13[[#This Row],[Previous Quartile Value]]="", "",
   IF(Table13[[#This Row],[Quartile Value]] &lt; Table13[[#This Row],[Previous Quartile Value]], "Improved",
   IF(Table13[[#This Row],[Quartile Value]] &gt; Table13[[#This Row],[Previous Quartile Value]], "Dropped", "Same")))</f>
        <v>Same</v>
      </c>
      <c r="J1169" s="5" t="s">
        <v>24</v>
      </c>
      <c r="K1169" s="7" t="str">
        <f>VLOOKUP(J1169,Introduction!$B$6:$C$14,2)</f>
        <v>North East and Yorkshire</v>
      </c>
      <c r="L1169" s="13">
        <v>297</v>
      </c>
      <c r="M1169" s="8" t="s">
        <v>359</v>
      </c>
    </row>
    <row r="1170" spans="1:13" ht="19.95" customHeight="1" x14ac:dyDescent="0.25">
      <c r="A1170" s="40">
        <v>45352</v>
      </c>
      <c r="B1170" s="46">
        <f>MONTH(Table13[[#This Row],[YearMonth]])</f>
        <v>3</v>
      </c>
      <c r="C1170" s="5" t="s">
        <v>37</v>
      </c>
      <c r="D1170" s="6" t="s">
        <v>330</v>
      </c>
      <c r="E1170" s="6">
        <f>IF(Table13[[#This Row],[Quartile]]="TopQuartile", 1,
 IF(Table13[[#This Row],[Quartile]]="SecondQuartile", 2,
 IF(Table13[[#This Row],[Quartile]]="ThirdQuartile", 3,
 IF(Table13[[#This Row],[Quartile]]="FourthQuartile", 4, ""))))</f>
        <v>1</v>
      </c>
      <c r="F1170" s="5" t="s">
        <v>358</v>
      </c>
      <c r="G1170" s="5" t="str" cm="1">
        <f t="array" ref="G1170">IFERROR(
  INDEX(Table13[Quartile],
    MATCH(1,
      (Table13[[#This Row],[OrgName]]=Table13[OrgName]) *
      (Table13[[#This Row],[Month Number]]-1=Table13[Month Number]),
    0)
  ),
"")</f>
        <v>TopQuartile</v>
      </c>
      <c r="H1170" s="5">
        <f>IF(Table13[[#This Row],[Previous Quartile]]="TopQuartile", 1,
 IF(Table13[[#This Row],[Previous Quartile]]="SecondQuartile", 2,
 IF(Table13[[#This Row],[Previous Quartile]]="ThirdQuartile", 3,
 IF(Table13[[#This Row],[Previous Quartile]]="FourthQuartile", 4, ""))))</f>
        <v>1</v>
      </c>
      <c r="I1170" s="5" t="str">
        <f>IF(Table13[[#This Row],[Previous Quartile Value]]="", "",
   IF(Table13[[#This Row],[Quartile Value]] &lt; Table13[[#This Row],[Previous Quartile Value]], "Improved",
   IF(Table13[[#This Row],[Quartile Value]] &gt; Table13[[#This Row],[Previous Quartile Value]], "Dropped", "Same")))</f>
        <v>Same</v>
      </c>
      <c r="J1170" s="5" t="s">
        <v>18</v>
      </c>
      <c r="K1170" s="7" t="str">
        <f>VLOOKUP(J1170,Introduction!$B$6:$C$14,2)</f>
        <v>Midlands</v>
      </c>
      <c r="L1170" s="13">
        <v>223</v>
      </c>
      <c r="M1170" s="8" t="s">
        <v>359</v>
      </c>
    </row>
    <row r="1171" spans="1:13" ht="19.95" customHeight="1" x14ac:dyDescent="0.25">
      <c r="A1171" s="40">
        <v>45352</v>
      </c>
      <c r="B1171" s="46">
        <f>MONTH(Table13[[#This Row],[YearMonth]])</f>
        <v>3</v>
      </c>
      <c r="C1171" s="5" t="s">
        <v>59</v>
      </c>
      <c r="D1171" s="6" t="s">
        <v>330</v>
      </c>
      <c r="E1171" s="6">
        <f>IF(Table13[[#This Row],[Quartile]]="TopQuartile", 1,
 IF(Table13[[#This Row],[Quartile]]="SecondQuartile", 2,
 IF(Table13[[#This Row],[Quartile]]="ThirdQuartile", 3,
 IF(Table13[[#This Row],[Quartile]]="FourthQuartile", 4, ""))))</f>
        <v>1</v>
      </c>
      <c r="F1171" s="5" t="s">
        <v>363</v>
      </c>
      <c r="G1171" s="5" t="str" cm="1">
        <f t="array" ref="G1171">IFERROR(
  INDEX(Table13[Quartile],
    MATCH(1,
      (Table13[[#This Row],[OrgName]]=Table13[OrgName]) *
      (Table13[[#This Row],[Month Number]]-1=Table13[Month Number]),
    0)
  ),
"")</f>
        <v>TopQuartile</v>
      </c>
      <c r="H1171" s="5">
        <f>IF(Table13[[#This Row],[Previous Quartile]]="TopQuartile", 1,
 IF(Table13[[#This Row],[Previous Quartile]]="SecondQuartile", 2,
 IF(Table13[[#This Row],[Previous Quartile]]="ThirdQuartile", 3,
 IF(Table13[[#This Row],[Previous Quartile]]="FourthQuartile", 4, ""))))</f>
        <v>1</v>
      </c>
      <c r="I1171" s="5" t="str">
        <f>IF(Table13[[#This Row],[Previous Quartile Value]]="", "",
   IF(Table13[[#This Row],[Quartile Value]] &lt; Table13[[#This Row],[Previous Quartile Value]], "Improved",
   IF(Table13[[#This Row],[Quartile Value]] &gt; Table13[[#This Row],[Previous Quartile Value]], "Dropped", "Same")))</f>
        <v>Same</v>
      </c>
      <c r="J1171" s="5" t="s">
        <v>24</v>
      </c>
      <c r="K1171" s="7" t="str">
        <f>VLOOKUP(J1171,Introduction!$B$6:$C$14,2)</f>
        <v>North East and Yorkshire</v>
      </c>
      <c r="L1171" s="13">
        <v>208</v>
      </c>
      <c r="M1171" s="8" t="s">
        <v>359</v>
      </c>
    </row>
    <row r="1172" spans="1:13" ht="19.95" customHeight="1" x14ac:dyDescent="0.25">
      <c r="A1172" s="40">
        <v>45352</v>
      </c>
      <c r="B1172" s="46">
        <f>MONTH(Table13[[#This Row],[YearMonth]])</f>
        <v>3</v>
      </c>
      <c r="C1172" s="5" t="s">
        <v>50</v>
      </c>
      <c r="D1172" s="6" t="s">
        <v>330</v>
      </c>
      <c r="E1172" s="6">
        <f>IF(Table13[[#This Row],[Quartile]]="TopQuartile", 1,
 IF(Table13[[#This Row],[Quartile]]="SecondQuartile", 2,
 IF(Table13[[#This Row],[Quartile]]="ThirdQuartile", 3,
 IF(Table13[[#This Row],[Quartile]]="FourthQuartile", 4, ""))))</f>
        <v>1</v>
      </c>
      <c r="F1172" s="5" t="s">
        <v>360</v>
      </c>
      <c r="G1172" s="5" t="str" cm="1">
        <f t="array" ref="G1172">IFERROR(
  INDEX(Table13[Quartile],
    MATCH(1,
      (Table13[[#This Row],[OrgName]]=Table13[OrgName]) *
      (Table13[[#This Row],[Month Number]]-1=Table13[Month Number]),
    0)
  ),
"")</f>
        <v>TopQuartile</v>
      </c>
      <c r="H1172" s="5">
        <f>IF(Table13[[#This Row],[Previous Quartile]]="TopQuartile", 1,
 IF(Table13[[#This Row],[Previous Quartile]]="SecondQuartile", 2,
 IF(Table13[[#This Row],[Previous Quartile]]="ThirdQuartile", 3,
 IF(Table13[[#This Row],[Previous Quartile]]="FourthQuartile", 4, ""))))</f>
        <v>1</v>
      </c>
      <c r="I1172" s="5" t="str">
        <f>IF(Table13[[#This Row],[Previous Quartile Value]]="", "",
   IF(Table13[[#This Row],[Quartile Value]] &lt; Table13[[#This Row],[Previous Quartile Value]], "Improved",
   IF(Table13[[#This Row],[Quartile Value]] &gt; Table13[[#This Row],[Previous Quartile Value]], "Dropped", "Same")))</f>
        <v>Same</v>
      </c>
      <c r="J1172" s="5" t="s">
        <v>12</v>
      </c>
      <c r="K1172" s="7" t="str">
        <f>VLOOKUP(J1172,Introduction!$B$6:$C$14,2)</f>
        <v>London</v>
      </c>
      <c r="L1172" s="13">
        <v>199</v>
      </c>
      <c r="M1172" s="8" t="s">
        <v>359</v>
      </c>
    </row>
    <row r="1173" spans="1:13" ht="19.95" customHeight="1" x14ac:dyDescent="0.25">
      <c r="A1173" s="40">
        <v>45352</v>
      </c>
      <c r="B1173" s="46">
        <f>MONTH(Table13[[#This Row],[YearMonth]])</f>
        <v>3</v>
      </c>
      <c r="C1173" s="5" t="s">
        <v>105</v>
      </c>
      <c r="D1173" s="6" t="s">
        <v>330</v>
      </c>
      <c r="E1173" s="6">
        <f>IF(Table13[[#This Row],[Quartile]]="TopQuartile", 1,
 IF(Table13[[#This Row],[Quartile]]="SecondQuartile", 2,
 IF(Table13[[#This Row],[Quartile]]="ThirdQuartile", 3,
 IF(Table13[[#This Row],[Quartile]]="FourthQuartile", 4, ""))))</f>
        <v>1</v>
      </c>
      <c r="F1173" s="5" t="s">
        <v>365</v>
      </c>
      <c r="G1173" s="5" t="str" cm="1">
        <f t="array" ref="G1173">IFERROR(
  INDEX(Table13[Quartile],
    MATCH(1,
      (Table13[[#This Row],[OrgName]]=Table13[OrgName]) *
      (Table13[[#This Row],[Month Number]]-1=Table13[Month Number]),
    0)
  ),
"")</f>
        <v>SecondQuartile</v>
      </c>
      <c r="H1173" s="5">
        <f>IF(Table13[[#This Row],[Previous Quartile]]="TopQuartile", 1,
 IF(Table13[[#This Row],[Previous Quartile]]="SecondQuartile", 2,
 IF(Table13[[#This Row],[Previous Quartile]]="ThirdQuartile", 3,
 IF(Table13[[#This Row],[Previous Quartile]]="FourthQuartile", 4, ""))))</f>
        <v>2</v>
      </c>
      <c r="I1173" s="5" t="str">
        <f>IF(Table13[[#This Row],[Previous Quartile Value]]="", "",
   IF(Table13[[#This Row],[Quartile Value]] &lt; Table13[[#This Row],[Previous Quartile Value]], "Improved",
   IF(Table13[[#This Row],[Quartile Value]] &gt; Table13[[#This Row],[Previous Quartile Value]], "Dropped", "Same")))</f>
        <v>Improved</v>
      </c>
      <c r="J1173" s="5" t="s">
        <v>12</v>
      </c>
      <c r="K1173" s="7" t="str">
        <f>VLOOKUP(J1173,Introduction!$B$6:$C$14,2)</f>
        <v>London</v>
      </c>
      <c r="L1173" s="13">
        <v>396</v>
      </c>
      <c r="M1173" s="8" t="s">
        <v>359</v>
      </c>
    </row>
    <row r="1174" spans="1:13" ht="19.95" customHeight="1" x14ac:dyDescent="0.25">
      <c r="A1174" s="40">
        <v>45352</v>
      </c>
      <c r="B1174" s="46">
        <f>MONTH(Table13[[#This Row],[YearMonth]])</f>
        <v>3</v>
      </c>
      <c r="C1174" s="5" t="s">
        <v>129</v>
      </c>
      <c r="D1174" s="6" t="s">
        <v>338</v>
      </c>
      <c r="E1174" s="6">
        <f>IF(Table13[[#This Row],[Quartile]]="TopQuartile", 1,
 IF(Table13[[#This Row],[Quartile]]="SecondQuartile", 2,
 IF(Table13[[#This Row],[Quartile]]="ThirdQuartile", 3,
 IF(Table13[[#This Row],[Quartile]]="FourthQuartile", 4, ""))))</f>
        <v>2</v>
      </c>
      <c r="F1174" s="5" t="s">
        <v>367</v>
      </c>
      <c r="G1174" s="5" t="str" cm="1">
        <f t="array" ref="G1174">IFERROR(
  INDEX(Table13[Quartile],
    MATCH(1,
      (Table13[[#This Row],[OrgName]]=Table13[OrgName]) *
      (Table13[[#This Row],[Month Number]]-1=Table13[Month Number]),
    0)
  ),
"")</f>
        <v>SecondQuartile</v>
      </c>
      <c r="H1174" s="5">
        <f>IF(Table13[[#This Row],[Previous Quartile]]="TopQuartile", 1,
 IF(Table13[[#This Row],[Previous Quartile]]="SecondQuartile", 2,
 IF(Table13[[#This Row],[Previous Quartile]]="ThirdQuartile", 3,
 IF(Table13[[#This Row],[Previous Quartile]]="FourthQuartile", 4, ""))))</f>
        <v>2</v>
      </c>
      <c r="I1174" s="5" t="str">
        <f>IF(Table13[[#This Row],[Previous Quartile Value]]="", "",
   IF(Table13[[#This Row],[Quartile Value]] &lt; Table13[[#This Row],[Previous Quartile Value]], "Improved",
   IF(Table13[[#This Row],[Quartile Value]] &gt; Table13[[#This Row],[Previous Quartile Value]], "Dropped", "Same")))</f>
        <v>Same</v>
      </c>
      <c r="J1174" s="5" t="s">
        <v>18</v>
      </c>
      <c r="K1174" s="7" t="str">
        <f>VLOOKUP(J1174,Introduction!$B$6:$C$14,2)</f>
        <v>Midlands</v>
      </c>
      <c r="L1174" s="13">
        <v>265</v>
      </c>
      <c r="M1174" s="8" t="s">
        <v>359</v>
      </c>
    </row>
    <row r="1175" spans="1:13" ht="19.95" customHeight="1" x14ac:dyDescent="0.25">
      <c r="A1175" s="40">
        <v>45352</v>
      </c>
      <c r="B1175" s="46">
        <f>MONTH(Table13[[#This Row],[YearMonth]])</f>
        <v>3</v>
      </c>
      <c r="C1175" s="5" t="s">
        <v>136</v>
      </c>
      <c r="D1175" s="6" t="s">
        <v>338</v>
      </c>
      <c r="E1175" s="6">
        <f>IF(Table13[[#This Row],[Quartile]]="TopQuartile", 1,
 IF(Table13[[#This Row],[Quartile]]="SecondQuartile", 2,
 IF(Table13[[#This Row],[Quartile]]="ThirdQuartile", 3,
 IF(Table13[[#This Row],[Quartile]]="FourthQuartile", 4, ""))))</f>
        <v>2</v>
      </c>
      <c r="F1175" s="5" t="s">
        <v>368</v>
      </c>
      <c r="G1175" s="5" t="str" cm="1">
        <f t="array" ref="G1175">IFERROR(
  INDEX(Table13[Quartile],
    MATCH(1,
      (Table13[[#This Row],[OrgName]]=Table13[OrgName]) *
      (Table13[[#This Row],[Month Number]]-1=Table13[Month Number]),
    0)
  ),
"")</f>
        <v>SecondQuartile</v>
      </c>
      <c r="H1175" s="5">
        <f>IF(Table13[[#This Row],[Previous Quartile]]="TopQuartile", 1,
 IF(Table13[[#This Row],[Previous Quartile]]="SecondQuartile", 2,
 IF(Table13[[#This Row],[Previous Quartile]]="ThirdQuartile", 3,
 IF(Table13[[#This Row],[Previous Quartile]]="FourthQuartile", 4, ""))))</f>
        <v>2</v>
      </c>
      <c r="I1175" s="5" t="str">
        <f>IF(Table13[[#This Row],[Previous Quartile Value]]="", "",
   IF(Table13[[#This Row],[Quartile Value]] &lt; Table13[[#This Row],[Previous Quartile Value]], "Improved",
   IF(Table13[[#This Row],[Quartile Value]] &gt; Table13[[#This Row],[Previous Quartile Value]], "Dropped", "Same")))</f>
        <v>Same</v>
      </c>
      <c r="J1175" s="5" t="s">
        <v>16</v>
      </c>
      <c r="K1175" s="7" t="str">
        <f>VLOOKUP(J1175,Introduction!$B$6:$C$14,2)</f>
        <v>South East</v>
      </c>
      <c r="L1175" s="13">
        <v>326</v>
      </c>
      <c r="M1175" s="8" t="s">
        <v>359</v>
      </c>
    </row>
    <row r="1176" spans="1:13" ht="19.95" customHeight="1" x14ac:dyDescent="0.25">
      <c r="A1176" s="40">
        <v>45352</v>
      </c>
      <c r="B1176" s="46">
        <f>MONTH(Table13[[#This Row],[YearMonth]])</f>
        <v>3</v>
      </c>
      <c r="C1176" s="5" t="s">
        <v>55</v>
      </c>
      <c r="D1176" s="6" t="s">
        <v>338</v>
      </c>
      <c r="E1176" s="6">
        <f>IF(Table13[[#This Row],[Quartile]]="TopQuartile", 1,
 IF(Table13[[#This Row],[Quartile]]="SecondQuartile", 2,
 IF(Table13[[#This Row],[Quartile]]="ThirdQuartile", 3,
 IF(Table13[[#This Row],[Quartile]]="FourthQuartile", 4, ""))))</f>
        <v>2</v>
      </c>
      <c r="F1176" s="5" t="s">
        <v>362</v>
      </c>
      <c r="G1176" s="5" t="str" cm="1">
        <f t="array" ref="G1176">IFERROR(
  INDEX(Table13[Quartile],
    MATCH(1,
      (Table13[[#This Row],[OrgName]]=Table13[OrgName]) *
      (Table13[[#This Row],[Month Number]]-1=Table13[Month Number]),
    0)
  ),
"")</f>
        <v>SecondQuartile</v>
      </c>
      <c r="H1176" s="5">
        <f>IF(Table13[[#This Row],[Previous Quartile]]="TopQuartile", 1,
 IF(Table13[[#This Row],[Previous Quartile]]="SecondQuartile", 2,
 IF(Table13[[#This Row],[Previous Quartile]]="ThirdQuartile", 3,
 IF(Table13[[#This Row],[Previous Quartile]]="FourthQuartile", 4, ""))))</f>
        <v>2</v>
      </c>
      <c r="I1176" s="5" t="str">
        <f>IF(Table13[[#This Row],[Previous Quartile Value]]="", "",
   IF(Table13[[#This Row],[Quartile Value]] &lt; Table13[[#This Row],[Previous Quartile Value]], "Improved",
   IF(Table13[[#This Row],[Quartile Value]] &gt; Table13[[#This Row],[Previous Quartile Value]], "Dropped", "Same")))</f>
        <v>Same</v>
      </c>
      <c r="J1176" s="5" t="s">
        <v>18</v>
      </c>
      <c r="K1176" s="7" t="str">
        <f>VLOOKUP(J1176,Introduction!$B$6:$C$14,2)</f>
        <v>Midlands</v>
      </c>
      <c r="L1176" s="13">
        <v>214</v>
      </c>
      <c r="M1176" s="8" t="s">
        <v>359</v>
      </c>
    </row>
    <row r="1177" spans="1:13" ht="19.95" customHeight="1" x14ac:dyDescent="0.25">
      <c r="A1177" s="40">
        <v>45352</v>
      </c>
      <c r="B1177" s="46">
        <f>MONTH(Table13[[#This Row],[YearMonth]])</f>
        <v>3</v>
      </c>
      <c r="C1177" s="5" t="s">
        <v>97</v>
      </c>
      <c r="D1177" s="6" t="s">
        <v>338</v>
      </c>
      <c r="E1177" s="6">
        <f>IF(Table13[[#This Row],[Quartile]]="TopQuartile", 1,
 IF(Table13[[#This Row],[Quartile]]="SecondQuartile", 2,
 IF(Table13[[#This Row],[Quartile]]="ThirdQuartile", 3,
 IF(Table13[[#This Row],[Quartile]]="FourthQuartile", 4, ""))))</f>
        <v>2</v>
      </c>
      <c r="F1177" s="5" t="s">
        <v>364</v>
      </c>
      <c r="G1177" s="5" t="str" cm="1">
        <f t="array" ref="G1177">IFERROR(
  INDEX(Table13[Quartile],
    MATCH(1,
      (Table13[[#This Row],[OrgName]]=Table13[OrgName]) *
      (Table13[[#This Row],[Month Number]]-1=Table13[Month Number]),
    0)
  ),
"")</f>
        <v>SecondQuartile</v>
      </c>
      <c r="H1177" s="5">
        <f>IF(Table13[[#This Row],[Previous Quartile]]="TopQuartile", 1,
 IF(Table13[[#This Row],[Previous Quartile]]="SecondQuartile", 2,
 IF(Table13[[#This Row],[Previous Quartile]]="ThirdQuartile", 3,
 IF(Table13[[#This Row],[Previous Quartile]]="FourthQuartile", 4, ""))))</f>
        <v>2</v>
      </c>
      <c r="I1177" s="5" t="str">
        <f>IF(Table13[[#This Row],[Previous Quartile Value]]="", "",
   IF(Table13[[#This Row],[Quartile Value]] &lt; Table13[[#This Row],[Previous Quartile Value]], "Improved",
   IF(Table13[[#This Row],[Quartile Value]] &gt; Table13[[#This Row],[Previous Quartile Value]], "Dropped", "Same")))</f>
        <v>Same</v>
      </c>
      <c r="J1177" s="5" t="s">
        <v>14</v>
      </c>
      <c r="K1177" s="7" t="str">
        <f>VLOOKUP(J1177,Introduction!$B$6:$C$14,2)</f>
        <v>South West</v>
      </c>
      <c r="L1177" s="13">
        <v>427</v>
      </c>
      <c r="M1177" s="8" t="s">
        <v>359</v>
      </c>
    </row>
    <row r="1178" spans="1:13" ht="19.95" customHeight="1" x14ac:dyDescent="0.25">
      <c r="A1178" s="40">
        <v>45352</v>
      </c>
      <c r="B1178" s="46">
        <f>MONTH(Table13[[#This Row],[YearMonth]])</f>
        <v>3</v>
      </c>
      <c r="C1178" s="5" t="s">
        <v>173</v>
      </c>
      <c r="D1178" s="6" t="s">
        <v>338</v>
      </c>
      <c r="E1178" s="6">
        <f>IF(Table13[[#This Row],[Quartile]]="TopQuartile", 1,
 IF(Table13[[#This Row],[Quartile]]="SecondQuartile", 2,
 IF(Table13[[#This Row],[Quartile]]="ThirdQuartile", 3,
 IF(Table13[[#This Row],[Quartile]]="FourthQuartile", 4, ""))))</f>
        <v>2</v>
      </c>
      <c r="F1178" s="5" t="s">
        <v>371</v>
      </c>
      <c r="G1178" s="5" t="str" cm="1">
        <f t="array" ref="G1178">IFERROR(
  INDEX(Table13[Quartile],
    MATCH(1,
      (Table13[[#This Row],[OrgName]]=Table13[OrgName]) *
      (Table13[[#This Row],[Month Number]]-1=Table13[Month Number]),
    0)
  ),
"")</f>
        <v>TopQuartile</v>
      </c>
      <c r="H1178" s="5">
        <f>IF(Table13[[#This Row],[Previous Quartile]]="TopQuartile", 1,
 IF(Table13[[#This Row],[Previous Quartile]]="SecondQuartile", 2,
 IF(Table13[[#This Row],[Previous Quartile]]="ThirdQuartile", 3,
 IF(Table13[[#This Row],[Previous Quartile]]="FourthQuartile", 4, ""))))</f>
        <v>1</v>
      </c>
      <c r="I1178" s="5" t="str">
        <f>IF(Table13[[#This Row],[Previous Quartile Value]]="", "",
   IF(Table13[[#This Row],[Quartile Value]] &lt; Table13[[#This Row],[Previous Quartile Value]], "Improved",
   IF(Table13[[#This Row],[Quartile Value]] &gt; Table13[[#This Row],[Previous Quartile Value]], "Dropped", "Same")))</f>
        <v>Dropped</v>
      </c>
      <c r="J1178" s="5" t="s">
        <v>22</v>
      </c>
      <c r="K1178" s="7" t="str">
        <f>VLOOKUP(J1178,Introduction!$B$6:$C$14,2)</f>
        <v>North West</v>
      </c>
      <c r="L1178" s="13">
        <v>241</v>
      </c>
      <c r="M1178" s="8" t="s">
        <v>359</v>
      </c>
    </row>
    <row r="1179" spans="1:13" ht="19.95" customHeight="1" x14ac:dyDescent="0.25">
      <c r="A1179" s="40">
        <v>45352</v>
      </c>
      <c r="B1179" s="46">
        <f>MONTH(Table13[[#This Row],[YearMonth]])</f>
        <v>3</v>
      </c>
      <c r="C1179" s="5" t="s">
        <v>169</v>
      </c>
      <c r="D1179" s="6" t="s">
        <v>338</v>
      </c>
      <c r="E1179" s="6">
        <f>IF(Table13[[#This Row],[Quartile]]="TopQuartile", 1,
 IF(Table13[[#This Row],[Quartile]]="SecondQuartile", 2,
 IF(Table13[[#This Row],[Quartile]]="ThirdQuartile", 3,
 IF(Table13[[#This Row],[Quartile]]="FourthQuartile", 4, ""))))</f>
        <v>2</v>
      </c>
      <c r="F1179" s="5" t="s">
        <v>370</v>
      </c>
      <c r="G1179" s="5" t="str" cm="1">
        <f t="array" ref="G1179">IFERROR(
  INDEX(Table13[Quartile],
    MATCH(1,
      (Table13[[#This Row],[OrgName]]=Table13[OrgName]) *
      (Table13[[#This Row],[Month Number]]-1=Table13[Month Number]),
    0)
  ),
"")</f>
        <v>SecondQuartile</v>
      </c>
      <c r="H1179" s="5">
        <f>IF(Table13[[#This Row],[Previous Quartile]]="TopQuartile", 1,
 IF(Table13[[#This Row],[Previous Quartile]]="SecondQuartile", 2,
 IF(Table13[[#This Row],[Previous Quartile]]="ThirdQuartile", 3,
 IF(Table13[[#This Row],[Previous Quartile]]="FourthQuartile", 4, ""))))</f>
        <v>2</v>
      </c>
      <c r="I1179" s="5" t="str">
        <f>IF(Table13[[#This Row],[Previous Quartile Value]]="", "",
   IF(Table13[[#This Row],[Quartile Value]] &lt; Table13[[#This Row],[Previous Quartile Value]], "Improved",
   IF(Table13[[#This Row],[Quartile Value]] &gt; Table13[[#This Row],[Previous Quartile Value]], "Dropped", "Same")))</f>
        <v>Same</v>
      </c>
      <c r="J1179" s="5" t="s">
        <v>16</v>
      </c>
      <c r="K1179" s="7" t="str">
        <f>VLOOKUP(J1179,Introduction!$B$6:$C$14,2)</f>
        <v>South East</v>
      </c>
      <c r="L1179" s="13">
        <v>275</v>
      </c>
      <c r="M1179" s="8" t="s">
        <v>359</v>
      </c>
    </row>
    <row r="1180" spans="1:13" ht="19.95" customHeight="1" x14ac:dyDescent="0.25">
      <c r="A1180" s="40">
        <v>45352</v>
      </c>
      <c r="B1180" s="46">
        <f>MONTH(Table13[[#This Row],[YearMonth]])</f>
        <v>3</v>
      </c>
      <c r="C1180" s="5" t="s">
        <v>121</v>
      </c>
      <c r="D1180" s="6" t="s">
        <v>338</v>
      </c>
      <c r="E1180" s="6">
        <f>IF(Table13[[#This Row],[Quartile]]="TopQuartile", 1,
 IF(Table13[[#This Row],[Quartile]]="SecondQuartile", 2,
 IF(Table13[[#This Row],[Quartile]]="ThirdQuartile", 3,
 IF(Table13[[#This Row],[Quartile]]="FourthQuartile", 4, ""))))</f>
        <v>2</v>
      </c>
      <c r="F1180" s="5" t="s">
        <v>366</v>
      </c>
      <c r="G1180" s="5" t="str" cm="1">
        <f t="array" ref="G1180">IFERROR(
  INDEX(Table13[Quartile],
    MATCH(1,
      (Table13[[#This Row],[OrgName]]=Table13[OrgName]) *
      (Table13[[#This Row],[Month Number]]-1=Table13[Month Number]),
    0)
  ),
"")</f>
        <v>SecondQuartile</v>
      </c>
      <c r="H1180" s="5">
        <f>IF(Table13[[#This Row],[Previous Quartile]]="TopQuartile", 1,
 IF(Table13[[#This Row],[Previous Quartile]]="SecondQuartile", 2,
 IF(Table13[[#This Row],[Previous Quartile]]="ThirdQuartile", 3,
 IF(Table13[[#This Row],[Previous Quartile]]="FourthQuartile", 4, ""))))</f>
        <v>2</v>
      </c>
      <c r="I1180" s="5" t="str">
        <f>IF(Table13[[#This Row],[Previous Quartile Value]]="", "",
   IF(Table13[[#This Row],[Quartile Value]] &lt; Table13[[#This Row],[Previous Quartile Value]], "Improved",
   IF(Table13[[#This Row],[Quartile Value]] &gt; Table13[[#This Row],[Previous Quartile Value]], "Dropped", "Same")))</f>
        <v>Same</v>
      </c>
      <c r="J1180" s="5" t="s">
        <v>24</v>
      </c>
      <c r="K1180" s="7" t="str">
        <f>VLOOKUP(J1180,Introduction!$B$6:$C$14,2)</f>
        <v>North East and Yorkshire</v>
      </c>
      <c r="L1180" s="13">
        <v>345</v>
      </c>
      <c r="M1180" s="8" t="s">
        <v>359</v>
      </c>
    </row>
    <row r="1181" spans="1:13" ht="19.95" customHeight="1" x14ac:dyDescent="0.25">
      <c r="A1181" s="40">
        <v>45352</v>
      </c>
      <c r="B1181" s="46">
        <f>MONTH(Table13[[#This Row],[YearMonth]])</f>
        <v>3</v>
      </c>
      <c r="C1181" s="5" t="s">
        <v>202</v>
      </c>
      <c r="D1181" s="6" t="s">
        <v>338</v>
      </c>
      <c r="E1181" s="6">
        <f>IF(Table13[[#This Row],[Quartile]]="TopQuartile", 1,
 IF(Table13[[#This Row],[Quartile]]="SecondQuartile", 2,
 IF(Table13[[#This Row],[Quartile]]="ThirdQuartile", 3,
 IF(Table13[[#This Row],[Quartile]]="FourthQuartile", 4, ""))))</f>
        <v>2</v>
      </c>
      <c r="F1181" s="5" t="s">
        <v>373</v>
      </c>
      <c r="G1181" s="5" t="str" cm="1">
        <f t="array" ref="G1181">IFERROR(
  INDEX(Table13[Quartile],
    MATCH(1,
      (Table13[[#This Row],[OrgName]]=Table13[OrgName]) *
      (Table13[[#This Row],[Month Number]]-1=Table13[Month Number]),
    0)
  ),
"")</f>
        <v>SecondQuartile</v>
      </c>
      <c r="H1181" s="5">
        <f>IF(Table13[[#This Row],[Previous Quartile]]="TopQuartile", 1,
 IF(Table13[[#This Row],[Previous Quartile]]="SecondQuartile", 2,
 IF(Table13[[#This Row],[Previous Quartile]]="ThirdQuartile", 3,
 IF(Table13[[#This Row],[Previous Quartile]]="FourthQuartile", 4, ""))))</f>
        <v>2</v>
      </c>
      <c r="I1181" s="5" t="str">
        <f>IF(Table13[[#This Row],[Previous Quartile Value]]="", "",
   IF(Table13[[#This Row],[Quartile Value]] &lt; Table13[[#This Row],[Previous Quartile Value]], "Improved",
   IF(Table13[[#This Row],[Quartile Value]] &gt; Table13[[#This Row],[Previous Quartile Value]], "Dropped", "Same")))</f>
        <v>Same</v>
      </c>
      <c r="J1181" s="5" t="s">
        <v>24</v>
      </c>
      <c r="K1181" s="7" t="str">
        <f>VLOOKUP(J1181,Introduction!$B$6:$C$14,2)</f>
        <v>North East and Yorkshire</v>
      </c>
      <c r="L1181" s="13">
        <v>262</v>
      </c>
      <c r="M1181" s="8" t="s">
        <v>359</v>
      </c>
    </row>
    <row r="1182" spans="1:13" ht="19.95" customHeight="1" x14ac:dyDescent="0.25">
      <c r="A1182" s="40">
        <v>45352</v>
      </c>
      <c r="B1182" s="46">
        <f>MONTH(Table13[[#This Row],[YearMonth]])</f>
        <v>3</v>
      </c>
      <c r="C1182" s="5" t="s">
        <v>143</v>
      </c>
      <c r="D1182" s="6" t="s">
        <v>341</v>
      </c>
      <c r="E1182" s="6">
        <f>IF(Table13[[#This Row],[Quartile]]="TopQuartile", 1,
 IF(Table13[[#This Row],[Quartile]]="SecondQuartile", 2,
 IF(Table13[[#This Row],[Quartile]]="ThirdQuartile", 3,
 IF(Table13[[#This Row],[Quartile]]="FourthQuartile", 4, ""))))</f>
        <v>3</v>
      </c>
      <c r="F1182" s="5" t="s">
        <v>369</v>
      </c>
      <c r="G1182" s="5" t="str" cm="1">
        <f t="array" ref="G1182">IFERROR(
  INDEX(Table13[Quartile],
    MATCH(1,
      (Table13[[#This Row],[OrgName]]=Table13[OrgName]) *
      (Table13[[#This Row],[Month Number]]-1=Table13[Month Number]),
    0)
  ),
"")</f>
        <v>ThirdQuartile</v>
      </c>
      <c r="H1182" s="5">
        <f>IF(Table13[[#This Row],[Previous Quartile]]="TopQuartile", 1,
 IF(Table13[[#This Row],[Previous Quartile]]="SecondQuartile", 2,
 IF(Table13[[#This Row],[Previous Quartile]]="ThirdQuartile", 3,
 IF(Table13[[#This Row],[Previous Quartile]]="FourthQuartile", 4, ""))))</f>
        <v>3</v>
      </c>
      <c r="I1182" s="5" t="str">
        <f>IF(Table13[[#This Row],[Previous Quartile Value]]="", "",
   IF(Table13[[#This Row],[Quartile Value]] &lt; Table13[[#This Row],[Previous Quartile Value]], "Improved",
   IF(Table13[[#This Row],[Quartile Value]] &gt; Table13[[#This Row],[Previous Quartile Value]], "Dropped", "Same")))</f>
        <v>Same</v>
      </c>
      <c r="J1182" s="5" t="s">
        <v>16</v>
      </c>
      <c r="K1182" s="7" t="str">
        <f>VLOOKUP(J1182,Introduction!$B$6:$C$14,2)</f>
        <v>South East</v>
      </c>
      <c r="L1182" s="13">
        <v>384</v>
      </c>
      <c r="M1182" s="8" t="s">
        <v>359</v>
      </c>
    </row>
    <row r="1183" spans="1:13" ht="19.95" customHeight="1" x14ac:dyDescent="0.25">
      <c r="A1183" s="40">
        <v>45352</v>
      </c>
      <c r="B1183" s="46">
        <f>MONTH(Table13[[#This Row],[YearMonth]])</f>
        <v>3</v>
      </c>
      <c r="C1183" s="5" t="s">
        <v>188</v>
      </c>
      <c r="D1183" s="6" t="s">
        <v>341</v>
      </c>
      <c r="E1183" s="6">
        <f>IF(Table13[[#This Row],[Quartile]]="TopQuartile", 1,
 IF(Table13[[#This Row],[Quartile]]="SecondQuartile", 2,
 IF(Table13[[#This Row],[Quartile]]="ThirdQuartile", 3,
 IF(Table13[[#This Row],[Quartile]]="FourthQuartile", 4, ""))))</f>
        <v>3</v>
      </c>
      <c r="F1183" s="5" t="s">
        <v>372</v>
      </c>
      <c r="G1183" s="5" t="str" cm="1">
        <f t="array" ref="G1183">IFERROR(
  INDEX(Table13[Quartile],
    MATCH(1,
      (Table13[[#This Row],[OrgName]]=Table13[OrgName]) *
      (Table13[[#This Row],[Month Number]]-1=Table13[Month Number]),
    0)
  ),
"")</f>
        <v>SecondQuartile</v>
      </c>
      <c r="H1183" s="5">
        <f>IF(Table13[[#This Row],[Previous Quartile]]="TopQuartile", 1,
 IF(Table13[[#This Row],[Previous Quartile]]="SecondQuartile", 2,
 IF(Table13[[#This Row],[Previous Quartile]]="ThirdQuartile", 3,
 IF(Table13[[#This Row],[Previous Quartile]]="FourthQuartile", 4, ""))))</f>
        <v>2</v>
      </c>
      <c r="I1183" s="5" t="str">
        <f>IF(Table13[[#This Row],[Previous Quartile Value]]="", "",
   IF(Table13[[#This Row],[Quartile Value]] &lt; Table13[[#This Row],[Previous Quartile Value]], "Improved",
   IF(Table13[[#This Row],[Quartile Value]] &gt; Table13[[#This Row],[Previous Quartile Value]], "Dropped", "Same")))</f>
        <v>Dropped</v>
      </c>
      <c r="J1183" s="5" t="s">
        <v>22</v>
      </c>
      <c r="K1183" s="7" t="str">
        <f>VLOOKUP(J1183,Introduction!$B$6:$C$14,2)</f>
        <v>North West</v>
      </c>
      <c r="L1183" s="13">
        <v>362</v>
      </c>
      <c r="M1183" s="8" t="s">
        <v>359</v>
      </c>
    </row>
    <row r="1184" spans="1:13" ht="19.95" customHeight="1" x14ac:dyDescent="0.25">
      <c r="A1184" s="40">
        <v>45352</v>
      </c>
      <c r="B1184" s="46">
        <f>MONTH(Table13[[#This Row],[YearMonth]])</f>
        <v>3</v>
      </c>
      <c r="C1184" s="5" t="s">
        <v>203</v>
      </c>
      <c r="D1184" s="6" t="s">
        <v>341</v>
      </c>
      <c r="E1184" s="6">
        <f>IF(Table13[[#This Row],[Quartile]]="TopQuartile", 1,
 IF(Table13[[#This Row],[Quartile]]="SecondQuartile", 2,
 IF(Table13[[#This Row],[Quartile]]="ThirdQuartile", 3,
 IF(Table13[[#This Row],[Quartile]]="FourthQuartile", 4, ""))))</f>
        <v>3</v>
      </c>
      <c r="F1184" s="5" t="s">
        <v>374</v>
      </c>
      <c r="G1184" s="5" t="str" cm="1">
        <f t="array" ref="G1184">IFERROR(
  INDEX(Table13[Quartile],
    MATCH(1,
      (Table13[[#This Row],[OrgName]]=Table13[OrgName]) *
      (Table13[[#This Row],[Month Number]]-1=Table13[Month Number]),
    0)
  ),
"")</f>
        <v>ThirdQuartile</v>
      </c>
      <c r="H1184" s="5">
        <f>IF(Table13[[#This Row],[Previous Quartile]]="TopQuartile", 1,
 IF(Table13[[#This Row],[Previous Quartile]]="SecondQuartile", 2,
 IF(Table13[[#This Row],[Previous Quartile]]="ThirdQuartile", 3,
 IF(Table13[[#This Row],[Previous Quartile]]="FourthQuartile", 4, ""))))</f>
        <v>3</v>
      </c>
      <c r="I1184" s="5" t="str">
        <f>IF(Table13[[#This Row],[Previous Quartile Value]]="", "",
   IF(Table13[[#This Row],[Quartile Value]] &lt; Table13[[#This Row],[Previous Quartile Value]], "Improved",
   IF(Table13[[#This Row],[Quartile Value]] &gt; Table13[[#This Row],[Previous Quartile Value]], "Dropped", "Same")))</f>
        <v>Same</v>
      </c>
      <c r="J1184" s="5" t="s">
        <v>20</v>
      </c>
      <c r="K1184" s="7" t="str">
        <f>VLOOKUP(J1184,Introduction!$B$6:$C$14,2)</f>
        <v>East of England</v>
      </c>
      <c r="L1184" s="13">
        <v>418</v>
      </c>
      <c r="M1184" s="8" t="s">
        <v>359</v>
      </c>
    </row>
    <row r="1185" spans="1:13" ht="19.95" customHeight="1" x14ac:dyDescent="0.25">
      <c r="A1185" s="40">
        <v>45352</v>
      </c>
      <c r="B1185" s="46">
        <f>MONTH(Table13[[#This Row],[YearMonth]])</f>
        <v>3</v>
      </c>
      <c r="C1185" s="5" t="s">
        <v>204</v>
      </c>
      <c r="D1185" s="6" t="s">
        <v>341</v>
      </c>
      <c r="E1185" s="6">
        <f>IF(Table13[[#This Row],[Quartile]]="TopQuartile", 1,
 IF(Table13[[#This Row],[Quartile]]="SecondQuartile", 2,
 IF(Table13[[#This Row],[Quartile]]="ThirdQuartile", 3,
 IF(Table13[[#This Row],[Quartile]]="FourthQuartile", 4, ""))))</f>
        <v>3</v>
      </c>
      <c r="F1185" s="5" t="s">
        <v>375</v>
      </c>
      <c r="G1185" s="5" t="str" cm="1">
        <f t="array" ref="G1185">IFERROR(
  INDEX(Table13[Quartile],
    MATCH(1,
      (Table13[[#This Row],[OrgName]]=Table13[OrgName]) *
      (Table13[[#This Row],[Month Number]]-1=Table13[Month Number]),
    0)
  ),
"")</f>
        <v>ThirdQuartile</v>
      </c>
      <c r="H1185" s="5">
        <f>IF(Table13[[#This Row],[Previous Quartile]]="TopQuartile", 1,
 IF(Table13[[#This Row],[Previous Quartile]]="SecondQuartile", 2,
 IF(Table13[[#This Row],[Previous Quartile]]="ThirdQuartile", 3,
 IF(Table13[[#This Row],[Previous Quartile]]="FourthQuartile", 4, ""))))</f>
        <v>3</v>
      </c>
      <c r="I1185" s="5" t="str">
        <f>IF(Table13[[#This Row],[Previous Quartile Value]]="", "",
   IF(Table13[[#This Row],[Quartile Value]] &lt; Table13[[#This Row],[Previous Quartile Value]], "Improved",
   IF(Table13[[#This Row],[Quartile Value]] &gt; Table13[[#This Row],[Previous Quartile Value]], "Dropped", "Same")))</f>
        <v>Same</v>
      </c>
      <c r="J1185" s="5" t="s">
        <v>14</v>
      </c>
      <c r="K1185" s="7" t="str">
        <f>VLOOKUP(J1185,Introduction!$B$6:$C$14,2)</f>
        <v>South West</v>
      </c>
      <c r="L1185" s="13">
        <v>249</v>
      </c>
      <c r="M1185" s="8" t="s">
        <v>359</v>
      </c>
    </row>
    <row r="1186" spans="1:13" ht="19.95" customHeight="1" x14ac:dyDescent="0.25">
      <c r="A1186" s="40">
        <v>45352</v>
      </c>
      <c r="B1186" s="46">
        <f>MONTH(Table13[[#This Row],[YearMonth]])</f>
        <v>3</v>
      </c>
      <c r="C1186" s="5" t="s">
        <v>227</v>
      </c>
      <c r="D1186" s="6" t="s">
        <v>341</v>
      </c>
      <c r="E1186" s="6">
        <f>IF(Table13[[#This Row],[Quartile]]="TopQuartile", 1,
 IF(Table13[[#This Row],[Quartile]]="SecondQuartile", 2,
 IF(Table13[[#This Row],[Quartile]]="ThirdQuartile", 3,
 IF(Table13[[#This Row],[Quartile]]="FourthQuartile", 4, ""))))</f>
        <v>3</v>
      </c>
      <c r="F1186" s="5" t="s">
        <v>376</v>
      </c>
      <c r="G1186" s="5" t="str" cm="1">
        <f t="array" ref="G1186">IFERROR(
  INDEX(Table13[Quartile],
    MATCH(1,
      (Table13[[#This Row],[OrgName]]=Table13[OrgName]) *
      (Table13[[#This Row],[Month Number]]-1=Table13[Month Number]),
    0)
  ),
"")</f>
        <v>ThirdQuartile</v>
      </c>
      <c r="H1186" s="5">
        <f>IF(Table13[[#This Row],[Previous Quartile]]="TopQuartile", 1,
 IF(Table13[[#This Row],[Previous Quartile]]="SecondQuartile", 2,
 IF(Table13[[#This Row],[Previous Quartile]]="ThirdQuartile", 3,
 IF(Table13[[#This Row],[Previous Quartile]]="FourthQuartile", 4, ""))))</f>
        <v>3</v>
      </c>
      <c r="I1186" s="5" t="str">
        <f>IF(Table13[[#This Row],[Previous Quartile Value]]="", "",
   IF(Table13[[#This Row],[Quartile Value]] &lt; Table13[[#This Row],[Previous Quartile Value]], "Improved",
   IF(Table13[[#This Row],[Quartile Value]] &gt; Table13[[#This Row],[Previous Quartile Value]], "Dropped", "Same")))</f>
        <v>Same</v>
      </c>
      <c r="J1186" s="5" t="s">
        <v>22</v>
      </c>
      <c r="K1186" s="7" t="str">
        <f>VLOOKUP(J1186,Introduction!$B$6:$C$14,2)</f>
        <v>North West</v>
      </c>
      <c r="L1186" s="13">
        <v>302</v>
      </c>
      <c r="M1186" s="8" t="s">
        <v>359</v>
      </c>
    </row>
    <row r="1187" spans="1:13" ht="19.95" customHeight="1" x14ac:dyDescent="0.25">
      <c r="A1187" s="40">
        <v>45352</v>
      </c>
      <c r="B1187" s="46">
        <f>MONTH(Table13[[#This Row],[YearMonth]])</f>
        <v>3</v>
      </c>
      <c r="C1187" s="5" t="s">
        <v>242</v>
      </c>
      <c r="D1187" s="6" t="s">
        <v>341</v>
      </c>
      <c r="E1187" s="6">
        <f>IF(Table13[[#This Row],[Quartile]]="TopQuartile", 1,
 IF(Table13[[#This Row],[Quartile]]="SecondQuartile", 2,
 IF(Table13[[#This Row],[Quartile]]="ThirdQuartile", 3,
 IF(Table13[[#This Row],[Quartile]]="FourthQuartile", 4, ""))))</f>
        <v>3</v>
      </c>
      <c r="F1187" s="5" t="s">
        <v>377</v>
      </c>
      <c r="G1187" s="5" t="str" cm="1">
        <f t="array" ref="G1187">IFERROR(
  INDEX(Table13[Quartile],
    MATCH(1,
      (Table13[[#This Row],[OrgName]]=Table13[OrgName]) *
      (Table13[[#This Row],[Month Number]]-1=Table13[Month Number]),
    0)
  ),
"")</f>
        <v>ThirdQuartile</v>
      </c>
      <c r="H1187" s="5">
        <f>IF(Table13[[#This Row],[Previous Quartile]]="TopQuartile", 1,
 IF(Table13[[#This Row],[Previous Quartile]]="SecondQuartile", 2,
 IF(Table13[[#This Row],[Previous Quartile]]="ThirdQuartile", 3,
 IF(Table13[[#This Row],[Previous Quartile]]="FourthQuartile", 4, ""))))</f>
        <v>3</v>
      </c>
      <c r="I1187" s="5" t="str">
        <f>IF(Table13[[#This Row],[Previous Quartile Value]]="", "",
   IF(Table13[[#This Row],[Quartile Value]] &lt; Table13[[#This Row],[Previous Quartile Value]], "Improved",
   IF(Table13[[#This Row],[Quartile Value]] &gt; Table13[[#This Row],[Previous Quartile Value]], "Dropped", "Same")))</f>
        <v>Same</v>
      </c>
      <c r="J1187" s="5" t="s">
        <v>16</v>
      </c>
      <c r="K1187" s="7" t="str">
        <f>VLOOKUP(J1187,Introduction!$B$6:$C$14,2)</f>
        <v>South East</v>
      </c>
      <c r="L1187" s="13">
        <v>323</v>
      </c>
      <c r="M1187" s="8" t="s">
        <v>359</v>
      </c>
    </row>
    <row r="1188" spans="1:13" ht="19.95" customHeight="1" x14ac:dyDescent="0.25">
      <c r="A1188" s="40">
        <v>45352</v>
      </c>
      <c r="B1188" s="46">
        <f>MONTH(Table13[[#This Row],[YearMonth]])</f>
        <v>3</v>
      </c>
      <c r="C1188" s="5" t="s">
        <v>252</v>
      </c>
      <c r="D1188" s="6" t="s">
        <v>350</v>
      </c>
      <c r="E1188" s="6">
        <f>IF(Table13[[#This Row],[Quartile]]="TopQuartile", 1,
 IF(Table13[[#This Row],[Quartile]]="SecondQuartile", 2,
 IF(Table13[[#This Row],[Quartile]]="ThirdQuartile", 3,
 IF(Table13[[#This Row],[Quartile]]="FourthQuartile", 4, ""))))</f>
        <v>4</v>
      </c>
      <c r="F1188" s="5" t="s">
        <v>378</v>
      </c>
      <c r="G1188" s="5" t="str" cm="1">
        <f t="array" ref="G1188">IFERROR(
  INDEX(Table13[Quartile],
    MATCH(1,
      (Table13[[#This Row],[OrgName]]=Table13[OrgName]) *
      (Table13[[#This Row],[Month Number]]-1=Table13[Month Number]),
    0)
  ),
"")</f>
        <v>FourthQuartile</v>
      </c>
      <c r="H1188" s="5">
        <f>IF(Table13[[#This Row],[Previous Quartile]]="TopQuartile", 1,
 IF(Table13[[#This Row],[Previous Quartile]]="SecondQuartile", 2,
 IF(Table13[[#This Row],[Previous Quartile]]="ThirdQuartile", 3,
 IF(Table13[[#This Row],[Previous Quartile]]="FourthQuartile", 4, ""))))</f>
        <v>4</v>
      </c>
      <c r="I1188" s="5" t="str">
        <f>IF(Table13[[#This Row],[Previous Quartile Value]]="", "",
   IF(Table13[[#This Row],[Quartile Value]] &lt; Table13[[#This Row],[Previous Quartile Value]], "Improved",
   IF(Table13[[#This Row],[Quartile Value]] &gt; Table13[[#This Row],[Previous Quartile Value]], "Dropped", "Same")))</f>
        <v>Same</v>
      </c>
      <c r="J1188" s="5" t="s">
        <v>18</v>
      </c>
      <c r="K1188" s="7" t="str">
        <f>VLOOKUP(J1188,Introduction!$B$6:$C$14,2)</f>
        <v>Midlands</v>
      </c>
      <c r="L1188" s="13">
        <v>253</v>
      </c>
      <c r="M1188" s="8" t="s">
        <v>359</v>
      </c>
    </row>
    <row r="1189" spans="1:13" ht="19.95" customHeight="1" x14ac:dyDescent="0.25">
      <c r="A1189" s="40">
        <v>45352</v>
      </c>
      <c r="B1189" s="46">
        <f>MONTH(Table13[[#This Row],[YearMonth]])</f>
        <v>3</v>
      </c>
      <c r="C1189" s="5" t="s">
        <v>106</v>
      </c>
      <c r="D1189" s="6" t="s">
        <v>330</v>
      </c>
      <c r="E1189" s="6">
        <f>IF(Table13[[#This Row],[Quartile]]="TopQuartile", 1,
 IF(Table13[[#This Row],[Quartile]]="SecondQuartile", 2,
 IF(Table13[[#This Row],[Quartile]]="ThirdQuartile", 3,
 IF(Table13[[#This Row],[Quartile]]="FourthQuartile", 4, ""))))</f>
        <v>1</v>
      </c>
      <c r="F1189" s="5" t="s">
        <v>381</v>
      </c>
      <c r="G1189" s="5" t="str" cm="1">
        <f t="array" ref="G1189">IFERROR(
  INDEX(Table13[Quartile],
    MATCH(1,
      (Table13[[#This Row],[OrgName]]=Table13[OrgName]) *
      (Table13[[#This Row],[Month Number]]-1=Table13[Month Number]),
    0)
  ),
"")</f>
        <v>TopQuartile</v>
      </c>
      <c r="H1189" s="5">
        <f>IF(Table13[[#This Row],[Previous Quartile]]="TopQuartile", 1,
 IF(Table13[[#This Row],[Previous Quartile]]="SecondQuartile", 2,
 IF(Table13[[#This Row],[Previous Quartile]]="ThirdQuartile", 3,
 IF(Table13[[#This Row],[Previous Quartile]]="FourthQuartile", 4, ""))))</f>
        <v>1</v>
      </c>
      <c r="I1189" s="5" t="str">
        <f>IF(Table13[[#This Row],[Previous Quartile Value]]="", "",
   IF(Table13[[#This Row],[Quartile Value]] &lt; Table13[[#This Row],[Previous Quartile Value]], "Improved",
   IF(Table13[[#This Row],[Quartile Value]] &gt; Table13[[#This Row],[Previous Quartile Value]], "Dropped", "Same")))</f>
        <v>Same</v>
      </c>
      <c r="J1189" s="5" t="s">
        <v>14</v>
      </c>
      <c r="K1189" s="7" t="str">
        <f>VLOOKUP(J1189,Introduction!$B$6:$C$14,2)</f>
        <v>South West</v>
      </c>
      <c r="L1189" s="13">
        <v>388</v>
      </c>
      <c r="M1189" s="8" t="s">
        <v>380</v>
      </c>
    </row>
    <row r="1190" spans="1:13" ht="19.95" customHeight="1" x14ac:dyDescent="0.25">
      <c r="A1190" s="40">
        <v>45352</v>
      </c>
      <c r="B1190" s="46">
        <f>MONTH(Table13[[#This Row],[YearMonth]])</f>
        <v>3</v>
      </c>
      <c r="C1190" s="5" t="s">
        <v>138</v>
      </c>
      <c r="D1190" s="6" t="s">
        <v>330</v>
      </c>
      <c r="E1190" s="6">
        <f>IF(Table13[[#This Row],[Quartile]]="TopQuartile", 1,
 IF(Table13[[#This Row],[Quartile]]="SecondQuartile", 2,
 IF(Table13[[#This Row],[Quartile]]="ThirdQuartile", 3,
 IF(Table13[[#This Row],[Quartile]]="FourthQuartile", 4, ""))))</f>
        <v>1</v>
      </c>
      <c r="F1190" s="5" t="s">
        <v>382</v>
      </c>
      <c r="G1190" s="5" t="str" cm="1">
        <f t="array" ref="G1190">IFERROR(
  INDEX(Table13[Quartile],
    MATCH(1,
      (Table13[[#This Row],[OrgName]]=Table13[OrgName]) *
      (Table13[[#This Row],[Month Number]]-1=Table13[Month Number]),
    0)
  ),
"")</f>
        <v>SecondQuartile</v>
      </c>
      <c r="H1190" s="5">
        <f>IF(Table13[[#This Row],[Previous Quartile]]="TopQuartile", 1,
 IF(Table13[[#This Row],[Previous Quartile]]="SecondQuartile", 2,
 IF(Table13[[#This Row],[Previous Quartile]]="ThirdQuartile", 3,
 IF(Table13[[#This Row],[Previous Quartile]]="FourthQuartile", 4, ""))))</f>
        <v>2</v>
      </c>
      <c r="I1190" s="5" t="str">
        <f>IF(Table13[[#This Row],[Previous Quartile Value]]="", "",
   IF(Table13[[#This Row],[Quartile Value]] &lt; Table13[[#This Row],[Previous Quartile Value]], "Improved",
   IF(Table13[[#This Row],[Quartile Value]] &gt; Table13[[#This Row],[Previous Quartile Value]], "Dropped", "Same")))</f>
        <v>Improved</v>
      </c>
      <c r="J1190" s="5" t="s">
        <v>24</v>
      </c>
      <c r="K1190" s="7" t="str">
        <f>VLOOKUP(J1190,Introduction!$B$6:$C$14,2)</f>
        <v>North East and Yorkshire</v>
      </c>
      <c r="L1190" s="13">
        <v>439</v>
      </c>
      <c r="M1190" s="8" t="s">
        <v>380</v>
      </c>
    </row>
    <row r="1191" spans="1:13" ht="19.95" customHeight="1" x14ac:dyDescent="0.25">
      <c r="A1191" s="40">
        <v>45352</v>
      </c>
      <c r="B1191" s="46">
        <f>MONTH(Table13[[#This Row],[YearMonth]])</f>
        <v>3</v>
      </c>
      <c r="C1191" s="5" t="s">
        <v>104</v>
      </c>
      <c r="D1191" s="6" t="s">
        <v>330</v>
      </c>
      <c r="E1191" s="6">
        <f>IF(Table13[[#This Row],[Quartile]]="TopQuartile", 1,
 IF(Table13[[#This Row],[Quartile]]="SecondQuartile", 2,
 IF(Table13[[#This Row],[Quartile]]="ThirdQuartile", 3,
 IF(Table13[[#This Row],[Quartile]]="FourthQuartile", 4, ""))))</f>
        <v>1</v>
      </c>
      <c r="F1191" s="5" t="s">
        <v>379</v>
      </c>
      <c r="G1191" s="5" t="str" cm="1">
        <f t="array" ref="G1191">IFERROR(
  INDEX(Table13[Quartile],
    MATCH(1,
      (Table13[[#This Row],[OrgName]]=Table13[OrgName]) *
      (Table13[[#This Row],[Month Number]]-1=Table13[Month Number]),
    0)
  ),
"")</f>
        <v>TopQuartile</v>
      </c>
      <c r="H1191" s="5">
        <f>IF(Table13[[#This Row],[Previous Quartile]]="TopQuartile", 1,
 IF(Table13[[#This Row],[Previous Quartile]]="SecondQuartile", 2,
 IF(Table13[[#This Row],[Previous Quartile]]="ThirdQuartile", 3,
 IF(Table13[[#This Row],[Previous Quartile]]="FourthQuartile", 4, ""))))</f>
        <v>1</v>
      </c>
      <c r="I1191" s="5" t="str">
        <f>IF(Table13[[#This Row],[Previous Quartile Value]]="", "",
   IF(Table13[[#This Row],[Quartile Value]] &lt; Table13[[#This Row],[Previous Quartile Value]], "Improved",
   IF(Table13[[#This Row],[Quartile Value]] &gt; Table13[[#This Row],[Previous Quartile Value]], "Dropped", "Same")))</f>
        <v>Same</v>
      </c>
      <c r="J1191" s="5" t="s">
        <v>16</v>
      </c>
      <c r="K1191" s="7" t="str">
        <f>VLOOKUP(J1191,Introduction!$B$6:$C$14,2)</f>
        <v>South East</v>
      </c>
      <c r="L1191" s="13">
        <v>434</v>
      </c>
      <c r="M1191" s="8" t="s">
        <v>380</v>
      </c>
    </row>
    <row r="1192" spans="1:13" ht="19.95" customHeight="1" x14ac:dyDescent="0.25">
      <c r="A1192" s="40">
        <v>45352</v>
      </c>
      <c r="B1192" s="46">
        <f>MONTH(Table13[[#This Row],[YearMonth]])</f>
        <v>3</v>
      </c>
      <c r="C1192" s="5" t="s">
        <v>148</v>
      </c>
      <c r="D1192" s="6" t="s">
        <v>338</v>
      </c>
      <c r="E1192" s="6">
        <f>IF(Table13[[#This Row],[Quartile]]="TopQuartile", 1,
 IF(Table13[[#This Row],[Quartile]]="SecondQuartile", 2,
 IF(Table13[[#This Row],[Quartile]]="ThirdQuartile", 3,
 IF(Table13[[#This Row],[Quartile]]="FourthQuartile", 4, ""))))</f>
        <v>2</v>
      </c>
      <c r="F1192" s="5" t="s">
        <v>383</v>
      </c>
      <c r="G1192" s="5" t="str" cm="1">
        <f t="array" ref="G1192">IFERROR(
  INDEX(Table13[Quartile],
    MATCH(1,
      (Table13[[#This Row],[OrgName]]=Table13[OrgName]) *
      (Table13[[#This Row],[Month Number]]-1=Table13[Month Number]),
    0)
  ),
"")</f>
        <v>SecondQuartile</v>
      </c>
      <c r="H1192" s="5">
        <f>IF(Table13[[#This Row],[Previous Quartile]]="TopQuartile", 1,
 IF(Table13[[#This Row],[Previous Quartile]]="SecondQuartile", 2,
 IF(Table13[[#This Row],[Previous Quartile]]="ThirdQuartile", 3,
 IF(Table13[[#This Row],[Previous Quartile]]="FourthQuartile", 4, ""))))</f>
        <v>2</v>
      </c>
      <c r="I1192" s="5" t="str">
        <f>IF(Table13[[#This Row],[Previous Quartile Value]]="", "",
   IF(Table13[[#This Row],[Quartile Value]] &lt; Table13[[#This Row],[Previous Quartile Value]], "Improved",
   IF(Table13[[#This Row],[Quartile Value]] &gt; Table13[[#This Row],[Previous Quartile Value]], "Dropped", "Same")))</f>
        <v>Same</v>
      </c>
      <c r="J1192" s="5" t="s">
        <v>18</v>
      </c>
      <c r="K1192" s="7" t="str">
        <f>VLOOKUP(J1192,Introduction!$B$6:$C$14,2)</f>
        <v>Midlands</v>
      </c>
      <c r="L1192" s="13">
        <v>229</v>
      </c>
      <c r="M1192" s="8" t="s">
        <v>380</v>
      </c>
    </row>
    <row r="1193" spans="1:13" ht="19.95" customHeight="1" x14ac:dyDescent="0.25">
      <c r="A1193" s="40">
        <v>45352</v>
      </c>
      <c r="B1193" s="46">
        <f>MONTH(Table13[[#This Row],[YearMonth]])</f>
        <v>3</v>
      </c>
      <c r="C1193" s="5" t="s">
        <v>243</v>
      </c>
      <c r="D1193" s="6" t="s">
        <v>338</v>
      </c>
      <c r="E1193" s="6">
        <f>IF(Table13[[#This Row],[Quartile]]="TopQuartile", 1,
 IF(Table13[[#This Row],[Quartile]]="SecondQuartile", 2,
 IF(Table13[[#This Row],[Quartile]]="ThirdQuartile", 3,
 IF(Table13[[#This Row],[Quartile]]="FourthQuartile", 4, ""))))</f>
        <v>2</v>
      </c>
      <c r="F1193" s="5" t="s">
        <v>385</v>
      </c>
      <c r="G1193" s="5" t="str" cm="1">
        <f t="array" ref="G1193">IFERROR(
  INDEX(Table13[Quartile],
    MATCH(1,
      (Table13[[#This Row],[OrgName]]=Table13[OrgName]) *
      (Table13[[#This Row],[Month Number]]-1=Table13[Month Number]),
    0)
  ),
"")</f>
        <v>SecondQuartile</v>
      </c>
      <c r="H1193" s="5">
        <f>IF(Table13[[#This Row],[Previous Quartile]]="TopQuartile", 1,
 IF(Table13[[#This Row],[Previous Quartile]]="SecondQuartile", 2,
 IF(Table13[[#This Row],[Previous Quartile]]="ThirdQuartile", 3,
 IF(Table13[[#This Row],[Previous Quartile]]="FourthQuartile", 4, ""))))</f>
        <v>2</v>
      </c>
      <c r="I1193" s="5" t="str">
        <f>IF(Table13[[#This Row],[Previous Quartile Value]]="", "",
   IF(Table13[[#This Row],[Quartile Value]] &lt; Table13[[#This Row],[Previous Quartile Value]], "Improved",
   IF(Table13[[#This Row],[Quartile Value]] &gt; Table13[[#This Row],[Previous Quartile Value]], "Dropped", "Same")))</f>
        <v>Same</v>
      </c>
      <c r="J1193" s="5" t="s">
        <v>16</v>
      </c>
      <c r="K1193" s="7" t="str">
        <f>VLOOKUP(J1193,Introduction!$B$6:$C$14,2)</f>
        <v>South East</v>
      </c>
      <c r="L1193" s="13">
        <v>470</v>
      </c>
      <c r="M1193" s="8" t="s">
        <v>380</v>
      </c>
    </row>
    <row r="1194" spans="1:13" ht="19.95" customHeight="1" x14ac:dyDescent="0.25">
      <c r="A1194" s="40">
        <v>45352</v>
      </c>
      <c r="B1194" s="46">
        <f>MONTH(Table13[[#This Row],[YearMonth]])</f>
        <v>3</v>
      </c>
      <c r="C1194" s="5" t="s">
        <v>164</v>
      </c>
      <c r="D1194" s="6" t="s">
        <v>341</v>
      </c>
      <c r="E1194" s="6">
        <f>IF(Table13[[#This Row],[Quartile]]="TopQuartile", 1,
 IF(Table13[[#This Row],[Quartile]]="SecondQuartile", 2,
 IF(Table13[[#This Row],[Quartile]]="ThirdQuartile", 3,
 IF(Table13[[#This Row],[Quartile]]="FourthQuartile", 4, ""))))</f>
        <v>3</v>
      </c>
      <c r="F1194" s="5" t="s">
        <v>384</v>
      </c>
      <c r="G1194" s="5" t="str" cm="1">
        <f t="array" ref="G1194">IFERROR(
  INDEX(Table13[Quartile],
    MATCH(1,
      (Table13[[#This Row],[OrgName]]=Table13[OrgName]) *
      (Table13[[#This Row],[Month Number]]-1=Table13[Month Number]),
    0)
  ),
"")</f>
        <v>ThirdQuartile</v>
      </c>
      <c r="H1194" s="5">
        <f>IF(Table13[[#This Row],[Previous Quartile]]="TopQuartile", 1,
 IF(Table13[[#This Row],[Previous Quartile]]="SecondQuartile", 2,
 IF(Table13[[#This Row],[Previous Quartile]]="ThirdQuartile", 3,
 IF(Table13[[#This Row],[Previous Quartile]]="FourthQuartile", 4, ""))))</f>
        <v>3</v>
      </c>
      <c r="I1194" s="5" t="str">
        <f>IF(Table13[[#This Row],[Previous Quartile Value]]="", "",
   IF(Table13[[#This Row],[Quartile Value]] &lt; Table13[[#This Row],[Previous Quartile Value]], "Improved",
   IF(Table13[[#This Row],[Quartile Value]] &gt; Table13[[#This Row],[Previous Quartile Value]], "Dropped", "Same")))</f>
        <v>Same</v>
      </c>
      <c r="J1194" s="5" t="s">
        <v>14</v>
      </c>
      <c r="K1194" s="7" t="str">
        <f>VLOOKUP(J1194,Introduction!$B$6:$C$14,2)</f>
        <v>South West</v>
      </c>
      <c r="L1194" s="13">
        <v>184</v>
      </c>
      <c r="M1194" s="8" t="s">
        <v>380</v>
      </c>
    </row>
    <row r="1195" spans="1:13" ht="19.95" customHeight="1" x14ac:dyDescent="0.25">
      <c r="A1195" s="40">
        <v>45352</v>
      </c>
      <c r="B1195" s="46">
        <f>MONTH(Table13[[#This Row],[YearMonth]])</f>
        <v>3</v>
      </c>
      <c r="C1195" s="5" t="s">
        <v>310</v>
      </c>
      <c r="D1195" s="6" t="s">
        <v>350</v>
      </c>
      <c r="E1195" s="6">
        <f>IF(Table13[[#This Row],[Quartile]]="TopQuartile", 1,
 IF(Table13[[#This Row],[Quartile]]="SecondQuartile", 2,
 IF(Table13[[#This Row],[Quartile]]="ThirdQuartile", 3,
 IF(Table13[[#This Row],[Quartile]]="FourthQuartile", 4, ""))))</f>
        <v>4</v>
      </c>
      <c r="F1195" s="5" t="s">
        <v>386</v>
      </c>
      <c r="G1195" s="5" t="str" cm="1">
        <f t="array" ref="G1195">IFERROR(
  INDEX(Table13[Quartile],
    MATCH(1,
      (Table13[[#This Row],[OrgName]]=Table13[OrgName]) *
      (Table13[[#This Row],[Month Number]]-1=Table13[Month Number]),
    0)
  ),
"")</f>
        <v>FourthQuartile</v>
      </c>
      <c r="H1195" s="5">
        <f>IF(Table13[[#This Row],[Previous Quartile]]="TopQuartile", 1,
 IF(Table13[[#This Row],[Previous Quartile]]="SecondQuartile", 2,
 IF(Table13[[#This Row],[Previous Quartile]]="ThirdQuartile", 3,
 IF(Table13[[#This Row],[Previous Quartile]]="FourthQuartile", 4, ""))))</f>
        <v>4</v>
      </c>
      <c r="I1195" s="5" t="str">
        <f>IF(Table13[[#This Row],[Previous Quartile Value]]="", "",
   IF(Table13[[#This Row],[Quartile Value]] &lt; Table13[[#This Row],[Previous Quartile Value]], "Improved",
   IF(Table13[[#This Row],[Quartile Value]] &gt; Table13[[#This Row],[Previous Quartile Value]], "Dropped", "Same")))</f>
        <v>Same</v>
      </c>
      <c r="J1195" s="5" t="s">
        <v>12</v>
      </c>
      <c r="K1195" s="7" t="str">
        <f>VLOOKUP(J1195,Introduction!$B$6:$C$14,2)</f>
        <v>London</v>
      </c>
      <c r="L1195" s="13">
        <v>220</v>
      </c>
      <c r="M1195" s="8" t="s">
        <v>380</v>
      </c>
    </row>
    <row r="1196" spans="1:13" ht="19.95" customHeight="1" x14ac:dyDescent="0.25">
      <c r="A1196" s="40">
        <v>45352</v>
      </c>
      <c r="B1196" s="46">
        <f>MONTH(Table13[[#This Row],[YearMonth]])</f>
        <v>3</v>
      </c>
      <c r="C1196" s="5" t="s">
        <v>43</v>
      </c>
      <c r="D1196" s="6" t="s">
        <v>330</v>
      </c>
      <c r="E1196" s="6">
        <f>IF(Table13[[#This Row],[Quartile]]="TopQuartile", 1,
 IF(Table13[[#This Row],[Quartile]]="SecondQuartile", 2,
 IF(Table13[[#This Row],[Quartile]]="ThirdQuartile", 3,
 IF(Table13[[#This Row],[Quartile]]="FourthQuartile", 4, ""))))</f>
        <v>1</v>
      </c>
      <c r="F1196" s="5" t="s">
        <v>389</v>
      </c>
      <c r="G1196" s="5" t="str" cm="1">
        <f t="array" ref="G1196">IFERROR(
  INDEX(Table13[Quartile],
    MATCH(1,
      (Table13[[#This Row],[OrgName]]=Table13[OrgName]) *
      (Table13[[#This Row],[Month Number]]-1=Table13[Month Number]),
    0)
  ),
"")</f>
        <v>TopQuartile</v>
      </c>
      <c r="H1196" s="5">
        <f>IF(Table13[[#This Row],[Previous Quartile]]="TopQuartile", 1,
 IF(Table13[[#This Row],[Previous Quartile]]="SecondQuartile", 2,
 IF(Table13[[#This Row],[Previous Quartile]]="ThirdQuartile", 3,
 IF(Table13[[#This Row],[Previous Quartile]]="FourthQuartile", 4, ""))))</f>
        <v>1</v>
      </c>
      <c r="I1196" s="5" t="str">
        <f>IF(Table13[[#This Row],[Previous Quartile Value]]="", "",
   IF(Table13[[#This Row],[Quartile Value]] &lt; Table13[[#This Row],[Previous Quartile Value]], "Improved",
   IF(Table13[[#This Row],[Quartile Value]] &gt; Table13[[#This Row],[Previous Quartile Value]], "Dropped", "Same")))</f>
        <v>Same</v>
      </c>
      <c r="J1196" s="5" t="s">
        <v>24</v>
      </c>
      <c r="K1196" s="7" t="str">
        <f>VLOOKUP(J1196,Introduction!$B$6:$C$14,2)</f>
        <v>North East and Yorkshire</v>
      </c>
      <c r="L1196" s="13">
        <v>423</v>
      </c>
      <c r="M1196" s="8" t="s">
        <v>388</v>
      </c>
    </row>
    <row r="1197" spans="1:13" ht="19.95" customHeight="1" x14ac:dyDescent="0.25">
      <c r="A1197" s="40">
        <v>45352</v>
      </c>
      <c r="B1197" s="46">
        <f>MONTH(Table13[[#This Row],[YearMonth]])</f>
        <v>3</v>
      </c>
      <c r="C1197" s="5" t="s">
        <v>39</v>
      </c>
      <c r="D1197" s="6" t="s">
        <v>330</v>
      </c>
      <c r="E1197" s="6">
        <f>IF(Table13[[#This Row],[Quartile]]="TopQuartile", 1,
 IF(Table13[[#This Row],[Quartile]]="SecondQuartile", 2,
 IF(Table13[[#This Row],[Quartile]]="ThirdQuartile", 3,
 IF(Table13[[#This Row],[Quartile]]="FourthQuartile", 4, ""))))</f>
        <v>1</v>
      </c>
      <c r="F1197" s="5" t="s">
        <v>387</v>
      </c>
      <c r="G1197" s="5" t="str" cm="1">
        <f t="array" ref="G1197">IFERROR(
  INDEX(Table13[Quartile],
    MATCH(1,
      (Table13[[#This Row],[OrgName]]=Table13[OrgName]) *
      (Table13[[#This Row],[Month Number]]-1=Table13[Month Number]),
    0)
  ),
"")</f>
        <v>TopQuartile</v>
      </c>
      <c r="H1197" s="5">
        <f>IF(Table13[[#This Row],[Previous Quartile]]="TopQuartile", 1,
 IF(Table13[[#This Row],[Previous Quartile]]="SecondQuartile", 2,
 IF(Table13[[#This Row],[Previous Quartile]]="ThirdQuartile", 3,
 IF(Table13[[#This Row],[Previous Quartile]]="FourthQuartile", 4, ""))))</f>
        <v>1</v>
      </c>
      <c r="I1197" s="5" t="str">
        <f>IF(Table13[[#This Row],[Previous Quartile Value]]="", "",
   IF(Table13[[#This Row],[Quartile Value]] &lt; Table13[[#This Row],[Previous Quartile Value]], "Improved",
   IF(Table13[[#This Row],[Quartile Value]] &gt; Table13[[#This Row],[Previous Quartile Value]], "Dropped", "Same")))</f>
        <v>Same</v>
      </c>
      <c r="J1197" s="5" t="s">
        <v>24</v>
      </c>
      <c r="K1197" s="7" t="str">
        <f>VLOOKUP(J1197,Introduction!$B$6:$C$14,2)</f>
        <v>North East and Yorkshire</v>
      </c>
      <c r="L1197" s="13">
        <v>163</v>
      </c>
      <c r="M1197" s="8" t="s">
        <v>388</v>
      </c>
    </row>
    <row r="1198" spans="1:13" ht="19.95" customHeight="1" x14ac:dyDescent="0.25">
      <c r="A1198" s="40">
        <v>45352</v>
      </c>
      <c r="B1198" s="46">
        <f>MONTH(Table13[[#This Row],[YearMonth]])</f>
        <v>3</v>
      </c>
      <c r="C1198" s="5" t="s">
        <v>68</v>
      </c>
      <c r="D1198" s="6" t="s">
        <v>330</v>
      </c>
      <c r="E1198" s="6">
        <f>IF(Table13[[#This Row],[Quartile]]="TopQuartile", 1,
 IF(Table13[[#This Row],[Quartile]]="SecondQuartile", 2,
 IF(Table13[[#This Row],[Quartile]]="ThirdQuartile", 3,
 IF(Table13[[#This Row],[Quartile]]="FourthQuartile", 4, ""))))</f>
        <v>1</v>
      </c>
      <c r="F1198" s="5" t="s">
        <v>393</v>
      </c>
      <c r="G1198" s="5" t="str" cm="1">
        <f t="array" ref="G1198">IFERROR(
  INDEX(Table13[Quartile],
    MATCH(1,
      (Table13[[#This Row],[OrgName]]=Table13[OrgName]) *
      (Table13[[#This Row],[Month Number]]-1=Table13[Month Number]),
    0)
  ),
"")</f>
        <v>TopQuartile</v>
      </c>
      <c r="H1198" s="5">
        <f>IF(Table13[[#This Row],[Previous Quartile]]="TopQuartile", 1,
 IF(Table13[[#This Row],[Previous Quartile]]="SecondQuartile", 2,
 IF(Table13[[#This Row],[Previous Quartile]]="ThirdQuartile", 3,
 IF(Table13[[#This Row],[Previous Quartile]]="FourthQuartile", 4, ""))))</f>
        <v>1</v>
      </c>
      <c r="I1198" s="5" t="str">
        <f>IF(Table13[[#This Row],[Previous Quartile Value]]="", "",
   IF(Table13[[#This Row],[Quartile Value]] &lt; Table13[[#This Row],[Previous Quartile Value]], "Improved",
   IF(Table13[[#This Row],[Quartile Value]] &gt; Table13[[#This Row],[Previous Quartile Value]], "Dropped", "Same")))</f>
        <v>Same</v>
      </c>
      <c r="J1198" s="5" t="s">
        <v>24</v>
      </c>
      <c r="K1198" s="7" t="str">
        <f>VLOOKUP(J1198,Introduction!$B$6:$C$14,2)</f>
        <v>North East and Yorkshire</v>
      </c>
      <c r="L1198" s="13">
        <v>165</v>
      </c>
      <c r="M1198" s="8" t="s">
        <v>388</v>
      </c>
    </row>
    <row r="1199" spans="1:13" ht="19.95" customHeight="1" x14ac:dyDescent="0.25">
      <c r="A1199" s="40">
        <v>45352</v>
      </c>
      <c r="B1199" s="46">
        <f>MONTH(Table13[[#This Row],[YearMonth]])</f>
        <v>3</v>
      </c>
      <c r="C1199" s="5" t="s">
        <v>53</v>
      </c>
      <c r="D1199" s="6" t="s">
        <v>330</v>
      </c>
      <c r="E1199" s="6">
        <f>IF(Table13[[#This Row],[Quartile]]="TopQuartile", 1,
 IF(Table13[[#This Row],[Quartile]]="SecondQuartile", 2,
 IF(Table13[[#This Row],[Quartile]]="ThirdQuartile", 3,
 IF(Table13[[#This Row],[Quartile]]="FourthQuartile", 4, ""))))</f>
        <v>1</v>
      </c>
      <c r="F1199" s="5" t="s">
        <v>390</v>
      </c>
      <c r="G1199" s="5" t="str" cm="1">
        <f t="array" ref="G1199">IFERROR(
  INDEX(Table13[Quartile],
    MATCH(1,
      (Table13[[#This Row],[OrgName]]=Table13[OrgName]) *
      (Table13[[#This Row],[Month Number]]-1=Table13[Month Number]),
    0)
  ),
"")</f>
        <v>TopQuartile</v>
      </c>
      <c r="H1199" s="5">
        <f>IF(Table13[[#This Row],[Previous Quartile]]="TopQuartile", 1,
 IF(Table13[[#This Row],[Previous Quartile]]="SecondQuartile", 2,
 IF(Table13[[#This Row],[Previous Quartile]]="ThirdQuartile", 3,
 IF(Table13[[#This Row],[Previous Quartile]]="FourthQuartile", 4, ""))))</f>
        <v>1</v>
      </c>
      <c r="I1199" s="5" t="str">
        <f>IF(Table13[[#This Row],[Previous Quartile Value]]="", "",
   IF(Table13[[#This Row],[Quartile Value]] &lt; Table13[[#This Row],[Previous Quartile Value]], "Improved",
   IF(Table13[[#This Row],[Quartile Value]] &gt; Table13[[#This Row],[Previous Quartile Value]], "Dropped", "Same")))</f>
        <v>Same</v>
      </c>
      <c r="J1199" s="5" t="s">
        <v>22</v>
      </c>
      <c r="K1199" s="7" t="str">
        <f>VLOOKUP(J1199,Introduction!$B$6:$C$14,2)</f>
        <v>North West</v>
      </c>
      <c r="L1199" s="13">
        <v>209</v>
      </c>
      <c r="M1199" s="8" t="s">
        <v>388</v>
      </c>
    </row>
    <row r="1200" spans="1:13" ht="19.95" customHeight="1" x14ac:dyDescent="0.25">
      <c r="A1200" s="40">
        <v>45352</v>
      </c>
      <c r="B1200" s="46">
        <f>MONTH(Table13[[#This Row],[YearMonth]])</f>
        <v>3</v>
      </c>
      <c r="C1200" s="5" t="s">
        <v>61</v>
      </c>
      <c r="D1200" s="6" t="s">
        <v>330</v>
      </c>
      <c r="E1200" s="6">
        <f>IF(Table13[[#This Row],[Quartile]]="TopQuartile", 1,
 IF(Table13[[#This Row],[Quartile]]="SecondQuartile", 2,
 IF(Table13[[#This Row],[Quartile]]="ThirdQuartile", 3,
 IF(Table13[[#This Row],[Quartile]]="FourthQuartile", 4, ""))))</f>
        <v>1</v>
      </c>
      <c r="F1200" s="5" t="s">
        <v>392</v>
      </c>
      <c r="G1200" s="5" t="str" cm="1">
        <f t="array" ref="G1200">IFERROR(
  INDEX(Table13[Quartile],
    MATCH(1,
      (Table13[[#This Row],[OrgName]]=Table13[OrgName]) *
      (Table13[[#This Row],[Month Number]]-1=Table13[Month Number]),
    0)
  ),
"")</f>
        <v>TopQuartile</v>
      </c>
      <c r="H1200" s="5">
        <f>IF(Table13[[#This Row],[Previous Quartile]]="TopQuartile", 1,
 IF(Table13[[#This Row],[Previous Quartile]]="SecondQuartile", 2,
 IF(Table13[[#This Row],[Previous Quartile]]="ThirdQuartile", 3,
 IF(Table13[[#This Row],[Previous Quartile]]="FourthQuartile", 4, ""))))</f>
        <v>1</v>
      </c>
      <c r="I1200" s="5" t="str">
        <f>IF(Table13[[#This Row],[Previous Quartile Value]]="", "",
   IF(Table13[[#This Row],[Quartile Value]] &lt; Table13[[#This Row],[Previous Quartile Value]], "Improved",
   IF(Table13[[#This Row],[Quartile Value]] &gt; Table13[[#This Row],[Previous Quartile Value]], "Dropped", "Same")))</f>
        <v>Same</v>
      </c>
      <c r="J1200" s="5" t="s">
        <v>20</v>
      </c>
      <c r="K1200" s="7" t="str">
        <f>VLOOKUP(J1200,Introduction!$B$6:$C$14,2)</f>
        <v>East of England</v>
      </c>
      <c r="L1200" s="13">
        <v>426</v>
      </c>
      <c r="M1200" s="8" t="s">
        <v>388</v>
      </c>
    </row>
    <row r="1201" spans="1:13" ht="19.95" customHeight="1" x14ac:dyDescent="0.25">
      <c r="A1201" s="40">
        <v>45352</v>
      </c>
      <c r="B1201" s="46">
        <f>MONTH(Table13[[#This Row],[YearMonth]])</f>
        <v>3</v>
      </c>
      <c r="C1201" s="5" t="s">
        <v>60</v>
      </c>
      <c r="D1201" s="6" t="s">
        <v>330</v>
      </c>
      <c r="E1201" s="6">
        <f>IF(Table13[[#This Row],[Quartile]]="TopQuartile", 1,
 IF(Table13[[#This Row],[Quartile]]="SecondQuartile", 2,
 IF(Table13[[#This Row],[Quartile]]="ThirdQuartile", 3,
 IF(Table13[[#This Row],[Quartile]]="FourthQuartile", 4, ""))))</f>
        <v>1</v>
      </c>
      <c r="F1201" s="5" t="s">
        <v>391</v>
      </c>
      <c r="G1201" s="5" t="str" cm="1">
        <f t="array" ref="G1201">IFERROR(
  INDEX(Table13[Quartile],
    MATCH(1,
      (Table13[[#This Row],[OrgName]]=Table13[OrgName]) *
      (Table13[[#This Row],[Month Number]]-1=Table13[Month Number]),
    0)
  ),
"")</f>
        <v>TopQuartile</v>
      </c>
      <c r="H1201" s="5">
        <f>IF(Table13[[#This Row],[Previous Quartile]]="TopQuartile", 1,
 IF(Table13[[#This Row],[Previous Quartile]]="SecondQuartile", 2,
 IF(Table13[[#This Row],[Previous Quartile]]="ThirdQuartile", 3,
 IF(Table13[[#This Row],[Previous Quartile]]="FourthQuartile", 4, ""))))</f>
        <v>1</v>
      </c>
      <c r="I1201" s="5" t="str">
        <f>IF(Table13[[#This Row],[Previous Quartile Value]]="", "",
   IF(Table13[[#This Row],[Quartile Value]] &lt; Table13[[#This Row],[Previous Quartile Value]], "Improved",
   IF(Table13[[#This Row],[Quartile Value]] &gt; Table13[[#This Row],[Previous Quartile Value]], "Dropped", "Same")))</f>
        <v>Same</v>
      </c>
      <c r="J1201" s="5" t="s">
        <v>18</v>
      </c>
      <c r="K1201" s="7" t="str">
        <f>VLOOKUP(J1201,Introduction!$B$6:$C$14,2)</f>
        <v>Midlands</v>
      </c>
      <c r="L1201" s="13">
        <v>166</v>
      </c>
      <c r="M1201" s="8" t="s">
        <v>388</v>
      </c>
    </row>
    <row r="1202" spans="1:13" ht="19.95" customHeight="1" x14ac:dyDescent="0.25">
      <c r="A1202" s="40">
        <v>45352</v>
      </c>
      <c r="B1202" s="46">
        <f>MONTH(Table13[[#This Row],[YearMonth]])</f>
        <v>3</v>
      </c>
      <c r="C1202" s="5" t="s">
        <v>127</v>
      </c>
      <c r="D1202" s="6" t="s">
        <v>330</v>
      </c>
      <c r="E1202" s="6">
        <f>IF(Table13[[#This Row],[Quartile]]="TopQuartile", 1,
 IF(Table13[[#This Row],[Quartile]]="SecondQuartile", 2,
 IF(Table13[[#This Row],[Quartile]]="ThirdQuartile", 3,
 IF(Table13[[#This Row],[Quartile]]="FourthQuartile", 4, ""))))</f>
        <v>1</v>
      </c>
      <c r="F1202" s="5" t="s">
        <v>396</v>
      </c>
      <c r="G1202" s="5" t="str" cm="1">
        <f t="array" ref="G1202">IFERROR(
  INDEX(Table13[Quartile],
    MATCH(1,
      (Table13[[#This Row],[OrgName]]=Table13[OrgName]) *
      (Table13[[#This Row],[Month Number]]-1=Table13[Month Number]),
    0)
  ),
"")</f>
        <v>TopQuartile</v>
      </c>
      <c r="H1202" s="5">
        <f>IF(Table13[[#This Row],[Previous Quartile]]="TopQuartile", 1,
 IF(Table13[[#This Row],[Previous Quartile]]="SecondQuartile", 2,
 IF(Table13[[#This Row],[Previous Quartile]]="ThirdQuartile", 3,
 IF(Table13[[#This Row],[Previous Quartile]]="FourthQuartile", 4, ""))))</f>
        <v>1</v>
      </c>
      <c r="I1202" s="5" t="str">
        <f>IF(Table13[[#This Row],[Previous Quartile Value]]="", "",
   IF(Table13[[#This Row],[Quartile Value]] &lt; Table13[[#This Row],[Previous Quartile Value]], "Improved",
   IF(Table13[[#This Row],[Quartile Value]] &gt; Table13[[#This Row],[Previous Quartile Value]], "Dropped", "Same")))</f>
        <v>Same</v>
      </c>
      <c r="J1202" s="5" t="s">
        <v>22</v>
      </c>
      <c r="K1202" s="7" t="str">
        <f>VLOOKUP(J1202,Introduction!$B$6:$C$14,2)</f>
        <v>North West</v>
      </c>
      <c r="L1202" s="13">
        <v>210</v>
      </c>
      <c r="M1202" s="8" t="s">
        <v>388</v>
      </c>
    </row>
    <row r="1203" spans="1:13" ht="19.95" customHeight="1" x14ac:dyDescent="0.25">
      <c r="A1203" s="40">
        <v>45352</v>
      </c>
      <c r="B1203" s="46">
        <f>MONTH(Table13[[#This Row],[YearMonth]])</f>
        <v>3</v>
      </c>
      <c r="C1203" s="5" t="s">
        <v>75</v>
      </c>
      <c r="D1203" s="6" t="s">
        <v>338</v>
      </c>
      <c r="E1203" s="6">
        <f>IF(Table13[[#This Row],[Quartile]]="TopQuartile", 1,
 IF(Table13[[#This Row],[Quartile]]="SecondQuartile", 2,
 IF(Table13[[#This Row],[Quartile]]="ThirdQuartile", 3,
 IF(Table13[[#This Row],[Quartile]]="FourthQuartile", 4, ""))))</f>
        <v>2</v>
      </c>
      <c r="F1203" s="5" t="s">
        <v>394</v>
      </c>
      <c r="G1203" s="5" t="str" cm="1">
        <f t="array" ref="G1203">IFERROR(
  INDEX(Table13[Quartile],
    MATCH(1,
      (Table13[[#This Row],[OrgName]]=Table13[OrgName]) *
      (Table13[[#This Row],[Month Number]]-1=Table13[Month Number]),
    0)
  ),
"")</f>
        <v>TopQuartile</v>
      </c>
      <c r="H1203" s="5">
        <f>IF(Table13[[#This Row],[Previous Quartile]]="TopQuartile", 1,
 IF(Table13[[#This Row],[Previous Quartile]]="SecondQuartile", 2,
 IF(Table13[[#This Row],[Previous Quartile]]="ThirdQuartile", 3,
 IF(Table13[[#This Row],[Previous Quartile]]="FourthQuartile", 4, ""))))</f>
        <v>1</v>
      </c>
      <c r="I1203" s="5" t="str">
        <f>IF(Table13[[#This Row],[Previous Quartile Value]]="", "",
   IF(Table13[[#This Row],[Quartile Value]] &lt; Table13[[#This Row],[Previous Quartile Value]], "Improved",
   IF(Table13[[#This Row],[Quartile Value]] &gt; Table13[[#This Row],[Previous Quartile Value]], "Dropped", "Same")))</f>
        <v>Dropped</v>
      </c>
      <c r="J1203" s="5" t="s">
        <v>16</v>
      </c>
      <c r="K1203" s="7" t="str">
        <f>VLOOKUP(J1203,Introduction!$B$6:$C$14,2)</f>
        <v>South East</v>
      </c>
      <c r="L1203" s="13">
        <v>252</v>
      </c>
      <c r="M1203" s="8" t="s">
        <v>388</v>
      </c>
    </row>
    <row r="1204" spans="1:13" ht="19.95" customHeight="1" x14ac:dyDescent="0.25">
      <c r="A1204" s="40">
        <v>45352</v>
      </c>
      <c r="B1204" s="46">
        <f>MONTH(Table13[[#This Row],[YearMonth]])</f>
        <v>3</v>
      </c>
      <c r="C1204" s="5" t="s">
        <v>135</v>
      </c>
      <c r="D1204" s="6" t="s">
        <v>338</v>
      </c>
      <c r="E1204" s="6">
        <f>IF(Table13[[#This Row],[Quartile]]="TopQuartile", 1,
 IF(Table13[[#This Row],[Quartile]]="SecondQuartile", 2,
 IF(Table13[[#This Row],[Quartile]]="ThirdQuartile", 3,
 IF(Table13[[#This Row],[Quartile]]="FourthQuartile", 4, ""))))</f>
        <v>2</v>
      </c>
      <c r="F1204" s="5" t="s">
        <v>397</v>
      </c>
      <c r="G1204" s="5" t="str" cm="1">
        <f t="array" ref="G1204">IFERROR(
  INDEX(Table13[Quartile],
    MATCH(1,
      (Table13[[#This Row],[OrgName]]=Table13[OrgName]) *
      (Table13[[#This Row],[Month Number]]-1=Table13[Month Number]),
    0)
  ),
"")</f>
        <v>SecondQuartile</v>
      </c>
      <c r="H1204" s="5">
        <f>IF(Table13[[#This Row],[Previous Quartile]]="TopQuartile", 1,
 IF(Table13[[#This Row],[Previous Quartile]]="SecondQuartile", 2,
 IF(Table13[[#This Row],[Previous Quartile]]="ThirdQuartile", 3,
 IF(Table13[[#This Row],[Previous Quartile]]="FourthQuartile", 4, ""))))</f>
        <v>2</v>
      </c>
      <c r="I1204" s="5" t="str">
        <f>IF(Table13[[#This Row],[Previous Quartile Value]]="", "",
   IF(Table13[[#This Row],[Quartile Value]] &lt; Table13[[#This Row],[Previous Quartile Value]], "Improved",
   IF(Table13[[#This Row],[Quartile Value]] &gt; Table13[[#This Row],[Previous Quartile Value]], "Dropped", "Same")))</f>
        <v>Same</v>
      </c>
      <c r="J1204" s="5" t="s">
        <v>18</v>
      </c>
      <c r="K1204" s="7" t="str">
        <f>VLOOKUP(J1204,Introduction!$B$6:$C$14,2)</f>
        <v>Midlands</v>
      </c>
      <c r="L1204" s="13">
        <v>264</v>
      </c>
      <c r="M1204" s="8" t="s">
        <v>388</v>
      </c>
    </row>
    <row r="1205" spans="1:13" ht="19.95" customHeight="1" x14ac:dyDescent="0.25">
      <c r="A1205" s="40">
        <v>45352</v>
      </c>
      <c r="B1205" s="46">
        <f>MONTH(Table13[[#This Row],[YearMonth]])</f>
        <v>3</v>
      </c>
      <c r="C1205" s="5" t="s">
        <v>122</v>
      </c>
      <c r="D1205" s="6" t="s">
        <v>338</v>
      </c>
      <c r="E1205" s="6">
        <f>IF(Table13[[#This Row],[Quartile]]="TopQuartile", 1,
 IF(Table13[[#This Row],[Quartile]]="SecondQuartile", 2,
 IF(Table13[[#This Row],[Quartile]]="ThirdQuartile", 3,
 IF(Table13[[#This Row],[Quartile]]="FourthQuartile", 4, ""))))</f>
        <v>2</v>
      </c>
      <c r="F1205" s="5" t="s">
        <v>395</v>
      </c>
      <c r="G1205" s="5" t="str" cm="1">
        <f t="array" ref="G1205">IFERROR(
  INDEX(Table13[Quartile],
    MATCH(1,
      (Table13[[#This Row],[OrgName]]=Table13[OrgName]) *
      (Table13[[#This Row],[Month Number]]-1=Table13[Month Number]),
    0)
  ),
"")</f>
        <v>SecondQuartile</v>
      </c>
      <c r="H1205" s="5">
        <f>IF(Table13[[#This Row],[Previous Quartile]]="TopQuartile", 1,
 IF(Table13[[#This Row],[Previous Quartile]]="SecondQuartile", 2,
 IF(Table13[[#This Row],[Previous Quartile]]="ThirdQuartile", 3,
 IF(Table13[[#This Row],[Previous Quartile]]="FourthQuartile", 4, ""))))</f>
        <v>2</v>
      </c>
      <c r="I1205" s="5" t="str">
        <f>IF(Table13[[#This Row],[Previous Quartile Value]]="", "",
   IF(Table13[[#This Row],[Quartile Value]] &lt; Table13[[#This Row],[Previous Quartile Value]], "Improved",
   IF(Table13[[#This Row],[Quartile Value]] &gt; Table13[[#This Row],[Previous Quartile Value]], "Dropped", "Same")))</f>
        <v>Same</v>
      </c>
      <c r="J1205" s="5" t="s">
        <v>24</v>
      </c>
      <c r="K1205" s="7" t="str">
        <f>VLOOKUP(J1205,Introduction!$B$6:$C$14,2)</f>
        <v>North East and Yorkshire</v>
      </c>
      <c r="L1205" s="13">
        <v>421</v>
      </c>
      <c r="M1205" s="8" t="s">
        <v>388</v>
      </c>
    </row>
    <row r="1206" spans="1:13" ht="19.95" customHeight="1" x14ac:dyDescent="0.25">
      <c r="A1206" s="40">
        <v>45352</v>
      </c>
      <c r="B1206" s="46">
        <f>MONTH(Table13[[#This Row],[YearMonth]])</f>
        <v>3</v>
      </c>
      <c r="C1206" s="5" t="s">
        <v>209</v>
      </c>
      <c r="D1206" s="6" t="s">
        <v>341</v>
      </c>
      <c r="E1206" s="6">
        <f>IF(Table13[[#This Row],[Quartile]]="TopQuartile", 1,
 IF(Table13[[#This Row],[Quartile]]="SecondQuartile", 2,
 IF(Table13[[#This Row],[Quartile]]="ThirdQuartile", 3,
 IF(Table13[[#This Row],[Quartile]]="FourthQuartile", 4, ""))))</f>
        <v>3</v>
      </c>
      <c r="F1206" s="5" t="s">
        <v>398</v>
      </c>
      <c r="G1206" s="5" t="str" cm="1">
        <f t="array" ref="G1206">IFERROR(
  INDEX(Table13[Quartile],
    MATCH(1,
      (Table13[[#This Row],[OrgName]]=Table13[OrgName]) *
      (Table13[[#This Row],[Month Number]]-1=Table13[Month Number]),
    0)
  ),
"")</f>
        <v>ThirdQuartile</v>
      </c>
      <c r="H1206" s="5">
        <f>IF(Table13[[#This Row],[Previous Quartile]]="TopQuartile", 1,
 IF(Table13[[#This Row],[Previous Quartile]]="SecondQuartile", 2,
 IF(Table13[[#This Row],[Previous Quartile]]="ThirdQuartile", 3,
 IF(Table13[[#This Row],[Previous Quartile]]="FourthQuartile", 4, ""))))</f>
        <v>3</v>
      </c>
      <c r="I1206" s="5" t="str">
        <f>IF(Table13[[#This Row],[Previous Quartile Value]]="", "",
   IF(Table13[[#This Row],[Quartile Value]] &lt; Table13[[#This Row],[Previous Quartile Value]], "Improved",
   IF(Table13[[#This Row],[Quartile Value]] &gt; Table13[[#This Row],[Previous Quartile Value]], "Dropped", "Same")))</f>
        <v>Same</v>
      </c>
      <c r="J1206" s="5" t="s">
        <v>22</v>
      </c>
      <c r="K1206" s="7" t="str">
        <f>VLOOKUP(J1206,Introduction!$B$6:$C$14,2)</f>
        <v>North West</v>
      </c>
      <c r="L1206" s="13">
        <v>412</v>
      </c>
      <c r="M1206" s="8" t="s">
        <v>388</v>
      </c>
    </row>
    <row r="1207" spans="1:13" ht="19.95" customHeight="1" x14ac:dyDescent="0.25">
      <c r="A1207" s="40">
        <v>45352</v>
      </c>
      <c r="B1207" s="46">
        <f>MONTH(Table13[[#This Row],[YearMonth]])</f>
        <v>3</v>
      </c>
      <c r="C1207" s="5" t="s">
        <v>232</v>
      </c>
      <c r="D1207" s="6" t="s">
        <v>341</v>
      </c>
      <c r="E1207" s="6">
        <f>IF(Table13[[#This Row],[Quartile]]="TopQuartile", 1,
 IF(Table13[[#This Row],[Quartile]]="SecondQuartile", 2,
 IF(Table13[[#This Row],[Quartile]]="ThirdQuartile", 3,
 IF(Table13[[#This Row],[Quartile]]="FourthQuartile", 4, ""))))</f>
        <v>3</v>
      </c>
      <c r="F1207" s="5" t="s">
        <v>402</v>
      </c>
      <c r="G1207" s="5" t="str" cm="1">
        <f t="array" ref="G1207">IFERROR(
  INDEX(Table13[Quartile],
    MATCH(1,
      (Table13[[#This Row],[OrgName]]=Table13[OrgName]) *
      (Table13[[#This Row],[Month Number]]-1=Table13[Month Number]),
    0)
  ),
"")</f>
        <v>ThirdQuartile</v>
      </c>
      <c r="H1207" s="5">
        <f>IF(Table13[[#This Row],[Previous Quartile]]="TopQuartile", 1,
 IF(Table13[[#This Row],[Previous Quartile]]="SecondQuartile", 2,
 IF(Table13[[#This Row],[Previous Quartile]]="ThirdQuartile", 3,
 IF(Table13[[#This Row],[Previous Quartile]]="FourthQuartile", 4, ""))))</f>
        <v>3</v>
      </c>
      <c r="I1207" s="5" t="str">
        <f>IF(Table13[[#This Row],[Previous Quartile Value]]="", "",
   IF(Table13[[#This Row],[Quartile Value]] &lt; Table13[[#This Row],[Previous Quartile Value]], "Improved",
   IF(Table13[[#This Row],[Quartile Value]] &gt; Table13[[#This Row],[Previous Quartile Value]], "Dropped", "Same")))</f>
        <v>Same</v>
      </c>
      <c r="J1207" s="5" t="s">
        <v>12</v>
      </c>
      <c r="K1207" s="7" t="str">
        <f>VLOOKUP(J1207,Introduction!$B$6:$C$14,2)</f>
        <v>London</v>
      </c>
      <c r="L1207" s="13">
        <v>394</v>
      </c>
      <c r="M1207" s="8" t="s">
        <v>388</v>
      </c>
    </row>
    <row r="1208" spans="1:13" ht="19.95" customHeight="1" x14ac:dyDescent="0.25">
      <c r="A1208" s="40">
        <v>45352</v>
      </c>
      <c r="B1208" s="46">
        <f>MONTH(Table13[[#This Row],[YearMonth]])</f>
        <v>3</v>
      </c>
      <c r="C1208" s="5" t="s">
        <v>217</v>
      </c>
      <c r="D1208" s="6" t="s">
        <v>341</v>
      </c>
      <c r="E1208" s="6">
        <f>IF(Table13[[#This Row],[Quartile]]="TopQuartile", 1,
 IF(Table13[[#This Row],[Quartile]]="SecondQuartile", 2,
 IF(Table13[[#This Row],[Quartile]]="ThirdQuartile", 3,
 IF(Table13[[#This Row],[Quartile]]="FourthQuartile", 4, ""))))</f>
        <v>3</v>
      </c>
      <c r="F1208" s="5" t="s">
        <v>399</v>
      </c>
      <c r="G1208" s="5" t="str" cm="1">
        <f t="array" ref="G1208">IFERROR(
  INDEX(Table13[Quartile],
    MATCH(1,
      (Table13[[#This Row],[OrgName]]=Table13[OrgName]) *
      (Table13[[#This Row],[Month Number]]-1=Table13[Month Number]),
    0)
  ),
"")</f>
        <v>ThirdQuartile</v>
      </c>
      <c r="H1208" s="5">
        <f>IF(Table13[[#This Row],[Previous Quartile]]="TopQuartile", 1,
 IF(Table13[[#This Row],[Previous Quartile]]="SecondQuartile", 2,
 IF(Table13[[#This Row],[Previous Quartile]]="ThirdQuartile", 3,
 IF(Table13[[#This Row],[Previous Quartile]]="FourthQuartile", 4, ""))))</f>
        <v>3</v>
      </c>
      <c r="I1208" s="5" t="str">
        <f>IF(Table13[[#This Row],[Previous Quartile Value]]="", "",
   IF(Table13[[#This Row],[Quartile Value]] &lt; Table13[[#This Row],[Previous Quartile Value]], "Improved",
   IF(Table13[[#This Row],[Quartile Value]] &gt; Table13[[#This Row],[Previous Quartile Value]], "Dropped", "Same")))</f>
        <v>Same</v>
      </c>
      <c r="J1208" s="5" t="s">
        <v>14</v>
      </c>
      <c r="K1208" s="7" t="str">
        <f>VLOOKUP(J1208,Introduction!$B$6:$C$14,2)</f>
        <v>South West</v>
      </c>
      <c r="L1208" s="13">
        <v>269</v>
      </c>
      <c r="M1208" s="8" t="s">
        <v>388</v>
      </c>
    </row>
    <row r="1209" spans="1:13" ht="19.95" customHeight="1" x14ac:dyDescent="0.25">
      <c r="A1209" s="40">
        <v>45352</v>
      </c>
      <c r="B1209" s="46">
        <f>MONTH(Table13[[#This Row],[YearMonth]])</f>
        <v>3</v>
      </c>
      <c r="C1209" s="5" t="s">
        <v>226</v>
      </c>
      <c r="D1209" s="6" t="s">
        <v>341</v>
      </c>
      <c r="E1209" s="6">
        <f>IF(Table13[[#This Row],[Quartile]]="TopQuartile", 1,
 IF(Table13[[#This Row],[Quartile]]="SecondQuartile", 2,
 IF(Table13[[#This Row],[Quartile]]="ThirdQuartile", 3,
 IF(Table13[[#This Row],[Quartile]]="FourthQuartile", 4, ""))))</f>
        <v>3</v>
      </c>
      <c r="F1209" s="5" t="s">
        <v>401</v>
      </c>
      <c r="G1209" s="5" t="str" cm="1">
        <f t="array" ref="G1209">IFERROR(
  INDEX(Table13[Quartile],
    MATCH(1,
      (Table13[[#This Row],[OrgName]]=Table13[OrgName]) *
      (Table13[[#This Row],[Month Number]]-1=Table13[Month Number]),
    0)
  ),
"")</f>
        <v>ThirdQuartile</v>
      </c>
      <c r="H1209" s="5">
        <f>IF(Table13[[#This Row],[Previous Quartile]]="TopQuartile", 1,
 IF(Table13[[#This Row],[Previous Quartile]]="SecondQuartile", 2,
 IF(Table13[[#This Row],[Previous Quartile]]="ThirdQuartile", 3,
 IF(Table13[[#This Row],[Previous Quartile]]="FourthQuartile", 4, ""))))</f>
        <v>3</v>
      </c>
      <c r="I1209" s="5" t="str">
        <f>IF(Table13[[#This Row],[Previous Quartile Value]]="", "",
   IF(Table13[[#This Row],[Quartile Value]] &lt; Table13[[#This Row],[Previous Quartile Value]], "Improved",
   IF(Table13[[#This Row],[Quartile Value]] &gt; Table13[[#This Row],[Previous Quartile Value]], "Dropped", "Same")))</f>
        <v>Same</v>
      </c>
      <c r="J1209" s="5" t="s">
        <v>22</v>
      </c>
      <c r="K1209" s="7" t="str">
        <f>VLOOKUP(J1209,Introduction!$B$6:$C$14,2)</f>
        <v>North West</v>
      </c>
      <c r="L1209" s="13">
        <v>245</v>
      </c>
      <c r="M1209" s="8" t="s">
        <v>388</v>
      </c>
    </row>
    <row r="1210" spans="1:13" ht="19.95" customHeight="1" x14ac:dyDescent="0.25">
      <c r="A1210" s="40">
        <v>45352</v>
      </c>
      <c r="B1210" s="46">
        <f>MONTH(Table13[[#This Row],[YearMonth]])</f>
        <v>3</v>
      </c>
      <c r="C1210" s="5" t="s">
        <v>224</v>
      </c>
      <c r="D1210" s="6" t="s">
        <v>341</v>
      </c>
      <c r="E1210" s="6">
        <f>IF(Table13[[#This Row],[Quartile]]="TopQuartile", 1,
 IF(Table13[[#This Row],[Quartile]]="SecondQuartile", 2,
 IF(Table13[[#This Row],[Quartile]]="ThirdQuartile", 3,
 IF(Table13[[#This Row],[Quartile]]="FourthQuartile", 4, ""))))</f>
        <v>3</v>
      </c>
      <c r="F1210" s="5" t="s">
        <v>400</v>
      </c>
      <c r="G1210" s="5" t="str" cm="1">
        <f t="array" ref="G1210">IFERROR(
  INDEX(Table13[Quartile],
    MATCH(1,
      (Table13[[#This Row],[OrgName]]=Table13[OrgName]) *
      (Table13[[#This Row],[Month Number]]-1=Table13[Month Number]),
    0)
  ),
"")</f>
        <v>ThirdQuartile</v>
      </c>
      <c r="H1210" s="5">
        <f>IF(Table13[[#This Row],[Previous Quartile]]="TopQuartile", 1,
 IF(Table13[[#This Row],[Previous Quartile]]="SecondQuartile", 2,
 IF(Table13[[#This Row],[Previous Quartile]]="ThirdQuartile", 3,
 IF(Table13[[#This Row],[Previous Quartile]]="FourthQuartile", 4, ""))))</f>
        <v>3</v>
      </c>
      <c r="I1210" s="5" t="str">
        <f>IF(Table13[[#This Row],[Previous Quartile Value]]="", "",
   IF(Table13[[#This Row],[Quartile Value]] &lt; Table13[[#This Row],[Previous Quartile Value]], "Improved",
   IF(Table13[[#This Row],[Quartile Value]] &gt; Table13[[#This Row],[Previous Quartile Value]], "Dropped", "Same")))</f>
        <v>Same</v>
      </c>
      <c r="J1210" s="5" t="s">
        <v>18</v>
      </c>
      <c r="K1210" s="7" t="str">
        <f>VLOOKUP(J1210,Introduction!$B$6:$C$14,2)</f>
        <v>Midlands</v>
      </c>
      <c r="L1210" s="13">
        <v>407</v>
      </c>
      <c r="M1210" s="8" t="s">
        <v>388</v>
      </c>
    </row>
    <row r="1211" spans="1:13" ht="19.95" customHeight="1" x14ac:dyDescent="0.25">
      <c r="A1211" s="40">
        <v>45352</v>
      </c>
      <c r="B1211" s="46">
        <f>MONTH(Table13[[#This Row],[YearMonth]])</f>
        <v>3</v>
      </c>
      <c r="C1211" s="5" t="s">
        <v>245</v>
      </c>
      <c r="D1211" s="6" t="s">
        <v>341</v>
      </c>
      <c r="E1211" s="6">
        <f>IF(Table13[[#This Row],[Quartile]]="TopQuartile", 1,
 IF(Table13[[#This Row],[Quartile]]="SecondQuartile", 2,
 IF(Table13[[#This Row],[Quartile]]="ThirdQuartile", 3,
 IF(Table13[[#This Row],[Quartile]]="FourthQuartile", 4, ""))))</f>
        <v>3</v>
      </c>
      <c r="F1211" s="5" t="s">
        <v>403</v>
      </c>
      <c r="G1211" s="5" t="str" cm="1">
        <f t="array" ref="G1211">IFERROR(
  INDEX(Table13[Quartile],
    MATCH(1,
      (Table13[[#This Row],[OrgName]]=Table13[OrgName]) *
      (Table13[[#This Row],[Month Number]]-1=Table13[Month Number]),
    0)
  ),
"")</f>
        <v>ThirdQuartile</v>
      </c>
      <c r="H1211" s="5">
        <f>IF(Table13[[#This Row],[Previous Quartile]]="TopQuartile", 1,
 IF(Table13[[#This Row],[Previous Quartile]]="SecondQuartile", 2,
 IF(Table13[[#This Row],[Previous Quartile]]="ThirdQuartile", 3,
 IF(Table13[[#This Row],[Previous Quartile]]="FourthQuartile", 4, ""))))</f>
        <v>3</v>
      </c>
      <c r="I1211" s="5" t="str">
        <f>IF(Table13[[#This Row],[Previous Quartile Value]]="", "",
   IF(Table13[[#This Row],[Quartile Value]] &lt; Table13[[#This Row],[Previous Quartile Value]], "Improved",
   IF(Table13[[#This Row],[Quartile Value]] &gt; Table13[[#This Row],[Previous Quartile Value]], "Dropped", "Same")))</f>
        <v>Same</v>
      </c>
      <c r="J1211" s="5" t="s">
        <v>18</v>
      </c>
      <c r="K1211" s="7" t="str">
        <f>VLOOKUP(J1211,Introduction!$B$6:$C$14,2)</f>
        <v>Midlands</v>
      </c>
      <c r="L1211" s="13">
        <v>230</v>
      </c>
      <c r="M1211" s="8" t="s">
        <v>388</v>
      </c>
    </row>
    <row r="1212" spans="1:13" ht="19.95" customHeight="1" x14ac:dyDescent="0.25">
      <c r="A1212" s="40">
        <v>45352</v>
      </c>
      <c r="B1212" s="46">
        <f>MONTH(Table13[[#This Row],[YearMonth]])</f>
        <v>3</v>
      </c>
      <c r="C1212" s="5" t="s">
        <v>249</v>
      </c>
      <c r="D1212" s="6" t="s">
        <v>341</v>
      </c>
      <c r="E1212" s="6">
        <f>IF(Table13[[#This Row],[Quartile]]="TopQuartile", 1,
 IF(Table13[[#This Row],[Quartile]]="SecondQuartile", 2,
 IF(Table13[[#This Row],[Quartile]]="ThirdQuartile", 3,
 IF(Table13[[#This Row],[Quartile]]="FourthQuartile", 4, ""))))</f>
        <v>3</v>
      </c>
      <c r="F1212" s="5" t="s">
        <v>404</v>
      </c>
      <c r="G1212" s="5" t="str" cm="1">
        <f t="array" ref="G1212">IFERROR(
  INDEX(Table13[Quartile],
    MATCH(1,
      (Table13[[#This Row],[OrgName]]=Table13[OrgName]) *
      (Table13[[#This Row],[Month Number]]-1=Table13[Month Number]),
    0)
  ),
"")</f>
        <v>ThirdQuartile</v>
      </c>
      <c r="H1212" s="5">
        <f>IF(Table13[[#This Row],[Previous Quartile]]="TopQuartile", 1,
 IF(Table13[[#This Row],[Previous Quartile]]="SecondQuartile", 2,
 IF(Table13[[#This Row],[Previous Quartile]]="ThirdQuartile", 3,
 IF(Table13[[#This Row],[Previous Quartile]]="FourthQuartile", 4, ""))))</f>
        <v>3</v>
      </c>
      <c r="I1212" s="5" t="str">
        <f>IF(Table13[[#This Row],[Previous Quartile Value]]="", "",
   IF(Table13[[#This Row],[Quartile Value]] &lt; Table13[[#This Row],[Previous Quartile Value]], "Improved",
   IF(Table13[[#This Row],[Quartile Value]] &gt; Table13[[#This Row],[Previous Quartile Value]], "Dropped", "Same")))</f>
        <v>Same</v>
      </c>
      <c r="J1212" s="5" t="s">
        <v>20</v>
      </c>
      <c r="K1212" s="7" t="str">
        <f>VLOOKUP(J1212,Introduction!$B$6:$C$14,2)</f>
        <v>East of England</v>
      </c>
      <c r="L1212" s="13">
        <v>292</v>
      </c>
      <c r="M1212" s="8" t="s">
        <v>388</v>
      </c>
    </row>
    <row r="1213" spans="1:13" ht="19.95" customHeight="1" x14ac:dyDescent="0.25">
      <c r="A1213" s="40">
        <v>45352</v>
      </c>
      <c r="B1213" s="46">
        <f>MONTH(Table13[[#This Row],[YearMonth]])</f>
        <v>3</v>
      </c>
      <c r="C1213" s="5" t="s">
        <v>256</v>
      </c>
      <c r="D1213" s="6" t="s">
        <v>350</v>
      </c>
      <c r="E1213" s="6">
        <f>IF(Table13[[#This Row],[Quartile]]="TopQuartile", 1,
 IF(Table13[[#This Row],[Quartile]]="SecondQuartile", 2,
 IF(Table13[[#This Row],[Quartile]]="ThirdQuartile", 3,
 IF(Table13[[#This Row],[Quartile]]="FourthQuartile", 4, ""))))</f>
        <v>4</v>
      </c>
      <c r="F1213" s="5" t="s">
        <v>405</v>
      </c>
      <c r="G1213" s="5" t="str" cm="1">
        <f t="array" ref="G1213">IFERROR(
  INDEX(Table13[Quartile],
    MATCH(1,
      (Table13[[#This Row],[OrgName]]=Table13[OrgName]) *
      (Table13[[#This Row],[Month Number]]-1=Table13[Month Number]),
    0)
  ),
"")</f>
        <v>FourthQuartile</v>
      </c>
      <c r="H1213" s="5">
        <f>IF(Table13[[#This Row],[Previous Quartile]]="TopQuartile", 1,
 IF(Table13[[#This Row],[Previous Quartile]]="SecondQuartile", 2,
 IF(Table13[[#This Row],[Previous Quartile]]="ThirdQuartile", 3,
 IF(Table13[[#This Row],[Previous Quartile]]="FourthQuartile", 4, ""))))</f>
        <v>4</v>
      </c>
      <c r="I1213" s="5" t="str">
        <f>IF(Table13[[#This Row],[Previous Quartile Value]]="", "",
   IF(Table13[[#This Row],[Quartile Value]] &lt; Table13[[#This Row],[Previous Quartile Value]], "Improved",
   IF(Table13[[#This Row],[Quartile Value]] &gt; Table13[[#This Row],[Previous Quartile Value]], "Dropped", "Same")))</f>
        <v>Same</v>
      </c>
      <c r="J1213" s="5" t="s">
        <v>14</v>
      </c>
      <c r="K1213" s="7" t="str">
        <f>VLOOKUP(J1213,Introduction!$B$6:$C$14,2)</f>
        <v>South West</v>
      </c>
      <c r="L1213" s="13">
        <v>405</v>
      </c>
      <c r="M1213" s="8" t="s">
        <v>388</v>
      </c>
    </row>
    <row r="1214" spans="1:13" ht="19.95" customHeight="1" x14ac:dyDescent="0.25">
      <c r="A1214" s="40">
        <v>45352</v>
      </c>
      <c r="B1214" s="46">
        <f>MONTH(Table13[[#This Row],[YearMonth]])</f>
        <v>3</v>
      </c>
      <c r="C1214" s="5" t="s">
        <v>305</v>
      </c>
      <c r="D1214" s="6" t="s">
        <v>350</v>
      </c>
      <c r="E1214" s="6">
        <f>IF(Table13[[#This Row],[Quartile]]="TopQuartile", 1,
 IF(Table13[[#This Row],[Quartile]]="SecondQuartile", 2,
 IF(Table13[[#This Row],[Quartile]]="ThirdQuartile", 3,
 IF(Table13[[#This Row],[Quartile]]="FourthQuartile", 4, ""))))</f>
        <v>4</v>
      </c>
      <c r="F1214" s="5" t="s">
        <v>406</v>
      </c>
      <c r="G1214" s="5" t="str" cm="1">
        <f t="array" ref="G1214">IFERROR(
  INDEX(Table13[Quartile],
    MATCH(1,
      (Table13[[#This Row],[OrgName]]=Table13[OrgName]) *
      (Table13[[#This Row],[Month Number]]-1=Table13[Month Number]),
    0)
  ),
"")</f>
        <v>FourthQuartile</v>
      </c>
      <c r="H1214" s="5">
        <f>IF(Table13[[#This Row],[Previous Quartile]]="TopQuartile", 1,
 IF(Table13[[#This Row],[Previous Quartile]]="SecondQuartile", 2,
 IF(Table13[[#This Row],[Previous Quartile]]="ThirdQuartile", 3,
 IF(Table13[[#This Row],[Previous Quartile]]="FourthQuartile", 4, ""))))</f>
        <v>4</v>
      </c>
      <c r="I1214" s="5" t="str">
        <f>IF(Table13[[#This Row],[Previous Quartile Value]]="", "",
   IF(Table13[[#This Row],[Quartile Value]] &lt; Table13[[#This Row],[Previous Quartile Value]], "Improved",
   IF(Table13[[#This Row],[Quartile Value]] &gt; Table13[[#This Row],[Previous Quartile Value]], "Dropped", "Same")))</f>
        <v>Same</v>
      </c>
      <c r="J1214" s="5" t="s">
        <v>20</v>
      </c>
      <c r="K1214" s="7" t="str">
        <f>VLOOKUP(J1214,Introduction!$B$6:$C$14,2)</f>
        <v>East of England</v>
      </c>
      <c r="L1214" s="13">
        <v>179</v>
      </c>
      <c r="M1214" s="8" t="s">
        <v>388</v>
      </c>
    </row>
    <row r="1215" spans="1:13" ht="19.95" customHeight="1" x14ac:dyDescent="0.25">
      <c r="A1215" s="40">
        <v>45352</v>
      </c>
      <c r="B1215" s="46">
        <f>MONTH(Table13[[#This Row],[YearMonth]])</f>
        <v>3</v>
      </c>
      <c r="C1215" s="5" t="s">
        <v>125</v>
      </c>
      <c r="D1215" s="6" t="s">
        <v>330</v>
      </c>
      <c r="E1215" s="6">
        <f>IF(Table13[[#This Row],[Quartile]]="TopQuartile", 1,
 IF(Table13[[#This Row],[Quartile]]="SecondQuartile", 2,
 IF(Table13[[#This Row],[Quartile]]="ThirdQuartile", 3,
 IF(Table13[[#This Row],[Quartile]]="FourthQuartile", 4, ""))))</f>
        <v>1</v>
      </c>
      <c r="F1215" s="5" t="s">
        <v>414</v>
      </c>
      <c r="G1215" s="5" t="str" cm="1">
        <f t="array" ref="G1215">IFERROR(
  INDEX(Table13[Quartile],
    MATCH(1,
      (Table13[[#This Row],[OrgName]]=Table13[OrgName]) *
      (Table13[[#This Row],[Month Number]]-1=Table13[Month Number]),
    0)
  ),
"")</f>
        <v>TopQuartile</v>
      </c>
      <c r="H1215" s="5">
        <f>IF(Table13[[#This Row],[Previous Quartile]]="TopQuartile", 1,
 IF(Table13[[#This Row],[Previous Quartile]]="SecondQuartile", 2,
 IF(Table13[[#This Row],[Previous Quartile]]="ThirdQuartile", 3,
 IF(Table13[[#This Row],[Previous Quartile]]="FourthQuartile", 4, ""))))</f>
        <v>1</v>
      </c>
      <c r="I1215" s="5" t="str">
        <f>IF(Table13[[#This Row],[Previous Quartile Value]]="", "",
   IF(Table13[[#This Row],[Quartile Value]] &lt; Table13[[#This Row],[Previous Quartile Value]], "Improved",
   IF(Table13[[#This Row],[Quartile Value]] &gt; Table13[[#This Row],[Previous Quartile Value]], "Dropped", "Same")))</f>
        <v>Same</v>
      </c>
      <c r="J1215" s="5" t="s">
        <v>22</v>
      </c>
      <c r="K1215" s="7" t="str">
        <f>VLOOKUP(J1215,Introduction!$B$6:$C$14,2)</f>
        <v>North West</v>
      </c>
      <c r="L1215" s="13">
        <v>160</v>
      </c>
      <c r="M1215" s="8" t="s">
        <v>408</v>
      </c>
    </row>
    <row r="1216" spans="1:13" ht="19.95" customHeight="1" x14ac:dyDescent="0.25">
      <c r="A1216" s="40">
        <v>45352</v>
      </c>
      <c r="B1216" s="46">
        <f>MONTH(Table13[[#This Row],[YearMonth]])</f>
        <v>3</v>
      </c>
      <c r="C1216" s="5" t="s">
        <v>99</v>
      </c>
      <c r="D1216" s="6" t="s">
        <v>330</v>
      </c>
      <c r="E1216" s="6">
        <f>IF(Table13[[#This Row],[Quartile]]="TopQuartile", 1,
 IF(Table13[[#This Row],[Quartile]]="SecondQuartile", 2,
 IF(Table13[[#This Row],[Quartile]]="ThirdQuartile", 3,
 IF(Table13[[#This Row],[Quartile]]="FourthQuartile", 4, ""))))</f>
        <v>1</v>
      </c>
      <c r="F1216" s="5" t="s">
        <v>411</v>
      </c>
      <c r="G1216" s="5" t="str" cm="1">
        <f t="array" ref="G1216">IFERROR(
  INDEX(Table13[Quartile],
    MATCH(1,
      (Table13[[#This Row],[OrgName]]=Table13[OrgName]) *
      (Table13[[#This Row],[Month Number]]-1=Table13[Month Number]),
    0)
  ),
"")</f>
        <v>TopQuartile</v>
      </c>
      <c r="H1216" s="5">
        <f>IF(Table13[[#This Row],[Previous Quartile]]="TopQuartile", 1,
 IF(Table13[[#This Row],[Previous Quartile]]="SecondQuartile", 2,
 IF(Table13[[#This Row],[Previous Quartile]]="ThirdQuartile", 3,
 IF(Table13[[#This Row],[Previous Quartile]]="FourthQuartile", 4, ""))))</f>
        <v>1</v>
      </c>
      <c r="I1216" s="5" t="str">
        <f>IF(Table13[[#This Row],[Previous Quartile Value]]="", "",
   IF(Table13[[#This Row],[Quartile Value]] &lt; Table13[[#This Row],[Previous Quartile Value]], "Improved",
   IF(Table13[[#This Row],[Quartile Value]] &gt; Table13[[#This Row],[Previous Quartile Value]], "Dropped", "Same")))</f>
        <v>Same</v>
      </c>
      <c r="J1216" s="5" t="s">
        <v>12</v>
      </c>
      <c r="K1216" s="7" t="str">
        <f>VLOOKUP(J1216,Introduction!$B$6:$C$14,2)</f>
        <v>London</v>
      </c>
      <c r="L1216" s="13">
        <v>271</v>
      </c>
      <c r="M1216" s="8" t="s">
        <v>408</v>
      </c>
    </row>
    <row r="1217" spans="1:13" ht="19.95" customHeight="1" x14ac:dyDescent="0.25">
      <c r="A1217" s="40">
        <v>45352</v>
      </c>
      <c r="B1217" s="46">
        <f>MONTH(Table13[[#This Row],[YearMonth]])</f>
        <v>3</v>
      </c>
      <c r="C1217" s="5" t="s">
        <v>56</v>
      </c>
      <c r="D1217" s="6" t="s">
        <v>330</v>
      </c>
      <c r="E1217" s="6">
        <f>IF(Table13[[#This Row],[Quartile]]="TopQuartile", 1,
 IF(Table13[[#This Row],[Quartile]]="SecondQuartile", 2,
 IF(Table13[[#This Row],[Quartile]]="ThirdQuartile", 3,
 IF(Table13[[#This Row],[Quartile]]="FourthQuartile", 4, ""))))</f>
        <v>1</v>
      </c>
      <c r="F1217" s="5" t="s">
        <v>407</v>
      </c>
      <c r="G1217" s="5" t="str" cm="1">
        <f t="array" ref="G1217">IFERROR(
  INDEX(Table13[Quartile],
    MATCH(1,
      (Table13[[#This Row],[OrgName]]=Table13[OrgName]) *
      (Table13[[#This Row],[Month Number]]-1=Table13[Month Number]),
    0)
  ),
"")</f>
        <v>TopQuartile</v>
      </c>
      <c r="H1217" s="5">
        <f>IF(Table13[[#This Row],[Previous Quartile]]="TopQuartile", 1,
 IF(Table13[[#This Row],[Previous Quartile]]="SecondQuartile", 2,
 IF(Table13[[#This Row],[Previous Quartile]]="ThirdQuartile", 3,
 IF(Table13[[#This Row],[Previous Quartile]]="FourthQuartile", 4, ""))))</f>
        <v>1</v>
      </c>
      <c r="I1217" s="5" t="str">
        <f>IF(Table13[[#This Row],[Previous Quartile Value]]="", "",
   IF(Table13[[#This Row],[Quartile Value]] &lt; Table13[[#This Row],[Previous Quartile Value]], "Improved",
   IF(Table13[[#This Row],[Quartile Value]] &gt; Table13[[#This Row],[Previous Quartile Value]], "Dropped", "Same")))</f>
        <v>Same</v>
      </c>
      <c r="J1217" s="5" t="s">
        <v>20</v>
      </c>
      <c r="K1217" s="7" t="str">
        <f>VLOOKUP(J1217,Introduction!$B$6:$C$14,2)</f>
        <v>East of England</v>
      </c>
      <c r="L1217" s="13">
        <v>175</v>
      </c>
      <c r="M1217" s="8" t="s">
        <v>408</v>
      </c>
    </row>
    <row r="1218" spans="1:13" ht="19.95" customHeight="1" x14ac:dyDescent="0.25">
      <c r="A1218" s="40">
        <v>45352</v>
      </c>
      <c r="B1218" s="46">
        <f>MONTH(Table13[[#This Row],[YearMonth]])</f>
        <v>3</v>
      </c>
      <c r="C1218" s="5" t="s">
        <v>84</v>
      </c>
      <c r="D1218" s="6" t="s">
        <v>330</v>
      </c>
      <c r="E1218" s="6">
        <f>IF(Table13[[#This Row],[Quartile]]="TopQuartile", 1,
 IF(Table13[[#This Row],[Quartile]]="SecondQuartile", 2,
 IF(Table13[[#This Row],[Quartile]]="ThirdQuartile", 3,
 IF(Table13[[#This Row],[Quartile]]="FourthQuartile", 4, ""))))</f>
        <v>1</v>
      </c>
      <c r="F1218" s="5" t="s">
        <v>409</v>
      </c>
      <c r="G1218" s="5" t="str" cm="1">
        <f t="array" ref="G1218">IFERROR(
  INDEX(Table13[Quartile],
    MATCH(1,
      (Table13[[#This Row],[OrgName]]=Table13[OrgName]) *
      (Table13[[#This Row],[Month Number]]-1=Table13[Month Number]),
    0)
  ),
"")</f>
        <v>SecondQuartile</v>
      </c>
      <c r="H1218" s="5">
        <f>IF(Table13[[#This Row],[Previous Quartile]]="TopQuartile", 1,
 IF(Table13[[#This Row],[Previous Quartile]]="SecondQuartile", 2,
 IF(Table13[[#This Row],[Previous Quartile]]="ThirdQuartile", 3,
 IF(Table13[[#This Row],[Previous Quartile]]="FourthQuartile", 4, ""))))</f>
        <v>2</v>
      </c>
      <c r="I1218" s="5" t="str">
        <f>IF(Table13[[#This Row],[Previous Quartile Value]]="", "",
   IF(Table13[[#This Row],[Quartile Value]] &lt; Table13[[#This Row],[Previous Quartile Value]], "Improved",
   IF(Table13[[#This Row],[Quartile Value]] &gt; Table13[[#This Row],[Previous Quartile Value]], "Dropped", "Same")))</f>
        <v>Improved</v>
      </c>
      <c r="J1218" s="5" t="s">
        <v>16</v>
      </c>
      <c r="K1218" s="7" t="str">
        <f>VLOOKUP(J1218,Introduction!$B$6:$C$14,2)</f>
        <v>South East</v>
      </c>
      <c r="L1218" s="13">
        <v>276</v>
      </c>
      <c r="M1218" s="8" t="s">
        <v>408</v>
      </c>
    </row>
    <row r="1219" spans="1:13" ht="19.95" customHeight="1" x14ac:dyDescent="0.25">
      <c r="A1219" s="40">
        <v>45352</v>
      </c>
      <c r="B1219" s="46">
        <f>MONTH(Table13[[#This Row],[YearMonth]])</f>
        <v>3</v>
      </c>
      <c r="C1219" s="5" t="s">
        <v>102</v>
      </c>
      <c r="D1219" s="6" t="s">
        <v>330</v>
      </c>
      <c r="E1219" s="6">
        <f>IF(Table13[[#This Row],[Quartile]]="TopQuartile", 1,
 IF(Table13[[#This Row],[Quartile]]="SecondQuartile", 2,
 IF(Table13[[#This Row],[Quartile]]="ThirdQuartile", 3,
 IF(Table13[[#This Row],[Quartile]]="FourthQuartile", 4, ""))))</f>
        <v>1</v>
      </c>
      <c r="F1219" s="5" t="s">
        <v>412</v>
      </c>
      <c r="G1219" s="5" t="str" cm="1">
        <f t="array" ref="G1219">IFERROR(
  INDEX(Table13[Quartile],
    MATCH(1,
      (Table13[[#This Row],[OrgName]]=Table13[OrgName]) *
      (Table13[[#This Row],[Month Number]]-1=Table13[Month Number]),
    0)
  ),
"")</f>
        <v>SecondQuartile</v>
      </c>
      <c r="H1219" s="5">
        <f>IF(Table13[[#This Row],[Previous Quartile]]="TopQuartile", 1,
 IF(Table13[[#This Row],[Previous Quartile]]="SecondQuartile", 2,
 IF(Table13[[#This Row],[Previous Quartile]]="ThirdQuartile", 3,
 IF(Table13[[#This Row],[Previous Quartile]]="FourthQuartile", 4, ""))))</f>
        <v>2</v>
      </c>
      <c r="I1219" s="5" t="str">
        <f>IF(Table13[[#This Row],[Previous Quartile Value]]="", "",
   IF(Table13[[#This Row],[Quartile Value]] &lt; Table13[[#This Row],[Previous Quartile Value]], "Improved",
   IF(Table13[[#This Row],[Quartile Value]] &gt; Table13[[#This Row],[Previous Quartile Value]], "Dropped", "Same")))</f>
        <v>Improved</v>
      </c>
      <c r="J1219" s="5" t="s">
        <v>22</v>
      </c>
      <c r="K1219" s="7" t="str">
        <f>VLOOKUP(J1219,Introduction!$B$6:$C$14,2)</f>
        <v>North West</v>
      </c>
      <c r="L1219" s="13">
        <v>411</v>
      </c>
      <c r="M1219" s="8" t="s">
        <v>408</v>
      </c>
    </row>
    <row r="1220" spans="1:13" ht="19.95" customHeight="1" x14ac:dyDescent="0.25">
      <c r="A1220" s="40">
        <v>45352</v>
      </c>
      <c r="B1220" s="46">
        <f>MONTH(Table13[[#This Row],[YearMonth]])</f>
        <v>3</v>
      </c>
      <c r="C1220" s="5" t="s">
        <v>108</v>
      </c>
      <c r="D1220" s="6" t="s">
        <v>330</v>
      </c>
      <c r="E1220" s="6">
        <f>IF(Table13[[#This Row],[Quartile]]="TopQuartile", 1,
 IF(Table13[[#This Row],[Quartile]]="SecondQuartile", 2,
 IF(Table13[[#This Row],[Quartile]]="ThirdQuartile", 3,
 IF(Table13[[#This Row],[Quartile]]="FourthQuartile", 4, ""))))</f>
        <v>1</v>
      </c>
      <c r="F1220" s="5" t="s">
        <v>413</v>
      </c>
      <c r="G1220" s="5" t="str" cm="1">
        <f t="array" ref="G1220">IFERROR(
  INDEX(Table13[Quartile],
    MATCH(1,
      (Table13[[#This Row],[OrgName]]=Table13[OrgName]) *
      (Table13[[#This Row],[Month Number]]-1=Table13[Month Number]),
    0)
  ),
"")</f>
        <v>TopQuartile</v>
      </c>
      <c r="H1220" s="5">
        <f>IF(Table13[[#This Row],[Previous Quartile]]="TopQuartile", 1,
 IF(Table13[[#This Row],[Previous Quartile]]="SecondQuartile", 2,
 IF(Table13[[#This Row],[Previous Quartile]]="ThirdQuartile", 3,
 IF(Table13[[#This Row],[Previous Quartile]]="FourthQuartile", 4, ""))))</f>
        <v>1</v>
      </c>
      <c r="I1220" s="5" t="str">
        <f>IF(Table13[[#This Row],[Previous Quartile Value]]="", "",
   IF(Table13[[#This Row],[Quartile Value]] &lt; Table13[[#This Row],[Previous Quartile Value]], "Improved",
   IF(Table13[[#This Row],[Quartile Value]] &gt; Table13[[#This Row],[Previous Quartile Value]], "Dropped", "Same")))</f>
        <v>Same</v>
      </c>
      <c r="J1220" s="5" t="s">
        <v>22</v>
      </c>
      <c r="K1220" s="7" t="str">
        <f>VLOOKUP(J1220,Introduction!$B$6:$C$14,2)</f>
        <v>North West</v>
      </c>
      <c r="L1220" s="13">
        <v>158</v>
      </c>
      <c r="M1220" s="8" t="s">
        <v>408</v>
      </c>
    </row>
    <row r="1221" spans="1:13" ht="19.95" customHeight="1" x14ac:dyDescent="0.25">
      <c r="A1221" s="40">
        <v>45352</v>
      </c>
      <c r="B1221" s="46">
        <f>MONTH(Table13[[#This Row],[YearMonth]])</f>
        <v>3</v>
      </c>
      <c r="C1221" s="5" t="s">
        <v>215</v>
      </c>
      <c r="D1221" s="6" t="s">
        <v>338</v>
      </c>
      <c r="E1221" s="6">
        <f>IF(Table13[[#This Row],[Quartile]]="TopQuartile", 1,
 IF(Table13[[#This Row],[Quartile]]="SecondQuartile", 2,
 IF(Table13[[#This Row],[Quartile]]="ThirdQuartile", 3,
 IF(Table13[[#This Row],[Quartile]]="FourthQuartile", 4, ""))))</f>
        <v>2</v>
      </c>
      <c r="F1221" s="5" t="s">
        <v>419</v>
      </c>
      <c r="G1221" s="5" t="str" cm="1">
        <f t="array" ref="G1221">IFERROR(
  INDEX(Table13[Quartile],
    MATCH(1,
      (Table13[[#This Row],[OrgName]]=Table13[OrgName]) *
      (Table13[[#This Row],[Month Number]]-1=Table13[Month Number]),
    0)
  ),
"")</f>
        <v>SecondQuartile</v>
      </c>
      <c r="H1221" s="5">
        <f>IF(Table13[[#This Row],[Previous Quartile]]="TopQuartile", 1,
 IF(Table13[[#This Row],[Previous Quartile]]="SecondQuartile", 2,
 IF(Table13[[#This Row],[Previous Quartile]]="ThirdQuartile", 3,
 IF(Table13[[#This Row],[Previous Quartile]]="FourthQuartile", 4, ""))))</f>
        <v>2</v>
      </c>
      <c r="I1221" s="5" t="str">
        <f>IF(Table13[[#This Row],[Previous Quartile Value]]="", "",
   IF(Table13[[#This Row],[Quartile Value]] &lt; Table13[[#This Row],[Previous Quartile Value]], "Improved",
   IF(Table13[[#This Row],[Quartile Value]] &gt; Table13[[#This Row],[Previous Quartile Value]], "Dropped", "Same")))</f>
        <v>Same</v>
      </c>
      <c r="J1221" s="5" t="s">
        <v>18</v>
      </c>
      <c r="K1221" s="7" t="str">
        <f>VLOOKUP(J1221,Introduction!$B$6:$C$14,2)</f>
        <v>Midlands</v>
      </c>
      <c r="L1221" s="13">
        <v>224</v>
      </c>
      <c r="M1221" s="8" t="s">
        <v>408</v>
      </c>
    </row>
    <row r="1222" spans="1:13" ht="19.95" customHeight="1" x14ac:dyDescent="0.25">
      <c r="A1222" s="40">
        <v>45352</v>
      </c>
      <c r="B1222" s="46">
        <f>MONTH(Table13[[#This Row],[YearMonth]])</f>
        <v>3</v>
      </c>
      <c r="C1222" s="5" t="s">
        <v>150</v>
      </c>
      <c r="D1222" s="6" t="s">
        <v>338</v>
      </c>
      <c r="E1222" s="6">
        <f>IF(Table13[[#This Row],[Quartile]]="TopQuartile", 1,
 IF(Table13[[#This Row],[Quartile]]="SecondQuartile", 2,
 IF(Table13[[#This Row],[Quartile]]="ThirdQuartile", 3,
 IF(Table13[[#This Row],[Quartile]]="FourthQuartile", 4, ""))))</f>
        <v>2</v>
      </c>
      <c r="F1222" s="5" t="s">
        <v>415</v>
      </c>
      <c r="G1222" s="5" t="str" cm="1">
        <f t="array" ref="G1222">IFERROR(
  INDEX(Table13[Quartile],
    MATCH(1,
      (Table13[[#This Row],[OrgName]]=Table13[OrgName]) *
      (Table13[[#This Row],[Month Number]]-1=Table13[Month Number]),
    0)
  ),
"")</f>
        <v>SecondQuartile</v>
      </c>
      <c r="H1222" s="5">
        <f>IF(Table13[[#This Row],[Previous Quartile]]="TopQuartile", 1,
 IF(Table13[[#This Row],[Previous Quartile]]="SecondQuartile", 2,
 IF(Table13[[#This Row],[Previous Quartile]]="ThirdQuartile", 3,
 IF(Table13[[#This Row],[Previous Quartile]]="FourthQuartile", 4, ""))))</f>
        <v>2</v>
      </c>
      <c r="I1222" s="5" t="str">
        <f>IF(Table13[[#This Row],[Previous Quartile Value]]="", "",
   IF(Table13[[#This Row],[Quartile Value]] &lt; Table13[[#This Row],[Previous Quartile Value]], "Improved",
   IF(Table13[[#This Row],[Quartile Value]] &gt; Table13[[#This Row],[Previous Quartile Value]], "Dropped", "Same")))</f>
        <v>Same</v>
      </c>
      <c r="J1222" s="5" t="s">
        <v>22</v>
      </c>
      <c r="K1222" s="7" t="str">
        <f>VLOOKUP(J1222,Introduction!$B$6:$C$14,2)</f>
        <v>North West</v>
      </c>
      <c r="L1222" s="13">
        <v>413</v>
      </c>
      <c r="M1222" s="8" t="s">
        <v>408</v>
      </c>
    </row>
    <row r="1223" spans="1:13" ht="19.95" customHeight="1" x14ac:dyDescent="0.25">
      <c r="A1223" s="40">
        <v>45352</v>
      </c>
      <c r="B1223" s="46">
        <f>MONTH(Table13[[#This Row],[YearMonth]])</f>
        <v>3</v>
      </c>
      <c r="C1223" s="5" t="s">
        <v>96</v>
      </c>
      <c r="D1223" s="6" t="s">
        <v>338</v>
      </c>
      <c r="E1223" s="6">
        <f>IF(Table13[[#This Row],[Quartile]]="TopQuartile", 1,
 IF(Table13[[#This Row],[Quartile]]="SecondQuartile", 2,
 IF(Table13[[#This Row],[Quartile]]="ThirdQuartile", 3,
 IF(Table13[[#This Row],[Quartile]]="FourthQuartile", 4, ""))))</f>
        <v>2</v>
      </c>
      <c r="F1223" s="5" t="s">
        <v>410</v>
      </c>
      <c r="G1223" s="5" t="str" cm="1">
        <f t="array" ref="G1223">IFERROR(
  INDEX(Table13[Quartile],
    MATCH(1,
      (Table13[[#This Row],[OrgName]]=Table13[OrgName]) *
      (Table13[[#This Row],[Month Number]]-1=Table13[Month Number]),
    0)
  ),
"")</f>
        <v>SecondQuartile</v>
      </c>
      <c r="H1223" s="5">
        <f>IF(Table13[[#This Row],[Previous Quartile]]="TopQuartile", 1,
 IF(Table13[[#This Row],[Previous Quartile]]="SecondQuartile", 2,
 IF(Table13[[#This Row],[Previous Quartile]]="ThirdQuartile", 3,
 IF(Table13[[#This Row],[Previous Quartile]]="FourthQuartile", 4, ""))))</f>
        <v>2</v>
      </c>
      <c r="I1223" s="5" t="str">
        <f>IF(Table13[[#This Row],[Previous Quartile Value]]="", "",
   IF(Table13[[#This Row],[Quartile Value]] &lt; Table13[[#This Row],[Previous Quartile Value]], "Improved",
   IF(Table13[[#This Row],[Quartile Value]] &gt; Table13[[#This Row],[Previous Quartile Value]], "Dropped", "Same")))</f>
        <v>Same</v>
      </c>
      <c r="J1223" s="5" t="s">
        <v>18</v>
      </c>
      <c r="K1223" s="7" t="str">
        <f>VLOOKUP(J1223,Introduction!$B$6:$C$14,2)</f>
        <v>Midlands</v>
      </c>
      <c r="L1223" s="13">
        <v>303</v>
      </c>
      <c r="M1223" s="8" t="s">
        <v>408</v>
      </c>
    </row>
    <row r="1224" spans="1:13" ht="19.95" customHeight="1" x14ac:dyDescent="0.25">
      <c r="A1224" s="40">
        <v>45352</v>
      </c>
      <c r="B1224" s="46">
        <f>MONTH(Table13[[#This Row],[YearMonth]])</f>
        <v>3</v>
      </c>
      <c r="C1224" s="5" t="s">
        <v>191</v>
      </c>
      <c r="D1224" s="6" t="s">
        <v>341</v>
      </c>
      <c r="E1224" s="6">
        <f>IF(Table13[[#This Row],[Quartile]]="TopQuartile", 1,
 IF(Table13[[#This Row],[Quartile]]="SecondQuartile", 2,
 IF(Table13[[#This Row],[Quartile]]="ThirdQuartile", 3,
 IF(Table13[[#This Row],[Quartile]]="FourthQuartile", 4, ""))))</f>
        <v>3</v>
      </c>
      <c r="F1224" s="5" t="s">
        <v>418</v>
      </c>
      <c r="G1224" s="5" t="str" cm="1">
        <f t="array" ref="G1224">IFERROR(
  INDEX(Table13[Quartile],
    MATCH(1,
      (Table13[[#This Row],[OrgName]]=Table13[OrgName]) *
      (Table13[[#This Row],[Month Number]]-1=Table13[Month Number]),
    0)
  ),
"")</f>
        <v>ThirdQuartile</v>
      </c>
      <c r="H1224" s="5">
        <f>IF(Table13[[#This Row],[Previous Quartile]]="TopQuartile", 1,
 IF(Table13[[#This Row],[Previous Quartile]]="SecondQuartile", 2,
 IF(Table13[[#This Row],[Previous Quartile]]="ThirdQuartile", 3,
 IF(Table13[[#This Row],[Previous Quartile]]="FourthQuartile", 4, ""))))</f>
        <v>3</v>
      </c>
      <c r="I1224" s="5" t="str">
        <f>IF(Table13[[#This Row],[Previous Quartile Value]]="", "",
   IF(Table13[[#This Row],[Quartile Value]] &lt; Table13[[#This Row],[Previous Quartile Value]], "Improved",
   IF(Table13[[#This Row],[Quartile Value]] &gt; Table13[[#This Row],[Previous Quartile Value]], "Dropped", "Same")))</f>
        <v>Same</v>
      </c>
      <c r="J1224" s="5" t="s">
        <v>22</v>
      </c>
      <c r="K1224" s="7" t="str">
        <f>VLOOKUP(J1224,Introduction!$B$6:$C$14,2)</f>
        <v>North West</v>
      </c>
      <c r="L1224" s="13">
        <v>159</v>
      </c>
      <c r="M1224" s="8" t="s">
        <v>408</v>
      </c>
    </row>
    <row r="1225" spans="1:13" ht="19.95" customHeight="1" x14ac:dyDescent="0.25">
      <c r="A1225" s="40">
        <v>45352</v>
      </c>
      <c r="B1225" s="46">
        <f>MONTH(Table13[[#This Row],[YearMonth]])</f>
        <v>3</v>
      </c>
      <c r="C1225" s="5" t="s">
        <v>185</v>
      </c>
      <c r="D1225" s="6" t="s">
        <v>341</v>
      </c>
      <c r="E1225" s="6">
        <f>IF(Table13[[#This Row],[Quartile]]="TopQuartile", 1,
 IF(Table13[[#This Row],[Quartile]]="SecondQuartile", 2,
 IF(Table13[[#This Row],[Quartile]]="ThirdQuartile", 3,
 IF(Table13[[#This Row],[Quartile]]="FourthQuartile", 4, ""))))</f>
        <v>3</v>
      </c>
      <c r="F1225" s="5" t="s">
        <v>417</v>
      </c>
      <c r="G1225" s="5" t="str" cm="1">
        <f t="array" ref="G1225">IFERROR(
  INDEX(Table13[Quartile],
    MATCH(1,
      (Table13[[#This Row],[OrgName]]=Table13[OrgName]) *
      (Table13[[#This Row],[Month Number]]-1=Table13[Month Number]),
    0)
  ),
"")</f>
        <v>ThirdQuartile</v>
      </c>
      <c r="H1225" s="5">
        <f>IF(Table13[[#This Row],[Previous Quartile]]="TopQuartile", 1,
 IF(Table13[[#This Row],[Previous Quartile]]="SecondQuartile", 2,
 IF(Table13[[#This Row],[Previous Quartile]]="ThirdQuartile", 3,
 IF(Table13[[#This Row],[Previous Quartile]]="FourthQuartile", 4, ""))))</f>
        <v>3</v>
      </c>
      <c r="I1225" s="5" t="str">
        <f>IF(Table13[[#This Row],[Previous Quartile Value]]="", "",
   IF(Table13[[#This Row],[Quartile Value]] &lt; Table13[[#This Row],[Previous Quartile Value]], "Improved",
   IF(Table13[[#This Row],[Quartile Value]] &gt; Table13[[#This Row],[Previous Quartile Value]], "Dropped", "Same")))</f>
        <v>Same</v>
      </c>
      <c r="J1225" s="5" t="s">
        <v>12</v>
      </c>
      <c r="K1225" s="7" t="str">
        <f>VLOOKUP(J1225,Introduction!$B$6:$C$14,2)</f>
        <v>London</v>
      </c>
      <c r="L1225" s="13">
        <v>273</v>
      </c>
      <c r="M1225" s="8" t="s">
        <v>408</v>
      </c>
    </row>
    <row r="1226" spans="1:13" ht="19.95" customHeight="1" x14ac:dyDescent="0.25">
      <c r="A1226" s="40">
        <v>45352</v>
      </c>
      <c r="B1226" s="46">
        <f>MONTH(Table13[[#This Row],[YearMonth]])</f>
        <v>3</v>
      </c>
      <c r="C1226" s="5" t="s">
        <v>184</v>
      </c>
      <c r="D1226" s="6" t="s">
        <v>341</v>
      </c>
      <c r="E1226" s="6">
        <f>IF(Table13[[#This Row],[Quartile]]="TopQuartile", 1,
 IF(Table13[[#This Row],[Quartile]]="SecondQuartile", 2,
 IF(Table13[[#This Row],[Quartile]]="ThirdQuartile", 3,
 IF(Table13[[#This Row],[Quartile]]="FourthQuartile", 4, ""))))</f>
        <v>3</v>
      </c>
      <c r="F1226" s="5" t="s">
        <v>416</v>
      </c>
      <c r="G1226" s="5" t="str" cm="1">
        <f t="array" ref="G1226">IFERROR(
  INDEX(Table13[Quartile],
    MATCH(1,
      (Table13[[#This Row],[OrgName]]=Table13[OrgName]) *
      (Table13[[#This Row],[Month Number]]-1=Table13[Month Number]),
    0)
  ),
"")</f>
        <v>ThirdQuartile</v>
      </c>
      <c r="H1226" s="5">
        <f>IF(Table13[[#This Row],[Previous Quartile]]="TopQuartile", 1,
 IF(Table13[[#This Row],[Previous Quartile]]="SecondQuartile", 2,
 IF(Table13[[#This Row],[Previous Quartile]]="ThirdQuartile", 3,
 IF(Table13[[#This Row],[Previous Quartile]]="FourthQuartile", 4, ""))))</f>
        <v>3</v>
      </c>
      <c r="I1226" s="5" t="str">
        <f>IF(Table13[[#This Row],[Previous Quartile Value]]="", "",
   IF(Table13[[#This Row],[Quartile Value]] &lt; Table13[[#This Row],[Previous Quartile Value]], "Improved",
   IF(Table13[[#This Row],[Quartile Value]] &gt; Table13[[#This Row],[Previous Quartile Value]], "Dropped", "Same")))</f>
        <v>Same</v>
      </c>
      <c r="J1226" s="5" t="s">
        <v>12</v>
      </c>
      <c r="K1226" s="7" t="str">
        <f>VLOOKUP(J1226,Introduction!$B$6:$C$14,2)</f>
        <v>London</v>
      </c>
      <c r="L1226" s="13">
        <v>282</v>
      </c>
      <c r="M1226" s="8" t="s">
        <v>408</v>
      </c>
    </row>
    <row r="1227" spans="1:13" ht="19.95" customHeight="1" x14ac:dyDescent="0.25">
      <c r="A1227" s="40">
        <v>45352</v>
      </c>
      <c r="B1227" s="46">
        <f>MONTH(Table13[[#This Row],[YearMonth]])</f>
        <v>3</v>
      </c>
      <c r="C1227" s="5" t="s">
        <v>239</v>
      </c>
      <c r="D1227" s="6" t="s">
        <v>341</v>
      </c>
      <c r="E1227" s="6">
        <f>IF(Table13[[#This Row],[Quartile]]="TopQuartile", 1,
 IF(Table13[[#This Row],[Quartile]]="SecondQuartile", 2,
 IF(Table13[[#This Row],[Quartile]]="ThirdQuartile", 3,
 IF(Table13[[#This Row],[Quartile]]="FourthQuartile", 4, ""))))</f>
        <v>3</v>
      </c>
      <c r="F1227" s="5" t="s">
        <v>421</v>
      </c>
      <c r="G1227" s="5" t="str" cm="1">
        <f t="array" ref="G1227">IFERROR(
  INDEX(Table13[Quartile],
    MATCH(1,
      (Table13[[#This Row],[OrgName]]=Table13[OrgName]) *
      (Table13[[#This Row],[Month Number]]-1=Table13[Month Number]),
    0)
  ),
"")</f>
        <v>ThirdQuartile</v>
      </c>
      <c r="H1227" s="5">
        <f>IF(Table13[[#This Row],[Previous Quartile]]="TopQuartile", 1,
 IF(Table13[[#This Row],[Previous Quartile]]="SecondQuartile", 2,
 IF(Table13[[#This Row],[Previous Quartile]]="ThirdQuartile", 3,
 IF(Table13[[#This Row],[Previous Quartile]]="FourthQuartile", 4, ""))))</f>
        <v>3</v>
      </c>
      <c r="I1227" s="5" t="str">
        <f>IF(Table13[[#This Row],[Previous Quartile Value]]="", "",
   IF(Table13[[#This Row],[Quartile Value]] &lt; Table13[[#This Row],[Previous Quartile Value]], "Improved",
   IF(Table13[[#This Row],[Quartile Value]] &gt; Table13[[#This Row],[Previous Quartile Value]], "Dropped", "Same")))</f>
        <v>Same</v>
      </c>
      <c r="J1227" s="5" t="s">
        <v>24</v>
      </c>
      <c r="K1227" s="7" t="str">
        <f>VLOOKUP(J1227,Introduction!$B$6:$C$14,2)</f>
        <v>North East and Yorkshire</v>
      </c>
      <c r="L1227" s="13">
        <v>425</v>
      </c>
      <c r="M1227" s="8" t="s">
        <v>408</v>
      </c>
    </row>
    <row r="1228" spans="1:13" ht="19.95" customHeight="1" x14ac:dyDescent="0.25">
      <c r="A1228" s="40">
        <v>45352</v>
      </c>
      <c r="B1228" s="46">
        <f>MONTH(Table13[[#This Row],[YearMonth]])</f>
        <v>3</v>
      </c>
      <c r="C1228" s="5" t="s">
        <v>229</v>
      </c>
      <c r="D1228" s="6" t="s">
        <v>350</v>
      </c>
      <c r="E1228" s="6">
        <f>IF(Table13[[#This Row],[Quartile]]="TopQuartile", 1,
 IF(Table13[[#This Row],[Quartile]]="SecondQuartile", 2,
 IF(Table13[[#This Row],[Quartile]]="ThirdQuartile", 3,
 IF(Table13[[#This Row],[Quartile]]="FourthQuartile", 4, ""))))</f>
        <v>4</v>
      </c>
      <c r="F1228" s="5" t="s">
        <v>420</v>
      </c>
      <c r="G1228" s="5" t="str" cm="1">
        <f t="array" ref="G1228">IFERROR(
  INDEX(Table13[Quartile],
    MATCH(1,
      (Table13[[#This Row],[OrgName]]=Table13[OrgName]) *
      (Table13[[#This Row],[Month Number]]-1=Table13[Month Number]),
    0)
  ),
"")</f>
        <v>FourthQuartile</v>
      </c>
      <c r="H1228" s="5">
        <f>IF(Table13[[#This Row],[Previous Quartile]]="TopQuartile", 1,
 IF(Table13[[#This Row],[Previous Quartile]]="SecondQuartile", 2,
 IF(Table13[[#This Row],[Previous Quartile]]="ThirdQuartile", 3,
 IF(Table13[[#This Row],[Previous Quartile]]="FourthQuartile", 4, ""))))</f>
        <v>4</v>
      </c>
      <c r="I1228" s="5" t="str">
        <f>IF(Table13[[#This Row],[Previous Quartile Value]]="", "",
   IF(Table13[[#This Row],[Quartile Value]] &lt; Table13[[#This Row],[Previous Quartile Value]], "Improved",
   IF(Table13[[#This Row],[Quartile Value]] &gt; Table13[[#This Row],[Previous Quartile Value]], "Dropped", "Same")))</f>
        <v>Same</v>
      </c>
      <c r="J1228" s="5" t="s">
        <v>18</v>
      </c>
      <c r="K1228" s="7" t="str">
        <f>VLOOKUP(J1228,Introduction!$B$6:$C$14,2)</f>
        <v>Midlands</v>
      </c>
      <c r="L1228" s="13">
        <v>284</v>
      </c>
      <c r="M1228" s="8" t="s">
        <v>408</v>
      </c>
    </row>
    <row r="1229" spans="1:13" ht="19.95" customHeight="1" x14ac:dyDescent="0.25">
      <c r="A1229" s="40">
        <v>45352</v>
      </c>
      <c r="B1229" s="46">
        <f>MONTH(Table13[[#This Row],[YearMonth]])</f>
        <v>3</v>
      </c>
      <c r="C1229" s="5" t="s">
        <v>273</v>
      </c>
      <c r="D1229" s="6" t="s">
        <v>350</v>
      </c>
      <c r="E1229" s="6">
        <f>IF(Table13[[#This Row],[Quartile]]="TopQuartile", 1,
 IF(Table13[[#This Row],[Quartile]]="SecondQuartile", 2,
 IF(Table13[[#This Row],[Quartile]]="ThirdQuartile", 3,
 IF(Table13[[#This Row],[Quartile]]="FourthQuartile", 4, ""))))</f>
        <v>4</v>
      </c>
      <c r="F1229" s="5" t="s">
        <v>422</v>
      </c>
      <c r="G1229" s="5" t="str" cm="1">
        <f t="array" ref="G1229">IFERROR(
  INDEX(Table13[Quartile],
    MATCH(1,
      (Table13[[#This Row],[OrgName]]=Table13[OrgName]) *
      (Table13[[#This Row],[Month Number]]-1=Table13[Month Number]),
    0)
  ),
"")</f>
        <v>FourthQuartile</v>
      </c>
      <c r="H1229" s="5">
        <f>IF(Table13[[#This Row],[Previous Quartile]]="TopQuartile", 1,
 IF(Table13[[#This Row],[Previous Quartile]]="SecondQuartile", 2,
 IF(Table13[[#This Row],[Previous Quartile]]="ThirdQuartile", 3,
 IF(Table13[[#This Row],[Previous Quartile]]="FourthQuartile", 4, ""))))</f>
        <v>4</v>
      </c>
      <c r="I1229" s="5" t="str">
        <f>IF(Table13[[#This Row],[Previous Quartile Value]]="", "",
   IF(Table13[[#This Row],[Quartile Value]] &lt; Table13[[#This Row],[Previous Quartile Value]], "Improved",
   IF(Table13[[#This Row],[Quartile Value]] &gt; Table13[[#This Row],[Previous Quartile Value]], "Dropped", "Same")))</f>
        <v>Same</v>
      </c>
      <c r="J1229" s="5" t="s">
        <v>12</v>
      </c>
      <c r="K1229" s="7" t="str">
        <f>VLOOKUP(J1229,Introduction!$B$6:$C$14,2)</f>
        <v>London</v>
      </c>
      <c r="L1229" s="13">
        <v>392</v>
      </c>
      <c r="M1229" s="8" t="s">
        <v>408</v>
      </c>
    </row>
    <row r="1230" spans="1:13" ht="19.95" customHeight="1" x14ac:dyDescent="0.25">
      <c r="A1230" s="40">
        <v>45352</v>
      </c>
      <c r="B1230" s="46">
        <f>MONTH(Table13[[#This Row],[YearMonth]])</f>
        <v>3</v>
      </c>
      <c r="C1230" s="5" t="s">
        <v>296</v>
      </c>
      <c r="D1230" s="6" t="s">
        <v>350</v>
      </c>
      <c r="E1230" s="6">
        <f>IF(Table13[[#This Row],[Quartile]]="TopQuartile", 1,
 IF(Table13[[#This Row],[Quartile]]="SecondQuartile", 2,
 IF(Table13[[#This Row],[Quartile]]="ThirdQuartile", 3,
 IF(Table13[[#This Row],[Quartile]]="FourthQuartile", 4, ""))))</f>
        <v>4</v>
      </c>
      <c r="F1230" s="5" t="s">
        <v>423</v>
      </c>
      <c r="G1230" s="5" t="str" cm="1">
        <f t="array" ref="G1230">IFERROR(
  INDEX(Table13[Quartile],
    MATCH(1,
      (Table13[[#This Row],[OrgName]]=Table13[OrgName]) *
      (Table13[[#This Row],[Month Number]]-1=Table13[Month Number]),
    0)
  ),
"")</f>
        <v>FourthQuartile</v>
      </c>
      <c r="H1230" s="5">
        <f>IF(Table13[[#This Row],[Previous Quartile]]="TopQuartile", 1,
 IF(Table13[[#This Row],[Previous Quartile]]="SecondQuartile", 2,
 IF(Table13[[#This Row],[Previous Quartile]]="ThirdQuartile", 3,
 IF(Table13[[#This Row],[Previous Quartile]]="FourthQuartile", 4, ""))))</f>
        <v>4</v>
      </c>
      <c r="I1230" s="5" t="str">
        <f>IF(Table13[[#This Row],[Previous Quartile Value]]="", "",
   IF(Table13[[#This Row],[Quartile Value]] &lt; Table13[[#This Row],[Previous Quartile Value]], "Improved",
   IF(Table13[[#This Row],[Quartile Value]] &gt; Table13[[#This Row],[Previous Quartile Value]], "Dropped", "Same")))</f>
        <v>Same</v>
      </c>
      <c r="J1230" s="5" t="s">
        <v>22</v>
      </c>
      <c r="K1230" s="7" t="str">
        <f>VLOOKUP(J1230,Introduction!$B$6:$C$14,2)</f>
        <v>North West</v>
      </c>
      <c r="L1230" s="13">
        <v>410</v>
      </c>
      <c r="M1230" s="8" t="s">
        <v>408</v>
      </c>
    </row>
    <row r="1231" spans="1:13" ht="19.95" customHeight="1" x14ac:dyDescent="0.25">
      <c r="A1231" s="40">
        <v>45352</v>
      </c>
      <c r="B1231" s="46">
        <f>MONTH(Table13[[#This Row],[YearMonth]])</f>
        <v>3</v>
      </c>
      <c r="C1231" s="5" t="s">
        <v>69</v>
      </c>
      <c r="D1231" s="6" t="s">
        <v>330</v>
      </c>
      <c r="E1231" s="6">
        <f>IF(Table13[[#This Row],[Quartile]]="TopQuartile", 1,
 IF(Table13[[#This Row],[Quartile]]="SecondQuartile", 2,
 IF(Table13[[#This Row],[Quartile]]="ThirdQuartile", 3,
 IF(Table13[[#This Row],[Quartile]]="FourthQuartile", 4, ""))))</f>
        <v>1</v>
      </c>
      <c r="F1231" s="5" t="s">
        <v>426</v>
      </c>
      <c r="G1231" s="5" t="str" cm="1">
        <f t="array" ref="G1231">IFERROR(
  INDEX(Table13[Quartile],
    MATCH(1,
      (Table13[[#This Row],[OrgName]]=Table13[OrgName]) *
      (Table13[[#This Row],[Month Number]]-1=Table13[Month Number]),
    0)
  ),
"")</f>
        <v>TopQuartile</v>
      </c>
      <c r="H1231" s="5">
        <f>IF(Table13[[#This Row],[Previous Quartile]]="TopQuartile", 1,
 IF(Table13[[#This Row],[Previous Quartile]]="SecondQuartile", 2,
 IF(Table13[[#This Row],[Previous Quartile]]="ThirdQuartile", 3,
 IF(Table13[[#This Row],[Previous Quartile]]="FourthQuartile", 4, ""))))</f>
        <v>1</v>
      </c>
      <c r="I1231" s="5" t="str">
        <f>IF(Table13[[#This Row],[Previous Quartile Value]]="", "",
   IF(Table13[[#This Row],[Quartile Value]] &lt; Table13[[#This Row],[Previous Quartile Value]], "Improved",
   IF(Table13[[#This Row],[Quartile Value]] &gt; Table13[[#This Row],[Previous Quartile Value]], "Dropped", "Same")))</f>
        <v>Same</v>
      </c>
      <c r="J1231" s="5" t="s">
        <v>18</v>
      </c>
      <c r="K1231" s="7" t="str">
        <f>VLOOKUP(J1231,Introduction!$B$6:$C$14,2)</f>
        <v>Midlands</v>
      </c>
      <c r="L1231" s="13">
        <v>320</v>
      </c>
      <c r="M1231" s="8" t="s">
        <v>425</v>
      </c>
    </row>
    <row r="1232" spans="1:13" ht="19.95" customHeight="1" x14ac:dyDescent="0.25">
      <c r="A1232" s="40">
        <v>45352</v>
      </c>
      <c r="B1232" s="46">
        <f>MONTH(Table13[[#This Row],[YearMonth]])</f>
        <v>3</v>
      </c>
      <c r="C1232" s="5" t="s">
        <v>41</v>
      </c>
      <c r="D1232" s="6" t="s">
        <v>330</v>
      </c>
      <c r="E1232" s="6">
        <f>IF(Table13[[#This Row],[Quartile]]="TopQuartile", 1,
 IF(Table13[[#This Row],[Quartile]]="SecondQuartile", 2,
 IF(Table13[[#This Row],[Quartile]]="ThirdQuartile", 3,
 IF(Table13[[#This Row],[Quartile]]="FourthQuartile", 4, ""))))</f>
        <v>1</v>
      </c>
      <c r="F1232" s="5" t="s">
        <v>424</v>
      </c>
      <c r="G1232" s="5" t="str" cm="1">
        <f t="array" ref="G1232">IFERROR(
  INDEX(Table13[Quartile],
    MATCH(1,
      (Table13[[#This Row],[OrgName]]=Table13[OrgName]) *
      (Table13[[#This Row],[Month Number]]-1=Table13[Month Number]),
    0)
  ),
"")</f>
        <v>TopQuartile</v>
      </c>
      <c r="H1232" s="5">
        <f>IF(Table13[[#This Row],[Previous Quartile]]="TopQuartile", 1,
 IF(Table13[[#This Row],[Previous Quartile]]="SecondQuartile", 2,
 IF(Table13[[#This Row],[Previous Quartile]]="ThirdQuartile", 3,
 IF(Table13[[#This Row],[Previous Quartile]]="FourthQuartile", 4, ""))))</f>
        <v>1</v>
      </c>
      <c r="I1232" s="5" t="str">
        <f>IF(Table13[[#This Row],[Previous Quartile Value]]="", "",
   IF(Table13[[#This Row],[Quartile Value]] &lt; Table13[[#This Row],[Previous Quartile Value]], "Improved",
   IF(Table13[[#This Row],[Quartile Value]] &gt; Table13[[#This Row],[Previous Quartile Value]], "Dropped", "Same")))</f>
        <v>Same</v>
      </c>
      <c r="J1232" s="5" t="s">
        <v>24</v>
      </c>
      <c r="K1232" s="7" t="str">
        <f>VLOOKUP(J1232,Introduction!$B$6:$C$14,2)</f>
        <v>North East and Yorkshire</v>
      </c>
      <c r="L1232" s="13">
        <v>389</v>
      </c>
      <c r="M1232" s="8" t="s">
        <v>425</v>
      </c>
    </row>
    <row r="1233" spans="1:13" ht="19.95" customHeight="1" x14ac:dyDescent="0.25">
      <c r="A1233" s="40">
        <v>45352</v>
      </c>
      <c r="B1233" s="46">
        <f>MONTH(Table13[[#This Row],[YearMonth]])</f>
        <v>3</v>
      </c>
      <c r="C1233" s="5" t="s">
        <v>207</v>
      </c>
      <c r="D1233" s="6" t="s">
        <v>330</v>
      </c>
      <c r="E1233" s="6">
        <f>IF(Table13[[#This Row],[Quartile]]="TopQuartile", 1,
 IF(Table13[[#This Row],[Quartile]]="SecondQuartile", 2,
 IF(Table13[[#This Row],[Quartile]]="ThirdQuartile", 3,
 IF(Table13[[#This Row],[Quartile]]="FourthQuartile", 4, ""))))</f>
        <v>1</v>
      </c>
      <c r="F1233" s="5" t="s">
        <v>455</v>
      </c>
      <c r="G1233" s="5" t="str" cm="1">
        <f t="array" ref="G1233">IFERROR(
  INDEX(Table13[Quartile],
    MATCH(1,
      (Table13[[#This Row],[OrgName]]=Table13[OrgName]) *
      (Table13[[#This Row],[Month Number]]-1=Table13[Month Number]),
    0)
  ),
"")</f>
        <v>TopQuartile</v>
      </c>
      <c r="H1233" s="5">
        <f>IF(Table13[[#This Row],[Previous Quartile]]="TopQuartile", 1,
 IF(Table13[[#This Row],[Previous Quartile]]="SecondQuartile", 2,
 IF(Table13[[#This Row],[Previous Quartile]]="ThirdQuartile", 3,
 IF(Table13[[#This Row],[Previous Quartile]]="FourthQuartile", 4, ""))))</f>
        <v>1</v>
      </c>
      <c r="I1233" s="5" t="str">
        <f>IF(Table13[[#This Row],[Previous Quartile Value]]="", "",
   IF(Table13[[#This Row],[Quartile Value]] &lt; Table13[[#This Row],[Previous Quartile Value]], "Improved",
   IF(Table13[[#This Row],[Quartile Value]] &gt; Table13[[#This Row],[Previous Quartile Value]], "Dropped", "Same")))</f>
        <v>Same</v>
      </c>
      <c r="J1233" s="5" t="s">
        <v>20</v>
      </c>
      <c r="K1233" s="7" t="str">
        <f>VLOOKUP(J1233,Introduction!$B$6:$C$14,2)</f>
        <v>East of England</v>
      </c>
      <c r="L1233" s="13">
        <v>177</v>
      </c>
      <c r="M1233" s="8" t="s">
        <v>425</v>
      </c>
    </row>
    <row r="1234" spans="1:13" ht="19.95" customHeight="1" x14ac:dyDescent="0.25">
      <c r="A1234" s="40">
        <v>45352</v>
      </c>
      <c r="B1234" s="46">
        <f>MONTH(Table13[[#This Row],[YearMonth]])</f>
        <v>3</v>
      </c>
      <c r="C1234" s="5" t="s">
        <v>88</v>
      </c>
      <c r="D1234" s="6" t="s">
        <v>330</v>
      </c>
      <c r="E1234" s="6">
        <f>IF(Table13[[#This Row],[Quartile]]="TopQuartile", 1,
 IF(Table13[[#This Row],[Quartile]]="SecondQuartile", 2,
 IF(Table13[[#This Row],[Quartile]]="ThirdQuartile", 3,
 IF(Table13[[#This Row],[Quartile]]="FourthQuartile", 4, ""))))</f>
        <v>1</v>
      </c>
      <c r="F1234" s="5" t="s">
        <v>428</v>
      </c>
      <c r="G1234" s="5" t="str" cm="1">
        <f t="array" ref="G1234">IFERROR(
  INDEX(Table13[Quartile],
    MATCH(1,
      (Table13[[#This Row],[OrgName]]=Table13[OrgName]) *
      (Table13[[#This Row],[Month Number]]-1=Table13[Month Number]),
    0)
  ),
"")</f>
        <v>TopQuartile</v>
      </c>
      <c r="H1234" s="5">
        <f>IF(Table13[[#This Row],[Previous Quartile]]="TopQuartile", 1,
 IF(Table13[[#This Row],[Previous Quartile]]="SecondQuartile", 2,
 IF(Table13[[#This Row],[Previous Quartile]]="ThirdQuartile", 3,
 IF(Table13[[#This Row],[Previous Quartile]]="FourthQuartile", 4, ""))))</f>
        <v>1</v>
      </c>
      <c r="I1234" s="5" t="str">
        <f>IF(Table13[[#This Row],[Previous Quartile Value]]="", "",
   IF(Table13[[#This Row],[Quartile Value]] &lt; Table13[[#This Row],[Previous Quartile Value]], "Improved",
   IF(Table13[[#This Row],[Quartile Value]] &gt; Table13[[#This Row],[Previous Quartile Value]], "Dropped", "Same")))</f>
        <v>Same</v>
      </c>
      <c r="J1234" s="5" t="s">
        <v>22</v>
      </c>
      <c r="K1234" s="7" t="str">
        <f>VLOOKUP(J1234,Introduction!$B$6:$C$14,2)</f>
        <v>North West</v>
      </c>
      <c r="L1234" s="13">
        <v>408</v>
      </c>
      <c r="M1234" s="8" t="s">
        <v>425</v>
      </c>
    </row>
    <row r="1235" spans="1:13" ht="19.95" customHeight="1" x14ac:dyDescent="0.25">
      <c r="A1235" s="40">
        <v>45352</v>
      </c>
      <c r="B1235" s="46">
        <f>MONTH(Table13[[#This Row],[YearMonth]])</f>
        <v>3</v>
      </c>
      <c r="C1235" s="5" t="s">
        <v>82</v>
      </c>
      <c r="D1235" s="6" t="s">
        <v>330</v>
      </c>
      <c r="E1235" s="6">
        <f>IF(Table13[[#This Row],[Quartile]]="TopQuartile", 1,
 IF(Table13[[#This Row],[Quartile]]="SecondQuartile", 2,
 IF(Table13[[#This Row],[Quartile]]="ThirdQuartile", 3,
 IF(Table13[[#This Row],[Quartile]]="FourthQuartile", 4, ""))))</f>
        <v>1</v>
      </c>
      <c r="F1235" s="5" t="s">
        <v>427</v>
      </c>
      <c r="G1235" s="5" t="str" cm="1">
        <f t="array" ref="G1235">IFERROR(
  INDEX(Table13[Quartile],
    MATCH(1,
      (Table13[[#This Row],[OrgName]]=Table13[OrgName]) *
      (Table13[[#This Row],[Month Number]]-1=Table13[Month Number]),
    0)
  ),
"")</f>
        <v>SecondQuartile</v>
      </c>
      <c r="H1235" s="5">
        <f>IF(Table13[[#This Row],[Previous Quartile]]="TopQuartile", 1,
 IF(Table13[[#This Row],[Previous Quartile]]="SecondQuartile", 2,
 IF(Table13[[#This Row],[Previous Quartile]]="ThirdQuartile", 3,
 IF(Table13[[#This Row],[Previous Quartile]]="FourthQuartile", 4, ""))))</f>
        <v>2</v>
      </c>
      <c r="I1235" s="5" t="str">
        <f>IF(Table13[[#This Row],[Previous Quartile Value]]="", "",
   IF(Table13[[#This Row],[Quartile Value]] &lt; Table13[[#This Row],[Previous Quartile Value]], "Improved",
   IF(Table13[[#This Row],[Quartile Value]] &gt; Table13[[#This Row],[Previous Quartile Value]], "Dropped", "Same")))</f>
        <v>Improved</v>
      </c>
      <c r="J1235" s="5" t="s">
        <v>20</v>
      </c>
      <c r="K1235" s="7" t="str">
        <f>VLOOKUP(J1235,Introduction!$B$6:$C$14,2)</f>
        <v>East of England</v>
      </c>
      <c r="L1235" s="13">
        <v>180</v>
      </c>
      <c r="M1235" s="8" t="s">
        <v>425</v>
      </c>
    </row>
    <row r="1236" spans="1:13" ht="19.95" customHeight="1" x14ac:dyDescent="0.25">
      <c r="A1236" s="40">
        <v>45352</v>
      </c>
      <c r="B1236" s="46">
        <f>MONTH(Table13[[#This Row],[YearMonth]])</f>
        <v>3</v>
      </c>
      <c r="C1236" s="5" t="s">
        <v>103</v>
      </c>
      <c r="D1236" s="6" t="s">
        <v>330</v>
      </c>
      <c r="E1236" s="6">
        <f>IF(Table13[[#This Row],[Quartile]]="TopQuartile", 1,
 IF(Table13[[#This Row],[Quartile]]="SecondQuartile", 2,
 IF(Table13[[#This Row],[Quartile]]="ThirdQuartile", 3,
 IF(Table13[[#This Row],[Quartile]]="FourthQuartile", 4, ""))))</f>
        <v>1</v>
      </c>
      <c r="F1236" s="5" t="s">
        <v>431</v>
      </c>
      <c r="G1236" s="5" t="str" cm="1">
        <f t="array" ref="G1236">IFERROR(
  INDEX(Table13[Quartile],
    MATCH(1,
      (Table13[[#This Row],[OrgName]]=Table13[OrgName]) *
      (Table13[[#This Row],[Month Number]]-1=Table13[Month Number]),
    0)
  ),
"")</f>
        <v>TopQuartile</v>
      </c>
      <c r="H1236" s="5">
        <f>IF(Table13[[#This Row],[Previous Quartile]]="TopQuartile", 1,
 IF(Table13[[#This Row],[Previous Quartile]]="SecondQuartile", 2,
 IF(Table13[[#This Row],[Previous Quartile]]="ThirdQuartile", 3,
 IF(Table13[[#This Row],[Previous Quartile]]="FourthQuartile", 4, ""))))</f>
        <v>1</v>
      </c>
      <c r="I1236" s="5" t="str">
        <f>IF(Table13[[#This Row],[Previous Quartile Value]]="", "",
   IF(Table13[[#This Row],[Quartile Value]] &lt; Table13[[#This Row],[Previous Quartile Value]], "Improved",
   IF(Table13[[#This Row],[Quartile Value]] &gt; Table13[[#This Row],[Previous Quartile Value]], "Dropped", "Same")))</f>
        <v>Same</v>
      </c>
      <c r="J1236" s="5" t="s">
        <v>16</v>
      </c>
      <c r="K1236" s="7" t="str">
        <f>VLOOKUP(J1236,Introduction!$B$6:$C$14,2)</f>
        <v>South East</v>
      </c>
      <c r="L1236" s="13">
        <v>188</v>
      </c>
      <c r="M1236" s="8" t="s">
        <v>425</v>
      </c>
    </row>
    <row r="1237" spans="1:13" ht="19.95" customHeight="1" x14ac:dyDescent="0.25">
      <c r="A1237" s="40">
        <v>45352</v>
      </c>
      <c r="B1237" s="46">
        <f>MONTH(Table13[[#This Row],[YearMonth]])</f>
        <v>3</v>
      </c>
      <c r="C1237" s="5" t="s">
        <v>94</v>
      </c>
      <c r="D1237" s="6" t="s">
        <v>330</v>
      </c>
      <c r="E1237" s="6">
        <f>IF(Table13[[#This Row],[Quartile]]="TopQuartile", 1,
 IF(Table13[[#This Row],[Quartile]]="SecondQuartile", 2,
 IF(Table13[[#This Row],[Quartile]]="ThirdQuartile", 3,
 IF(Table13[[#This Row],[Quartile]]="FourthQuartile", 4, ""))))</f>
        <v>1</v>
      </c>
      <c r="F1237" s="5" t="s">
        <v>429</v>
      </c>
      <c r="G1237" s="5" t="str" cm="1">
        <f t="array" ref="G1237">IFERROR(
  INDEX(Table13[Quartile],
    MATCH(1,
      (Table13[[#This Row],[OrgName]]=Table13[OrgName]) *
      (Table13[[#This Row],[Month Number]]-1=Table13[Month Number]),
    0)
  ),
"")</f>
        <v>TopQuartile</v>
      </c>
      <c r="H1237" s="5">
        <f>IF(Table13[[#This Row],[Previous Quartile]]="TopQuartile", 1,
 IF(Table13[[#This Row],[Previous Quartile]]="SecondQuartile", 2,
 IF(Table13[[#This Row],[Previous Quartile]]="ThirdQuartile", 3,
 IF(Table13[[#This Row],[Previous Quartile]]="FourthQuartile", 4, ""))))</f>
        <v>1</v>
      </c>
      <c r="I1237" s="5" t="str">
        <f>IF(Table13[[#This Row],[Previous Quartile Value]]="", "",
   IF(Table13[[#This Row],[Quartile Value]] &lt; Table13[[#This Row],[Previous Quartile Value]], "Improved",
   IF(Table13[[#This Row],[Quartile Value]] &gt; Table13[[#This Row],[Previous Quartile Value]], "Dropped", "Same")))</f>
        <v>Same</v>
      </c>
      <c r="J1237" s="5" t="s">
        <v>22</v>
      </c>
      <c r="K1237" s="7" t="str">
        <f>VLOOKUP(J1237,Introduction!$B$6:$C$14,2)</f>
        <v>North West</v>
      </c>
      <c r="L1237" s="13">
        <v>438</v>
      </c>
      <c r="M1237" s="8" t="s">
        <v>425</v>
      </c>
    </row>
    <row r="1238" spans="1:13" ht="19.95" customHeight="1" x14ac:dyDescent="0.25">
      <c r="A1238" s="40">
        <v>45352</v>
      </c>
      <c r="B1238" s="46">
        <f>MONTH(Table13[[#This Row],[YearMonth]])</f>
        <v>3</v>
      </c>
      <c r="C1238" s="5" t="s">
        <v>128</v>
      </c>
      <c r="D1238" s="6" t="s">
        <v>330</v>
      </c>
      <c r="E1238" s="6">
        <f>IF(Table13[[#This Row],[Quartile]]="TopQuartile", 1,
 IF(Table13[[#This Row],[Quartile]]="SecondQuartile", 2,
 IF(Table13[[#This Row],[Quartile]]="ThirdQuartile", 3,
 IF(Table13[[#This Row],[Quartile]]="FourthQuartile", 4, ""))))</f>
        <v>1</v>
      </c>
      <c r="F1238" s="5" t="s">
        <v>433</v>
      </c>
      <c r="G1238" s="5" t="str" cm="1">
        <f t="array" ref="G1238">IFERROR(
  INDEX(Table13[Quartile],
    MATCH(1,
      (Table13[[#This Row],[OrgName]]=Table13[OrgName]) *
      (Table13[[#This Row],[Month Number]]-1=Table13[Month Number]),
    0)
  ),
"")</f>
        <v>SecondQuartile</v>
      </c>
      <c r="H1238" s="5">
        <f>IF(Table13[[#This Row],[Previous Quartile]]="TopQuartile", 1,
 IF(Table13[[#This Row],[Previous Quartile]]="SecondQuartile", 2,
 IF(Table13[[#This Row],[Previous Quartile]]="ThirdQuartile", 3,
 IF(Table13[[#This Row],[Previous Quartile]]="FourthQuartile", 4, ""))))</f>
        <v>2</v>
      </c>
      <c r="I1238" s="5" t="str">
        <f>IF(Table13[[#This Row],[Previous Quartile Value]]="", "",
   IF(Table13[[#This Row],[Quartile Value]] &lt; Table13[[#This Row],[Previous Quartile Value]], "Improved",
   IF(Table13[[#This Row],[Quartile Value]] &gt; Table13[[#This Row],[Previous Quartile Value]], "Dropped", "Same")))</f>
        <v>Improved</v>
      </c>
      <c r="J1238" s="5" t="s">
        <v>12</v>
      </c>
      <c r="K1238" s="7" t="str">
        <f>VLOOKUP(J1238,Introduction!$B$6:$C$14,2)</f>
        <v>London</v>
      </c>
      <c r="L1238" s="13">
        <v>162</v>
      </c>
      <c r="M1238" s="8" t="s">
        <v>425</v>
      </c>
    </row>
    <row r="1239" spans="1:13" ht="19.95" customHeight="1" x14ac:dyDescent="0.25">
      <c r="A1239" s="40">
        <v>45352</v>
      </c>
      <c r="B1239" s="46">
        <f>MONTH(Table13[[#This Row],[YearMonth]])</f>
        <v>3</v>
      </c>
      <c r="C1239" s="5" t="s">
        <v>140</v>
      </c>
      <c r="D1239" s="6" t="s">
        <v>338</v>
      </c>
      <c r="E1239" s="6">
        <f>IF(Table13[[#This Row],[Quartile]]="TopQuartile", 1,
 IF(Table13[[#This Row],[Quartile]]="SecondQuartile", 2,
 IF(Table13[[#This Row],[Quartile]]="ThirdQuartile", 3,
 IF(Table13[[#This Row],[Quartile]]="FourthQuartile", 4, ""))))</f>
        <v>2</v>
      </c>
      <c r="F1239" s="5" t="s">
        <v>434</v>
      </c>
      <c r="G1239" s="5" t="str" cm="1">
        <f t="array" ref="G1239">IFERROR(
  INDEX(Table13[Quartile],
    MATCH(1,
      (Table13[[#This Row],[OrgName]]=Table13[OrgName]) *
      (Table13[[#This Row],[Month Number]]-1=Table13[Month Number]),
    0)
  ),
"")</f>
        <v>SecondQuartile</v>
      </c>
      <c r="H1239" s="5">
        <f>IF(Table13[[#This Row],[Previous Quartile]]="TopQuartile", 1,
 IF(Table13[[#This Row],[Previous Quartile]]="SecondQuartile", 2,
 IF(Table13[[#This Row],[Previous Quartile]]="ThirdQuartile", 3,
 IF(Table13[[#This Row],[Previous Quartile]]="FourthQuartile", 4, ""))))</f>
        <v>2</v>
      </c>
      <c r="I1239" s="5" t="str">
        <f>IF(Table13[[#This Row],[Previous Quartile Value]]="", "",
   IF(Table13[[#This Row],[Quartile Value]] &lt; Table13[[#This Row],[Previous Quartile Value]], "Improved",
   IF(Table13[[#This Row],[Quartile Value]] &gt; Table13[[#This Row],[Previous Quartile Value]], "Dropped", "Same")))</f>
        <v>Same</v>
      </c>
      <c r="J1239" s="5" t="s">
        <v>18</v>
      </c>
      <c r="K1239" s="7" t="str">
        <f>VLOOKUP(J1239,Introduction!$B$6:$C$14,2)</f>
        <v>Midlands</v>
      </c>
      <c r="L1239" s="13">
        <v>203</v>
      </c>
      <c r="M1239" s="8" t="s">
        <v>425</v>
      </c>
    </row>
    <row r="1240" spans="1:13" ht="19.95" customHeight="1" x14ac:dyDescent="0.25">
      <c r="A1240" s="40">
        <v>45352</v>
      </c>
      <c r="B1240" s="46">
        <f>MONTH(Table13[[#This Row],[YearMonth]])</f>
        <v>3</v>
      </c>
      <c r="C1240" s="5" t="s">
        <v>144</v>
      </c>
      <c r="D1240" s="6" t="s">
        <v>338</v>
      </c>
      <c r="E1240" s="6">
        <f>IF(Table13[[#This Row],[Quartile]]="TopQuartile", 1,
 IF(Table13[[#This Row],[Quartile]]="SecondQuartile", 2,
 IF(Table13[[#This Row],[Quartile]]="ThirdQuartile", 3,
 IF(Table13[[#This Row],[Quartile]]="FourthQuartile", 4, ""))))</f>
        <v>2</v>
      </c>
      <c r="F1240" s="5" t="s">
        <v>436</v>
      </c>
      <c r="G1240" s="5" t="str" cm="1">
        <f t="array" ref="G1240">IFERROR(
  INDEX(Table13[Quartile],
    MATCH(1,
      (Table13[[#This Row],[OrgName]]=Table13[OrgName]) *
      (Table13[[#This Row],[Month Number]]-1=Table13[Month Number]),
    0)
  ),
"")</f>
        <v>SecondQuartile</v>
      </c>
      <c r="H1240" s="5">
        <f>IF(Table13[[#This Row],[Previous Quartile]]="TopQuartile", 1,
 IF(Table13[[#This Row],[Previous Quartile]]="SecondQuartile", 2,
 IF(Table13[[#This Row],[Previous Quartile]]="ThirdQuartile", 3,
 IF(Table13[[#This Row],[Previous Quartile]]="FourthQuartile", 4, ""))))</f>
        <v>2</v>
      </c>
      <c r="I1240" s="5" t="str">
        <f>IF(Table13[[#This Row],[Previous Quartile Value]]="", "",
   IF(Table13[[#This Row],[Quartile Value]] &lt; Table13[[#This Row],[Previous Quartile Value]], "Improved",
   IF(Table13[[#This Row],[Quartile Value]] &gt; Table13[[#This Row],[Previous Quartile Value]], "Dropped", "Same")))</f>
        <v>Same</v>
      </c>
      <c r="J1240" s="5" t="s">
        <v>24</v>
      </c>
      <c r="K1240" s="7" t="str">
        <f>VLOOKUP(J1240,Introduction!$B$6:$C$14,2)</f>
        <v>North East and Yorkshire</v>
      </c>
      <c r="L1240" s="13">
        <v>190</v>
      </c>
      <c r="M1240" s="8" t="s">
        <v>425</v>
      </c>
    </row>
    <row r="1241" spans="1:13" ht="19.95" customHeight="1" x14ac:dyDescent="0.25">
      <c r="A1241" s="40">
        <v>45352</v>
      </c>
      <c r="B1241" s="46">
        <f>MONTH(Table13[[#This Row],[YearMonth]])</f>
        <v>3</v>
      </c>
      <c r="C1241" s="5" t="s">
        <v>119</v>
      </c>
      <c r="D1241" s="6" t="s">
        <v>338</v>
      </c>
      <c r="E1241" s="6">
        <f>IF(Table13[[#This Row],[Quartile]]="TopQuartile", 1,
 IF(Table13[[#This Row],[Quartile]]="SecondQuartile", 2,
 IF(Table13[[#This Row],[Quartile]]="ThirdQuartile", 3,
 IF(Table13[[#This Row],[Quartile]]="FourthQuartile", 4, ""))))</f>
        <v>2</v>
      </c>
      <c r="F1241" s="5" t="s">
        <v>432</v>
      </c>
      <c r="G1241" s="5" t="str" cm="1">
        <f t="array" ref="G1241">IFERROR(
  INDEX(Table13[Quartile],
    MATCH(1,
      (Table13[[#This Row],[OrgName]]=Table13[OrgName]) *
      (Table13[[#This Row],[Month Number]]-1=Table13[Month Number]),
    0)
  ),
"")</f>
        <v>SecondQuartile</v>
      </c>
      <c r="H1241" s="5">
        <f>IF(Table13[[#This Row],[Previous Quartile]]="TopQuartile", 1,
 IF(Table13[[#This Row],[Previous Quartile]]="SecondQuartile", 2,
 IF(Table13[[#This Row],[Previous Quartile]]="ThirdQuartile", 3,
 IF(Table13[[#This Row],[Previous Quartile]]="FourthQuartile", 4, ""))))</f>
        <v>2</v>
      </c>
      <c r="I1241" s="5" t="str">
        <f>IF(Table13[[#This Row],[Previous Quartile Value]]="", "",
   IF(Table13[[#This Row],[Quartile Value]] &lt; Table13[[#This Row],[Previous Quartile Value]], "Improved",
   IF(Table13[[#This Row],[Quartile Value]] &gt; Table13[[#This Row],[Previous Quartile Value]], "Dropped", "Same")))</f>
        <v>Same</v>
      </c>
      <c r="J1241" s="5" t="s">
        <v>22</v>
      </c>
      <c r="K1241" s="7" t="str">
        <f>VLOOKUP(J1241,Introduction!$B$6:$C$14,2)</f>
        <v>North West</v>
      </c>
      <c r="L1241" s="13">
        <v>236</v>
      </c>
      <c r="M1241" s="8" t="s">
        <v>425</v>
      </c>
    </row>
    <row r="1242" spans="1:13" ht="19.95" customHeight="1" x14ac:dyDescent="0.25">
      <c r="A1242" s="40">
        <v>45352</v>
      </c>
      <c r="B1242" s="46">
        <f>MONTH(Table13[[#This Row],[YearMonth]])</f>
        <v>3</v>
      </c>
      <c r="C1242" s="5" t="s">
        <v>147</v>
      </c>
      <c r="D1242" s="6" t="s">
        <v>338</v>
      </c>
      <c r="E1242" s="6">
        <f>IF(Table13[[#This Row],[Quartile]]="TopQuartile", 1,
 IF(Table13[[#This Row],[Quartile]]="SecondQuartile", 2,
 IF(Table13[[#This Row],[Quartile]]="ThirdQuartile", 3,
 IF(Table13[[#This Row],[Quartile]]="FourthQuartile", 4, ""))))</f>
        <v>2</v>
      </c>
      <c r="F1242" s="5" t="s">
        <v>437</v>
      </c>
      <c r="G1242" s="5" t="str" cm="1">
        <f t="array" ref="G1242">IFERROR(
  INDEX(Table13[Quartile],
    MATCH(1,
      (Table13[[#This Row],[OrgName]]=Table13[OrgName]) *
      (Table13[[#This Row],[Month Number]]-1=Table13[Month Number]),
    0)
  ),
"")</f>
        <v>SecondQuartile</v>
      </c>
      <c r="H1242" s="5">
        <f>IF(Table13[[#This Row],[Previous Quartile]]="TopQuartile", 1,
 IF(Table13[[#This Row],[Previous Quartile]]="SecondQuartile", 2,
 IF(Table13[[#This Row],[Previous Quartile]]="ThirdQuartile", 3,
 IF(Table13[[#This Row],[Previous Quartile]]="FourthQuartile", 4, ""))))</f>
        <v>2</v>
      </c>
      <c r="I1242" s="5" t="str">
        <f>IF(Table13[[#This Row],[Previous Quartile Value]]="", "",
   IF(Table13[[#This Row],[Quartile Value]] &lt; Table13[[#This Row],[Previous Quartile Value]], "Improved",
   IF(Table13[[#This Row],[Quartile Value]] &gt; Table13[[#This Row],[Previous Quartile Value]], "Dropped", "Same")))</f>
        <v>Same</v>
      </c>
      <c r="J1242" s="5" t="s">
        <v>22</v>
      </c>
      <c r="K1242" s="7" t="str">
        <f>VLOOKUP(J1242,Introduction!$B$6:$C$14,2)</f>
        <v>North West</v>
      </c>
      <c r="L1242" s="13">
        <v>331</v>
      </c>
      <c r="M1242" s="8" t="s">
        <v>425</v>
      </c>
    </row>
    <row r="1243" spans="1:13" ht="19.95" customHeight="1" x14ac:dyDescent="0.25">
      <c r="A1243" s="40">
        <v>45352</v>
      </c>
      <c r="B1243" s="46">
        <f>MONTH(Table13[[#This Row],[YearMonth]])</f>
        <v>3</v>
      </c>
      <c r="C1243" s="5" t="s">
        <v>95</v>
      </c>
      <c r="D1243" s="6" t="s">
        <v>338</v>
      </c>
      <c r="E1243" s="6">
        <f>IF(Table13[[#This Row],[Quartile]]="TopQuartile", 1,
 IF(Table13[[#This Row],[Quartile]]="SecondQuartile", 2,
 IF(Table13[[#This Row],[Quartile]]="ThirdQuartile", 3,
 IF(Table13[[#This Row],[Quartile]]="FourthQuartile", 4, ""))))</f>
        <v>2</v>
      </c>
      <c r="F1243" s="5" t="s">
        <v>430</v>
      </c>
      <c r="G1243" s="5" t="str" cm="1">
        <f t="array" ref="G1243">IFERROR(
  INDEX(Table13[Quartile],
    MATCH(1,
      (Table13[[#This Row],[OrgName]]=Table13[OrgName]) *
      (Table13[[#This Row],[Month Number]]-1=Table13[Month Number]),
    0)
  ),
"")</f>
        <v>SecondQuartile</v>
      </c>
      <c r="H1243" s="5">
        <f>IF(Table13[[#This Row],[Previous Quartile]]="TopQuartile", 1,
 IF(Table13[[#This Row],[Previous Quartile]]="SecondQuartile", 2,
 IF(Table13[[#This Row],[Previous Quartile]]="ThirdQuartile", 3,
 IF(Table13[[#This Row],[Previous Quartile]]="FourthQuartile", 4, ""))))</f>
        <v>2</v>
      </c>
      <c r="I1243" s="5" t="str">
        <f>IF(Table13[[#This Row],[Previous Quartile Value]]="", "",
   IF(Table13[[#This Row],[Quartile Value]] &lt; Table13[[#This Row],[Previous Quartile Value]], "Improved",
   IF(Table13[[#This Row],[Quartile Value]] &gt; Table13[[#This Row],[Previous Quartile Value]], "Dropped", "Same")))</f>
        <v>Same</v>
      </c>
      <c r="J1243" s="5" t="s">
        <v>24</v>
      </c>
      <c r="K1243" s="7" t="str">
        <f>VLOOKUP(J1243,Introduction!$B$6:$C$14,2)</f>
        <v>North East and Yorkshire</v>
      </c>
      <c r="L1243" s="13">
        <v>317</v>
      </c>
      <c r="M1243" s="8" t="s">
        <v>425</v>
      </c>
    </row>
    <row r="1244" spans="1:13" ht="19.95" customHeight="1" x14ac:dyDescent="0.25">
      <c r="A1244" s="40">
        <v>45352</v>
      </c>
      <c r="B1244" s="46">
        <f>MONTH(Table13[[#This Row],[YearMonth]])</f>
        <v>3</v>
      </c>
      <c r="C1244" s="5" t="s">
        <v>153</v>
      </c>
      <c r="D1244" s="6" t="s">
        <v>338</v>
      </c>
      <c r="E1244" s="6">
        <f>IF(Table13[[#This Row],[Quartile]]="TopQuartile", 1,
 IF(Table13[[#This Row],[Quartile]]="SecondQuartile", 2,
 IF(Table13[[#This Row],[Quartile]]="ThirdQuartile", 3,
 IF(Table13[[#This Row],[Quartile]]="FourthQuartile", 4, ""))))</f>
        <v>2</v>
      </c>
      <c r="F1244" s="5" t="s">
        <v>439</v>
      </c>
      <c r="G1244" s="5" t="str" cm="1">
        <f t="array" ref="G1244">IFERROR(
  INDEX(Table13[Quartile],
    MATCH(1,
      (Table13[[#This Row],[OrgName]]=Table13[OrgName]) *
      (Table13[[#This Row],[Month Number]]-1=Table13[Month Number]),
    0)
  ),
"")</f>
        <v>SecondQuartile</v>
      </c>
      <c r="H1244" s="5">
        <f>IF(Table13[[#This Row],[Previous Quartile]]="TopQuartile", 1,
 IF(Table13[[#This Row],[Previous Quartile]]="SecondQuartile", 2,
 IF(Table13[[#This Row],[Previous Quartile]]="ThirdQuartile", 3,
 IF(Table13[[#This Row],[Previous Quartile]]="FourthQuartile", 4, ""))))</f>
        <v>2</v>
      </c>
      <c r="I1244" s="5" t="str">
        <f>IF(Table13[[#This Row],[Previous Quartile Value]]="", "",
   IF(Table13[[#This Row],[Quartile Value]] &lt; Table13[[#This Row],[Previous Quartile Value]], "Improved",
   IF(Table13[[#This Row],[Quartile Value]] &gt; Table13[[#This Row],[Previous Quartile Value]], "Dropped", "Same")))</f>
        <v>Same</v>
      </c>
      <c r="J1244" s="5" t="s">
        <v>12</v>
      </c>
      <c r="K1244" s="7" t="str">
        <f>VLOOKUP(J1244,Introduction!$B$6:$C$14,2)</f>
        <v>London</v>
      </c>
      <c r="L1244" s="13">
        <v>293</v>
      </c>
      <c r="M1244" s="8" t="s">
        <v>425</v>
      </c>
    </row>
    <row r="1245" spans="1:13" ht="19.95" customHeight="1" x14ac:dyDescent="0.25">
      <c r="A1245" s="40">
        <v>45352</v>
      </c>
      <c r="B1245" s="46">
        <f>MONTH(Table13[[#This Row],[YearMonth]])</f>
        <v>3</v>
      </c>
      <c r="C1245" s="5" t="s">
        <v>142</v>
      </c>
      <c r="D1245" s="6" t="s">
        <v>338</v>
      </c>
      <c r="E1245" s="6">
        <f>IF(Table13[[#This Row],[Quartile]]="TopQuartile", 1,
 IF(Table13[[#This Row],[Quartile]]="SecondQuartile", 2,
 IF(Table13[[#This Row],[Quartile]]="ThirdQuartile", 3,
 IF(Table13[[#This Row],[Quartile]]="FourthQuartile", 4, ""))))</f>
        <v>2</v>
      </c>
      <c r="F1245" s="5" t="s">
        <v>435</v>
      </c>
      <c r="G1245" s="5" t="str" cm="1">
        <f t="array" ref="G1245">IFERROR(
  INDEX(Table13[Quartile],
    MATCH(1,
      (Table13[[#This Row],[OrgName]]=Table13[OrgName]) *
      (Table13[[#This Row],[Month Number]]-1=Table13[Month Number]),
    0)
  ),
"")</f>
        <v>SecondQuartile</v>
      </c>
      <c r="H1245" s="5">
        <f>IF(Table13[[#This Row],[Previous Quartile]]="TopQuartile", 1,
 IF(Table13[[#This Row],[Previous Quartile]]="SecondQuartile", 2,
 IF(Table13[[#This Row],[Previous Quartile]]="ThirdQuartile", 3,
 IF(Table13[[#This Row],[Previous Quartile]]="FourthQuartile", 4, ""))))</f>
        <v>2</v>
      </c>
      <c r="I1245" s="5" t="str">
        <f>IF(Table13[[#This Row],[Previous Quartile Value]]="", "",
   IF(Table13[[#This Row],[Quartile Value]] &lt; Table13[[#This Row],[Previous Quartile Value]], "Improved",
   IF(Table13[[#This Row],[Quartile Value]] &gt; Table13[[#This Row],[Previous Quartile Value]], "Dropped", "Same")))</f>
        <v>Same</v>
      </c>
      <c r="J1245" s="7" t="s">
        <v>22</v>
      </c>
      <c r="K1245" s="7" t="str">
        <f>VLOOKUP(J1245,Introduction!$B$6:$C$14,2)</f>
        <v>North West</v>
      </c>
      <c r="L1245" s="5">
        <v>96</v>
      </c>
      <c r="M1245" s="8" t="s">
        <v>425</v>
      </c>
    </row>
    <row r="1246" spans="1:13" ht="19.95" customHeight="1" x14ac:dyDescent="0.25">
      <c r="A1246" s="40">
        <v>45352</v>
      </c>
      <c r="B1246" s="46">
        <f>MONTH(Table13[[#This Row],[YearMonth]])</f>
        <v>3</v>
      </c>
      <c r="C1246" s="5" t="s">
        <v>142</v>
      </c>
      <c r="D1246" s="6" t="s">
        <v>338</v>
      </c>
      <c r="E1246" s="6">
        <f>IF(Table13[[#This Row],[Quartile]]="TopQuartile", 1,
 IF(Table13[[#This Row],[Quartile]]="SecondQuartile", 2,
 IF(Table13[[#This Row],[Quartile]]="ThirdQuartile", 3,
 IF(Table13[[#This Row],[Quartile]]="FourthQuartile", 4, ""))))</f>
        <v>2</v>
      </c>
      <c r="F1246" s="5" t="s">
        <v>435</v>
      </c>
      <c r="G1246" s="5" t="str" cm="1">
        <f t="array" ref="G1246">IFERROR(
  INDEX(Table13[Quartile],
    MATCH(1,
      (Table13[[#This Row],[OrgName]]=Table13[OrgName]) *
      (Table13[[#This Row],[Month Number]]-1=Table13[Month Number]),
    0)
  ),
"")</f>
        <v>SecondQuartile</v>
      </c>
      <c r="H1246" s="5">
        <f>IF(Table13[[#This Row],[Previous Quartile]]="TopQuartile", 1,
 IF(Table13[[#This Row],[Previous Quartile]]="SecondQuartile", 2,
 IF(Table13[[#This Row],[Previous Quartile]]="ThirdQuartile", 3,
 IF(Table13[[#This Row],[Previous Quartile]]="FourthQuartile", 4, ""))))</f>
        <v>2</v>
      </c>
      <c r="I1246" s="5" t="str">
        <f>IF(Table13[[#This Row],[Previous Quartile Value]]="", "",
   IF(Table13[[#This Row],[Quartile Value]] &lt; Table13[[#This Row],[Previous Quartile Value]], "Improved",
   IF(Table13[[#This Row],[Quartile Value]] &gt; Table13[[#This Row],[Previous Quartile Value]], "Dropped", "Same")))</f>
        <v>Same</v>
      </c>
      <c r="J1246" s="7" t="s">
        <v>22</v>
      </c>
      <c r="K1246" s="7" t="str">
        <f>VLOOKUP(J1246,Introduction!$B$6:$C$14,2)</f>
        <v>North West</v>
      </c>
      <c r="L1246" s="5">
        <v>409</v>
      </c>
      <c r="M1246" s="8" t="s">
        <v>425</v>
      </c>
    </row>
    <row r="1247" spans="1:13" ht="19.95" customHeight="1" x14ac:dyDescent="0.25">
      <c r="A1247" s="40">
        <v>45352</v>
      </c>
      <c r="B1247" s="46">
        <f>MONTH(Table13[[#This Row],[YearMonth]])</f>
        <v>3</v>
      </c>
      <c r="C1247" s="5" t="s">
        <v>149</v>
      </c>
      <c r="D1247" s="6" t="s">
        <v>338</v>
      </c>
      <c r="E1247" s="6">
        <f>IF(Table13[[#This Row],[Quartile]]="TopQuartile", 1,
 IF(Table13[[#This Row],[Quartile]]="SecondQuartile", 2,
 IF(Table13[[#This Row],[Quartile]]="ThirdQuartile", 3,
 IF(Table13[[#This Row],[Quartile]]="FourthQuartile", 4, ""))))</f>
        <v>2</v>
      </c>
      <c r="F1247" s="5" t="s">
        <v>438</v>
      </c>
      <c r="G1247" s="5" t="str" cm="1">
        <f t="array" ref="G1247">IFERROR(
  INDEX(Table13[Quartile],
    MATCH(1,
      (Table13[[#This Row],[OrgName]]=Table13[OrgName]) *
      (Table13[[#This Row],[Month Number]]-1=Table13[Month Number]),
    0)
  ),
"")</f>
        <v>SecondQuartile</v>
      </c>
      <c r="H1247" s="5">
        <f>IF(Table13[[#This Row],[Previous Quartile]]="TopQuartile", 1,
 IF(Table13[[#This Row],[Previous Quartile]]="SecondQuartile", 2,
 IF(Table13[[#This Row],[Previous Quartile]]="ThirdQuartile", 3,
 IF(Table13[[#This Row],[Previous Quartile]]="FourthQuartile", 4, ""))))</f>
        <v>2</v>
      </c>
      <c r="I1247" s="5" t="str">
        <f>IF(Table13[[#This Row],[Previous Quartile Value]]="", "",
   IF(Table13[[#This Row],[Quartile Value]] &lt; Table13[[#This Row],[Previous Quartile Value]], "Improved",
   IF(Table13[[#This Row],[Quartile Value]] &gt; Table13[[#This Row],[Previous Quartile Value]], "Dropped", "Same")))</f>
        <v>Same</v>
      </c>
      <c r="J1247" s="5" t="s">
        <v>16</v>
      </c>
      <c r="K1247" s="7" t="str">
        <f>VLOOKUP(J1247,Introduction!$B$6:$C$14,2)</f>
        <v>South East</v>
      </c>
      <c r="L1247" s="13">
        <v>279</v>
      </c>
      <c r="M1247" s="8" t="s">
        <v>425</v>
      </c>
    </row>
    <row r="1248" spans="1:13" ht="19.95" customHeight="1" x14ac:dyDescent="0.25">
      <c r="A1248" s="40">
        <v>45352</v>
      </c>
      <c r="B1248" s="46">
        <f>MONTH(Table13[[#This Row],[YearMonth]])</f>
        <v>3</v>
      </c>
      <c r="C1248" s="5" t="s">
        <v>177</v>
      </c>
      <c r="D1248" s="6" t="s">
        <v>338</v>
      </c>
      <c r="E1248" s="6">
        <f>IF(Table13[[#This Row],[Quartile]]="TopQuartile", 1,
 IF(Table13[[#This Row],[Quartile]]="SecondQuartile", 2,
 IF(Table13[[#This Row],[Quartile]]="ThirdQuartile", 3,
 IF(Table13[[#This Row],[Quartile]]="FourthQuartile", 4, ""))))</f>
        <v>2</v>
      </c>
      <c r="F1248" s="5" t="s">
        <v>446</v>
      </c>
      <c r="G1248" s="5" t="str" cm="1">
        <f t="array" ref="G1248">IFERROR(
  INDEX(Table13[Quartile],
    MATCH(1,
      (Table13[[#This Row],[OrgName]]=Table13[OrgName]) *
      (Table13[[#This Row],[Month Number]]-1=Table13[Month Number]),
    0)
  ),
"")</f>
        <v>SecondQuartile</v>
      </c>
      <c r="H1248" s="5">
        <f>IF(Table13[[#This Row],[Previous Quartile]]="TopQuartile", 1,
 IF(Table13[[#This Row],[Previous Quartile]]="SecondQuartile", 2,
 IF(Table13[[#This Row],[Previous Quartile]]="ThirdQuartile", 3,
 IF(Table13[[#This Row],[Previous Quartile]]="FourthQuartile", 4, ""))))</f>
        <v>2</v>
      </c>
      <c r="I1248" s="5" t="str">
        <f>IF(Table13[[#This Row],[Previous Quartile Value]]="", "",
   IF(Table13[[#This Row],[Quartile Value]] &lt; Table13[[#This Row],[Previous Quartile Value]], "Improved",
   IF(Table13[[#This Row],[Quartile Value]] &gt; Table13[[#This Row],[Previous Quartile Value]], "Dropped", "Same")))</f>
        <v>Same</v>
      </c>
      <c r="J1248" s="5" t="s">
        <v>18</v>
      </c>
      <c r="K1248" s="7" t="str">
        <f>VLOOKUP(J1248,Introduction!$B$6:$C$14,2)</f>
        <v>Midlands</v>
      </c>
      <c r="L1248" s="13">
        <v>358</v>
      </c>
      <c r="M1248" s="8" t="s">
        <v>425</v>
      </c>
    </row>
    <row r="1249" spans="1:13" ht="19.95" customHeight="1" x14ac:dyDescent="0.25">
      <c r="A1249" s="40">
        <v>45352</v>
      </c>
      <c r="B1249" s="46">
        <f>MONTH(Table13[[#This Row],[YearMonth]])</f>
        <v>3</v>
      </c>
      <c r="C1249" s="5" t="s">
        <v>157</v>
      </c>
      <c r="D1249" s="6" t="s">
        <v>338</v>
      </c>
      <c r="E1249" s="6">
        <f>IF(Table13[[#This Row],[Quartile]]="TopQuartile", 1,
 IF(Table13[[#This Row],[Quartile]]="SecondQuartile", 2,
 IF(Table13[[#This Row],[Quartile]]="ThirdQuartile", 3,
 IF(Table13[[#This Row],[Quartile]]="FourthQuartile", 4, ""))))</f>
        <v>2</v>
      </c>
      <c r="F1249" s="5" t="s">
        <v>440</v>
      </c>
      <c r="G1249" s="5" t="str" cm="1">
        <f t="array" ref="G1249">IFERROR(
  INDEX(Table13[Quartile],
    MATCH(1,
      (Table13[[#This Row],[OrgName]]=Table13[OrgName]) *
      (Table13[[#This Row],[Month Number]]-1=Table13[Month Number]),
    0)
  ),
"")</f>
        <v>SecondQuartile</v>
      </c>
      <c r="H1249" s="5">
        <f>IF(Table13[[#This Row],[Previous Quartile]]="TopQuartile", 1,
 IF(Table13[[#This Row],[Previous Quartile]]="SecondQuartile", 2,
 IF(Table13[[#This Row],[Previous Quartile]]="ThirdQuartile", 3,
 IF(Table13[[#This Row],[Previous Quartile]]="FourthQuartile", 4, ""))))</f>
        <v>2</v>
      </c>
      <c r="I1249" s="5" t="str">
        <f>IF(Table13[[#This Row],[Previous Quartile Value]]="", "",
   IF(Table13[[#This Row],[Quartile Value]] &lt; Table13[[#This Row],[Previous Quartile Value]], "Improved",
   IF(Table13[[#This Row],[Quartile Value]] &gt; Table13[[#This Row],[Previous Quartile Value]], "Dropped", "Same")))</f>
        <v>Same</v>
      </c>
      <c r="J1249" s="5" t="s">
        <v>12</v>
      </c>
      <c r="K1249" s="7" t="str">
        <f>VLOOKUP(J1249,Introduction!$B$6:$C$14,2)</f>
        <v>London</v>
      </c>
      <c r="L1249" s="13">
        <v>391</v>
      </c>
      <c r="M1249" s="8" t="s">
        <v>425</v>
      </c>
    </row>
    <row r="1250" spans="1:13" ht="19.95" customHeight="1" x14ac:dyDescent="0.25">
      <c r="A1250" s="40">
        <v>45352</v>
      </c>
      <c r="B1250" s="46">
        <f>MONTH(Table13[[#This Row],[YearMonth]])</f>
        <v>3</v>
      </c>
      <c r="C1250" s="5" t="s">
        <v>165</v>
      </c>
      <c r="D1250" s="6" t="s">
        <v>338</v>
      </c>
      <c r="E1250" s="6">
        <f>IF(Table13[[#This Row],[Quartile]]="TopQuartile", 1,
 IF(Table13[[#This Row],[Quartile]]="SecondQuartile", 2,
 IF(Table13[[#This Row],[Quartile]]="ThirdQuartile", 3,
 IF(Table13[[#This Row],[Quartile]]="FourthQuartile", 4, ""))))</f>
        <v>2</v>
      </c>
      <c r="F1250" s="5" t="s">
        <v>443</v>
      </c>
      <c r="G1250" s="5" t="str" cm="1">
        <f t="array" ref="G1250">IFERROR(
  INDEX(Table13[Quartile],
    MATCH(1,
      (Table13[[#This Row],[OrgName]]=Table13[OrgName]) *
      (Table13[[#This Row],[Month Number]]-1=Table13[Month Number]),
    0)
  ),
"")</f>
        <v>ThirdQuartile</v>
      </c>
      <c r="H1250" s="5">
        <f>IF(Table13[[#This Row],[Previous Quartile]]="TopQuartile", 1,
 IF(Table13[[#This Row],[Previous Quartile]]="SecondQuartile", 2,
 IF(Table13[[#This Row],[Previous Quartile]]="ThirdQuartile", 3,
 IF(Table13[[#This Row],[Previous Quartile]]="FourthQuartile", 4, ""))))</f>
        <v>3</v>
      </c>
      <c r="I1250" s="5" t="str">
        <f>IF(Table13[[#This Row],[Previous Quartile Value]]="", "",
   IF(Table13[[#This Row],[Quartile Value]] &lt; Table13[[#This Row],[Previous Quartile Value]], "Improved",
   IF(Table13[[#This Row],[Quartile Value]] &gt; Table13[[#This Row],[Previous Quartile Value]], "Dropped", "Same")))</f>
        <v>Improved</v>
      </c>
      <c r="J1250" s="5" t="s">
        <v>24</v>
      </c>
      <c r="K1250" s="7" t="str">
        <f>VLOOKUP(J1250,Introduction!$B$6:$C$14,2)</f>
        <v>North East and Yorkshire</v>
      </c>
      <c r="L1250" s="13">
        <v>356</v>
      </c>
      <c r="M1250" s="8" t="s">
        <v>425</v>
      </c>
    </row>
    <row r="1251" spans="1:13" ht="19.95" customHeight="1" x14ac:dyDescent="0.25">
      <c r="A1251" s="40">
        <v>45352</v>
      </c>
      <c r="B1251" s="46">
        <f>MONTH(Table13[[#This Row],[YearMonth]])</f>
        <v>3</v>
      </c>
      <c r="C1251" s="5" t="s">
        <v>161</v>
      </c>
      <c r="D1251" s="6" t="s">
        <v>338</v>
      </c>
      <c r="E1251" s="6">
        <f>IF(Table13[[#This Row],[Quartile]]="TopQuartile", 1,
 IF(Table13[[#This Row],[Quartile]]="SecondQuartile", 2,
 IF(Table13[[#This Row],[Quartile]]="ThirdQuartile", 3,
 IF(Table13[[#This Row],[Quartile]]="FourthQuartile", 4, ""))))</f>
        <v>2</v>
      </c>
      <c r="F1251" s="5" t="s">
        <v>442</v>
      </c>
      <c r="G1251" s="5" t="str" cm="1">
        <f t="array" ref="G1251">IFERROR(
  INDEX(Table13[Quartile],
    MATCH(1,
      (Table13[[#This Row],[OrgName]]=Table13[OrgName]) *
      (Table13[[#This Row],[Month Number]]-1=Table13[Month Number]),
    0)
  ),
"")</f>
        <v>ThirdQuartile</v>
      </c>
      <c r="H1251" s="5">
        <f>IF(Table13[[#This Row],[Previous Quartile]]="TopQuartile", 1,
 IF(Table13[[#This Row],[Previous Quartile]]="SecondQuartile", 2,
 IF(Table13[[#This Row],[Previous Quartile]]="ThirdQuartile", 3,
 IF(Table13[[#This Row],[Previous Quartile]]="FourthQuartile", 4, ""))))</f>
        <v>3</v>
      </c>
      <c r="I1251" s="5" t="str">
        <f>IF(Table13[[#This Row],[Previous Quartile Value]]="", "",
   IF(Table13[[#This Row],[Quartile Value]] &lt; Table13[[#This Row],[Previous Quartile Value]], "Improved",
   IF(Table13[[#This Row],[Quartile Value]] &gt; Table13[[#This Row],[Previous Quartile Value]], "Dropped", "Same")))</f>
        <v>Improved</v>
      </c>
      <c r="J1251" s="5" t="s">
        <v>16</v>
      </c>
      <c r="K1251" s="7" t="str">
        <f>VLOOKUP(J1251,Introduction!$B$6:$C$14,2)</f>
        <v>South East</v>
      </c>
      <c r="L1251" s="13">
        <v>344</v>
      </c>
      <c r="M1251" s="8" t="s">
        <v>425</v>
      </c>
    </row>
    <row r="1252" spans="1:13" ht="19.95" customHeight="1" x14ac:dyDescent="0.25">
      <c r="A1252" s="40">
        <v>45352</v>
      </c>
      <c r="B1252" s="46">
        <f>MONTH(Table13[[#This Row],[YearMonth]])</f>
        <v>3</v>
      </c>
      <c r="C1252" s="5" t="s">
        <v>197</v>
      </c>
      <c r="D1252" s="6" t="s">
        <v>341</v>
      </c>
      <c r="E1252" s="6">
        <f>IF(Table13[[#This Row],[Quartile]]="TopQuartile", 1,
 IF(Table13[[#This Row],[Quartile]]="SecondQuartile", 2,
 IF(Table13[[#This Row],[Quartile]]="ThirdQuartile", 3,
 IF(Table13[[#This Row],[Quartile]]="FourthQuartile", 4, ""))))</f>
        <v>3</v>
      </c>
      <c r="F1252" s="5" t="s">
        <v>453</v>
      </c>
      <c r="G1252" s="5" t="str" cm="1">
        <f t="array" ref="G1252">IFERROR(
  INDEX(Table13[Quartile],
    MATCH(1,
      (Table13[[#This Row],[OrgName]]=Table13[OrgName]) *
      (Table13[[#This Row],[Month Number]]-1=Table13[Month Number]),
    0)
  ),
"")</f>
        <v>SecondQuartile</v>
      </c>
      <c r="H1252" s="5">
        <f>IF(Table13[[#This Row],[Previous Quartile]]="TopQuartile", 1,
 IF(Table13[[#This Row],[Previous Quartile]]="SecondQuartile", 2,
 IF(Table13[[#This Row],[Previous Quartile]]="ThirdQuartile", 3,
 IF(Table13[[#This Row],[Previous Quartile]]="FourthQuartile", 4, ""))))</f>
        <v>2</v>
      </c>
      <c r="I1252" s="5" t="str">
        <f>IF(Table13[[#This Row],[Previous Quartile Value]]="", "",
   IF(Table13[[#This Row],[Quartile Value]] &lt; Table13[[#This Row],[Previous Quartile Value]], "Improved",
   IF(Table13[[#This Row],[Quartile Value]] &gt; Table13[[#This Row],[Previous Quartile Value]], "Dropped", "Same")))</f>
        <v>Dropped</v>
      </c>
      <c r="J1252" s="5" t="s">
        <v>24</v>
      </c>
      <c r="K1252" s="7" t="str">
        <f>VLOOKUP(J1252,Introduction!$B$6:$C$14,2)</f>
        <v>North East and Yorkshire</v>
      </c>
      <c r="L1252" s="13">
        <v>328</v>
      </c>
      <c r="M1252" s="8" t="s">
        <v>425</v>
      </c>
    </row>
    <row r="1253" spans="1:13" ht="19.95" customHeight="1" x14ac:dyDescent="0.25">
      <c r="A1253" s="40">
        <v>45352</v>
      </c>
      <c r="B1253" s="46">
        <f>MONTH(Table13[[#This Row],[YearMonth]])</f>
        <v>3</v>
      </c>
      <c r="C1253" s="5" t="s">
        <v>170</v>
      </c>
      <c r="D1253" s="6" t="s">
        <v>341</v>
      </c>
      <c r="E1253" s="6">
        <f>IF(Table13[[#This Row],[Quartile]]="TopQuartile", 1,
 IF(Table13[[#This Row],[Quartile]]="SecondQuartile", 2,
 IF(Table13[[#This Row],[Quartile]]="ThirdQuartile", 3,
 IF(Table13[[#This Row],[Quartile]]="FourthQuartile", 4, ""))))</f>
        <v>3</v>
      </c>
      <c r="F1253" s="5" t="s">
        <v>445</v>
      </c>
      <c r="G1253" s="5" t="str" cm="1">
        <f t="array" ref="G1253">IFERROR(
  INDEX(Table13[Quartile],
    MATCH(1,
      (Table13[[#This Row],[OrgName]]=Table13[OrgName]) *
      (Table13[[#This Row],[Month Number]]-1=Table13[Month Number]),
    0)
  ),
"")</f>
        <v>ThirdQuartile</v>
      </c>
      <c r="H1253" s="5">
        <f>IF(Table13[[#This Row],[Previous Quartile]]="TopQuartile", 1,
 IF(Table13[[#This Row],[Previous Quartile]]="SecondQuartile", 2,
 IF(Table13[[#This Row],[Previous Quartile]]="ThirdQuartile", 3,
 IF(Table13[[#This Row],[Previous Quartile]]="FourthQuartile", 4, ""))))</f>
        <v>3</v>
      </c>
      <c r="I1253" s="5" t="str">
        <f>IF(Table13[[#This Row],[Previous Quartile Value]]="", "",
   IF(Table13[[#This Row],[Quartile Value]] &lt; Table13[[#This Row],[Previous Quartile Value]], "Improved",
   IF(Table13[[#This Row],[Quartile Value]] &gt; Table13[[#This Row],[Previous Quartile Value]], "Dropped", "Same")))</f>
        <v>Same</v>
      </c>
      <c r="J1253" s="5" t="s">
        <v>18</v>
      </c>
      <c r="K1253" s="7" t="str">
        <f>VLOOKUP(J1253,Introduction!$B$6:$C$14,2)</f>
        <v>Midlands</v>
      </c>
      <c r="L1253" s="13">
        <v>218</v>
      </c>
      <c r="M1253" s="8" t="s">
        <v>425</v>
      </c>
    </row>
    <row r="1254" spans="1:13" ht="19.95" customHeight="1" x14ac:dyDescent="0.25">
      <c r="A1254" s="40">
        <v>45352</v>
      </c>
      <c r="B1254" s="46">
        <f>MONTH(Table13[[#This Row],[YearMonth]])</f>
        <v>3</v>
      </c>
      <c r="C1254" s="5" t="s">
        <v>189</v>
      </c>
      <c r="D1254" s="6" t="s">
        <v>341</v>
      </c>
      <c r="E1254" s="6">
        <f>IF(Table13[[#This Row],[Quartile]]="TopQuartile", 1,
 IF(Table13[[#This Row],[Quartile]]="SecondQuartile", 2,
 IF(Table13[[#This Row],[Quartile]]="ThirdQuartile", 3,
 IF(Table13[[#This Row],[Quartile]]="FourthQuartile", 4, ""))))</f>
        <v>3</v>
      </c>
      <c r="F1254" s="5" t="s">
        <v>448</v>
      </c>
      <c r="G1254" s="5" t="str" cm="1">
        <f t="array" ref="G1254">IFERROR(
  INDEX(Table13[Quartile],
    MATCH(1,
      (Table13[[#This Row],[OrgName]]=Table13[OrgName]) *
      (Table13[[#This Row],[Month Number]]-1=Table13[Month Number]),
    0)
  ),
"")</f>
        <v>ThirdQuartile</v>
      </c>
      <c r="H1254" s="5">
        <f>IF(Table13[[#This Row],[Previous Quartile]]="TopQuartile", 1,
 IF(Table13[[#This Row],[Previous Quartile]]="SecondQuartile", 2,
 IF(Table13[[#This Row],[Previous Quartile]]="ThirdQuartile", 3,
 IF(Table13[[#This Row],[Previous Quartile]]="FourthQuartile", 4, ""))))</f>
        <v>3</v>
      </c>
      <c r="I1254" s="5" t="str">
        <f>IF(Table13[[#This Row],[Previous Quartile Value]]="", "",
   IF(Table13[[#This Row],[Quartile Value]] &lt; Table13[[#This Row],[Previous Quartile Value]], "Improved",
   IF(Table13[[#This Row],[Quartile Value]] &gt; Table13[[#This Row],[Previous Quartile Value]], "Dropped", "Same")))</f>
        <v>Same</v>
      </c>
      <c r="J1254" s="5" t="s">
        <v>12</v>
      </c>
      <c r="K1254" s="7" t="str">
        <f>VLOOKUP(J1254,Introduction!$B$6:$C$14,2)</f>
        <v>London</v>
      </c>
      <c r="L1254" s="13">
        <v>343</v>
      </c>
      <c r="M1254" s="8" t="s">
        <v>425</v>
      </c>
    </row>
    <row r="1255" spans="1:13" ht="19.95" customHeight="1" x14ac:dyDescent="0.25">
      <c r="A1255" s="40">
        <v>45352</v>
      </c>
      <c r="B1255" s="46">
        <f>MONTH(Table13[[#This Row],[YearMonth]])</f>
        <v>3</v>
      </c>
      <c r="C1255" s="5" t="s">
        <v>192</v>
      </c>
      <c r="D1255" s="6" t="s">
        <v>341</v>
      </c>
      <c r="E1255" s="6">
        <f>IF(Table13[[#This Row],[Quartile]]="TopQuartile", 1,
 IF(Table13[[#This Row],[Quartile]]="SecondQuartile", 2,
 IF(Table13[[#This Row],[Quartile]]="ThirdQuartile", 3,
 IF(Table13[[#This Row],[Quartile]]="FourthQuartile", 4, ""))))</f>
        <v>3</v>
      </c>
      <c r="F1255" s="5" t="s">
        <v>450</v>
      </c>
      <c r="G1255" s="5" t="str" cm="1">
        <f t="array" ref="G1255">IFERROR(
  INDEX(Table13[Quartile],
    MATCH(1,
      (Table13[[#This Row],[OrgName]]=Table13[OrgName]) *
      (Table13[[#This Row],[Month Number]]-1=Table13[Month Number]),
    0)
  ),
"")</f>
        <v>ThirdQuartile</v>
      </c>
      <c r="H1255" s="5">
        <f>IF(Table13[[#This Row],[Previous Quartile]]="TopQuartile", 1,
 IF(Table13[[#This Row],[Previous Quartile]]="SecondQuartile", 2,
 IF(Table13[[#This Row],[Previous Quartile]]="ThirdQuartile", 3,
 IF(Table13[[#This Row],[Previous Quartile]]="FourthQuartile", 4, ""))))</f>
        <v>3</v>
      </c>
      <c r="I1255" s="5" t="str">
        <f>IF(Table13[[#This Row],[Previous Quartile Value]]="", "",
   IF(Table13[[#This Row],[Quartile Value]] &lt; Table13[[#This Row],[Previous Quartile Value]], "Improved",
   IF(Table13[[#This Row],[Quartile Value]] &gt; Table13[[#This Row],[Previous Quartile Value]], "Dropped", "Same")))</f>
        <v>Same</v>
      </c>
      <c r="J1255" s="5" t="s">
        <v>12</v>
      </c>
      <c r="K1255" s="7" t="str">
        <f>VLOOKUP(J1255,Introduction!$B$6:$C$14,2)</f>
        <v>London</v>
      </c>
      <c r="L1255" s="13">
        <v>259</v>
      </c>
      <c r="M1255" s="8" t="s">
        <v>425</v>
      </c>
    </row>
    <row r="1256" spans="1:13" ht="19.95" customHeight="1" x14ac:dyDescent="0.25">
      <c r="A1256" s="40">
        <v>45352</v>
      </c>
      <c r="B1256" s="46">
        <f>MONTH(Table13[[#This Row],[YearMonth]])</f>
        <v>3</v>
      </c>
      <c r="C1256" s="5" t="s">
        <v>190</v>
      </c>
      <c r="D1256" s="6" t="s">
        <v>341</v>
      </c>
      <c r="E1256" s="6">
        <f>IF(Table13[[#This Row],[Quartile]]="TopQuartile", 1,
 IF(Table13[[#This Row],[Quartile]]="SecondQuartile", 2,
 IF(Table13[[#This Row],[Quartile]]="ThirdQuartile", 3,
 IF(Table13[[#This Row],[Quartile]]="FourthQuartile", 4, ""))))</f>
        <v>3</v>
      </c>
      <c r="F1256" s="5" t="s">
        <v>449</v>
      </c>
      <c r="G1256" s="5" t="str" cm="1">
        <f t="array" ref="G1256">IFERROR(
  INDEX(Table13[Quartile],
    MATCH(1,
      (Table13[[#This Row],[OrgName]]=Table13[OrgName]) *
      (Table13[[#This Row],[Month Number]]-1=Table13[Month Number]),
    0)
  ),
"")</f>
        <v>ThirdQuartile</v>
      </c>
      <c r="H1256" s="5">
        <f>IF(Table13[[#This Row],[Previous Quartile]]="TopQuartile", 1,
 IF(Table13[[#This Row],[Previous Quartile]]="SecondQuartile", 2,
 IF(Table13[[#This Row],[Previous Quartile]]="ThirdQuartile", 3,
 IF(Table13[[#This Row],[Previous Quartile]]="FourthQuartile", 4, ""))))</f>
        <v>3</v>
      </c>
      <c r="I1256" s="5" t="str">
        <f>IF(Table13[[#This Row],[Previous Quartile Value]]="", "",
   IF(Table13[[#This Row],[Quartile Value]] &lt; Table13[[#This Row],[Previous Quartile Value]], "Improved",
   IF(Table13[[#This Row],[Quartile Value]] &gt; Table13[[#This Row],[Previous Quartile Value]], "Dropped", "Same")))</f>
        <v>Same</v>
      </c>
      <c r="J1256" s="5" t="s">
        <v>12</v>
      </c>
      <c r="K1256" s="7" t="str">
        <f>VLOOKUP(J1256,Introduction!$B$6:$C$14,2)</f>
        <v>London</v>
      </c>
      <c r="L1256" s="13">
        <v>200</v>
      </c>
      <c r="M1256" s="8" t="s">
        <v>425</v>
      </c>
    </row>
    <row r="1257" spans="1:13" ht="19.95" customHeight="1" x14ac:dyDescent="0.25">
      <c r="A1257" s="40">
        <v>45352</v>
      </c>
      <c r="B1257" s="46">
        <f>MONTH(Table13[[#This Row],[YearMonth]])</f>
        <v>3</v>
      </c>
      <c r="C1257" s="5" t="s">
        <v>210</v>
      </c>
      <c r="D1257" s="6" t="s">
        <v>341</v>
      </c>
      <c r="E1257" s="6">
        <f>IF(Table13[[#This Row],[Quartile]]="TopQuartile", 1,
 IF(Table13[[#This Row],[Quartile]]="SecondQuartile", 2,
 IF(Table13[[#This Row],[Quartile]]="ThirdQuartile", 3,
 IF(Table13[[#This Row],[Quartile]]="FourthQuartile", 4, ""))))</f>
        <v>3</v>
      </c>
      <c r="F1257" s="5" t="s">
        <v>456</v>
      </c>
      <c r="G1257" s="5" t="str" cm="1">
        <f t="array" ref="G1257">IFERROR(
  INDEX(Table13[Quartile],
    MATCH(1,
      (Table13[[#This Row],[OrgName]]=Table13[OrgName]) *
      (Table13[[#This Row],[Month Number]]-1=Table13[Month Number]),
    0)
  ),
"")</f>
        <v>ThirdQuartile</v>
      </c>
      <c r="H1257" s="5">
        <f>IF(Table13[[#This Row],[Previous Quartile]]="TopQuartile", 1,
 IF(Table13[[#This Row],[Previous Quartile]]="SecondQuartile", 2,
 IF(Table13[[#This Row],[Previous Quartile]]="ThirdQuartile", 3,
 IF(Table13[[#This Row],[Previous Quartile]]="FourthQuartile", 4, ""))))</f>
        <v>3</v>
      </c>
      <c r="I1257" s="5" t="str">
        <f>IF(Table13[[#This Row],[Previous Quartile Value]]="", "",
   IF(Table13[[#This Row],[Quartile Value]] &lt; Table13[[#This Row],[Previous Quartile Value]], "Improved",
   IF(Table13[[#This Row],[Quartile Value]] &gt; Table13[[#This Row],[Previous Quartile Value]], "Dropped", "Same")))</f>
        <v>Same</v>
      </c>
      <c r="J1257" s="5" t="s">
        <v>20</v>
      </c>
      <c r="K1257" s="7" t="str">
        <f>VLOOKUP(J1257,Introduction!$B$6:$C$14,2)</f>
        <v>East of England</v>
      </c>
      <c r="L1257" s="13">
        <v>360</v>
      </c>
      <c r="M1257" s="8" t="s">
        <v>425</v>
      </c>
    </row>
    <row r="1258" spans="1:13" ht="19.95" customHeight="1" x14ac:dyDescent="0.25">
      <c r="A1258" s="40">
        <v>45352</v>
      </c>
      <c r="B1258" s="46">
        <f>MONTH(Table13[[#This Row],[YearMonth]])</f>
        <v>3</v>
      </c>
      <c r="C1258" s="5" t="s">
        <v>198</v>
      </c>
      <c r="D1258" s="6" t="s">
        <v>341</v>
      </c>
      <c r="E1258" s="6">
        <f>IF(Table13[[#This Row],[Quartile]]="TopQuartile", 1,
 IF(Table13[[#This Row],[Quartile]]="SecondQuartile", 2,
 IF(Table13[[#This Row],[Quartile]]="ThirdQuartile", 3,
 IF(Table13[[#This Row],[Quartile]]="FourthQuartile", 4, ""))))</f>
        <v>3</v>
      </c>
      <c r="F1258" s="5" t="s">
        <v>454</v>
      </c>
      <c r="G1258" s="5" t="str" cm="1">
        <f t="array" ref="G1258">IFERROR(
  INDEX(Table13[Quartile],
    MATCH(1,
      (Table13[[#This Row],[OrgName]]=Table13[OrgName]) *
      (Table13[[#This Row],[Month Number]]-1=Table13[Month Number]),
    0)
  ),
"")</f>
        <v>SecondQuartile</v>
      </c>
      <c r="H1258" s="5">
        <f>IF(Table13[[#This Row],[Previous Quartile]]="TopQuartile", 1,
 IF(Table13[[#This Row],[Previous Quartile]]="SecondQuartile", 2,
 IF(Table13[[#This Row],[Previous Quartile]]="ThirdQuartile", 3,
 IF(Table13[[#This Row],[Previous Quartile]]="FourthQuartile", 4, ""))))</f>
        <v>2</v>
      </c>
      <c r="I1258" s="5" t="str">
        <f>IF(Table13[[#This Row],[Previous Quartile Value]]="", "",
   IF(Table13[[#This Row],[Quartile Value]] &lt; Table13[[#This Row],[Previous Quartile Value]], "Improved",
   IF(Table13[[#This Row],[Quartile Value]] &gt; Table13[[#This Row],[Previous Quartile Value]], "Dropped", "Same")))</f>
        <v>Dropped</v>
      </c>
      <c r="J1258" s="5" t="s">
        <v>22</v>
      </c>
      <c r="K1258" s="7" t="str">
        <f>VLOOKUP(J1258,Introduction!$B$6:$C$14,2)</f>
        <v>North West</v>
      </c>
      <c r="L1258" s="13">
        <v>370</v>
      </c>
      <c r="M1258" s="8" t="s">
        <v>425</v>
      </c>
    </row>
    <row r="1259" spans="1:13" ht="19.95" customHeight="1" x14ac:dyDescent="0.25">
      <c r="A1259" s="40">
        <v>45352</v>
      </c>
      <c r="B1259" s="46">
        <f>MONTH(Table13[[#This Row],[YearMonth]])</f>
        <v>3</v>
      </c>
      <c r="C1259" s="5" t="s">
        <v>179</v>
      </c>
      <c r="D1259" s="6" t="s">
        <v>341</v>
      </c>
      <c r="E1259" s="6">
        <f>IF(Table13[[#This Row],[Quartile]]="TopQuartile", 1,
 IF(Table13[[#This Row],[Quartile]]="SecondQuartile", 2,
 IF(Table13[[#This Row],[Quartile]]="ThirdQuartile", 3,
 IF(Table13[[#This Row],[Quartile]]="FourthQuartile", 4, ""))))</f>
        <v>3</v>
      </c>
      <c r="F1259" s="5" t="s">
        <v>447</v>
      </c>
      <c r="G1259" s="5" t="str" cm="1">
        <f t="array" ref="G1259">IFERROR(
  INDEX(Table13[Quartile],
    MATCH(1,
      (Table13[[#This Row],[OrgName]]=Table13[OrgName]) *
      (Table13[[#This Row],[Month Number]]-1=Table13[Month Number]),
    0)
  ),
"")</f>
        <v>ThirdQuartile</v>
      </c>
      <c r="H1259" s="5">
        <f>IF(Table13[[#This Row],[Previous Quartile]]="TopQuartile", 1,
 IF(Table13[[#This Row],[Previous Quartile]]="SecondQuartile", 2,
 IF(Table13[[#This Row],[Previous Quartile]]="ThirdQuartile", 3,
 IF(Table13[[#This Row],[Previous Quartile]]="FourthQuartile", 4, ""))))</f>
        <v>3</v>
      </c>
      <c r="I1259" s="5" t="str">
        <f>IF(Table13[[#This Row],[Previous Quartile Value]]="", "",
   IF(Table13[[#This Row],[Quartile Value]] &lt; Table13[[#This Row],[Previous Quartile Value]], "Improved",
   IF(Table13[[#This Row],[Quartile Value]] &gt; Table13[[#This Row],[Previous Quartile Value]], "Dropped", "Same")))</f>
        <v>Same</v>
      </c>
      <c r="J1259" s="5" t="s">
        <v>20</v>
      </c>
      <c r="K1259" s="7" t="str">
        <f>VLOOKUP(J1259,Introduction!$B$6:$C$14,2)</f>
        <v>East of England</v>
      </c>
      <c r="L1259" s="13">
        <v>430</v>
      </c>
      <c r="M1259" s="8" t="s">
        <v>425</v>
      </c>
    </row>
    <row r="1260" spans="1:13" ht="19.95" customHeight="1" x14ac:dyDescent="0.25">
      <c r="A1260" s="40">
        <v>45352</v>
      </c>
      <c r="B1260" s="46">
        <f>MONTH(Table13[[#This Row],[YearMonth]])</f>
        <v>3</v>
      </c>
      <c r="C1260" s="5" t="s">
        <v>194</v>
      </c>
      <c r="D1260" s="6" t="s">
        <v>341</v>
      </c>
      <c r="E1260" s="6">
        <f>IF(Table13[[#This Row],[Quartile]]="TopQuartile", 1,
 IF(Table13[[#This Row],[Quartile]]="SecondQuartile", 2,
 IF(Table13[[#This Row],[Quartile]]="ThirdQuartile", 3,
 IF(Table13[[#This Row],[Quartile]]="FourthQuartile", 4, ""))))</f>
        <v>3</v>
      </c>
      <c r="F1260" s="5" t="s">
        <v>451</v>
      </c>
      <c r="G1260" s="5" t="str" cm="1">
        <f t="array" ref="G1260">IFERROR(
  INDEX(Table13[Quartile],
    MATCH(1,
      (Table13[[#This Row],[OrgName]]=Table13[OrgName]) *
      (Table13[[#This Row],[Month Number]]-1=Table13[Month Number]),
    0)
  ),
"")</f>
        <v>ThirdQuartile</v>
      </c>
      <c r="H1260" s="5">
        <f>IF(Table13[[#This Row],[Previous Quartile]]="TopQuartile", 1,
 IF(Table13[[#This Row],[Previous Quartile]]="SecondQuartile", 2,
 IF(Table13[[#This Row],[Previous Quartile]]="ThirdQuartile", 3,
 IF(Table13[[#This Row],[Previous Quartile]]="FourthQuartile", 4, ""))))</f>
        <v>3</v>
      </c>
      <c r="I1260" s="5" t="str">
        <f>IF(Table13[[#This Row],[Previous Quartile Value]]="", "",
   IF(Table13[[#This Row],[Quartile Value]] &lt; Table13[[#This Row],[Previous Quartile Value]], "Improved",
   IF(Table13[[#This Row],[Quartile Value]] &gt; Table13[[#This Row],[Previous Quartile Value]], "Dropped", "Same")))</f>
        <v>Same</v>
      </c>
      <c r="J1260" s="5" t="s">
        <v>12</v>
      </c>
      <c r="K1260" s="7" t="str">
        <f>VLOOKUP(J1260,Introduction!$B$6:$C$14,2)</f>
        <v>London</v>
      </c>
      <c r="L1260" s="13">
        <v>393</v>
      </c>
      <c r="M1260" s="8" t="s">
        <v>425</v>
      </c>
    </row>
    <row r="1261" spans="1:13" ht="19.95" customHeight="1" x14ac:dyDescent="0.25">
      <c r="A1261" s="40">
        <v>45352</v>
      </c>
      <c r="B1261" s="46">
        <f>MONTH(Table13[[#This Row],[YearMonth]])</f>
        <v>3</v>
      </c>
      <c r="C1261" s="5" t="s">
        <v>168</v>
      </c>
      <c r="D1261" s="6" t="s">
        <v>341</v>
      </c>
      <c r="E1261" s="6">
        <f>IF(Table13[[#This Row],[Quartile]]="TopQuartile", 1,
 IF(Table13[[#This Row],[Quartile]]="SecondQuartile", 2,
 IF(Table13[[#This Row],[Quartile]]="ThirdQuartile", 3,
 IF(Table13[[#This Row],[Quartile]]="FourthQuartile", 4, ""))))</f>
        <v>3</v>
      </c>
      <c r="F1261" s="5" t="s">
        <v>444</v>
      </c>
      <c r="G1261" s="5" t="str" cm="1">
        <f t="array" ref="G1261">IFERROR(
  INDEX(Table13[Quartile],
    MATCH(1,
      (Table13[[#This Row],[OrgName]]=Table13[OrgName]) *
      (Table13[[#This Row],[Month Number]]-1=Table13[Month Number]),
    0)
  ),
"")</f>
        <v>ThirdQuartile</v>
      </c>
      <c r="H1261" s="5">
        <f>IF(Table13[[#This Row],[Previous Quartile]]="TopQuartile", 1,
 IF(Table13[[#This Row],[Previous Quartile]]="SecondQuartile", 2,
 IF(Table13[[#This Row],[Previous Quartile]]="ThirdQuartile", 3,
 IF(Table13[[#This Row],[Previous Quartile]]="FourthQuartile", 4, ""))))</f>
        <v>3</v>
      </c>
      <c r="I1261" s="5" t="str">
        <f>IF(Table13[[#This Row],[Previous Quartile Value]]="", "",
   IF(Table13[[#This Row],[Quartile Value]] &lt; Table13[[#This Row],[Previous Quartile Value]], "Improved",
   IF(Table13[[#This Row],[Quartile Value]] &gt; Table13[[#This Row],[Previous Quartile Value]], "Dropped", "Same")))</f>
        <v>Same</v>
      </c>
      <c r="J1261" s="5" t="s">
        <v>12</v>
      </c>
      <c r="K1261" s="7" t="str">
        <f>VLOOKUP(J1261,Introduction!$B$6:$C$14,2)</f>
        <v>London</v>
      </c>
      <c r="L1261" s="13">
        <v>309</v>
      </c>
      <c r="M1261" s="8" t="s">
        <v>425</v>
      </c>
    </row>
    <row r="1262" spans="1:13" ht="19.95" customHeight="1" x14ac:dyDescent="0.25">
      <c r="A1262" s="40">
        <v>45352</v>
      </c>
      <c r="B1262" s="46">
        <f>MONTH(Table13[[#This Row],[YearMonth]])</f>
        <v>3</v>
      </c>
      <c r="C1262" s="5" t="s">
        <v>222</v>
      </c>
      <c r="D1262" s="6" t="s">
        <v>341</v>
      </c>
      <c r="E1262" s="6">
        <f>IF(Table13[[#This Row],[Quartile]]="TopQuartile", 1,
 IF(Table13[[#This Row],[Quartile]]="SecondQuartile", 2,
 IF(Table13[[#This Row],[Quartile]]="ThirdQuartile", 3,
 IF(Table13[[#This Row],[Quartile]]="FourthQuartile", 4, ""))))</f>
        <v>3</v>
      </c>
      <c r="F1262" s="5" t="s">
        <v>458</v>
      </c>
      <c r="G1262" s="5" t="str" cm="1">
        <f t="array" ref="G1262">IFERROR(
  INDEX(Table13[Quartile],
    MATCH(1,
      (Table13[[#This Row],[OrgName]]=Table13[OrgName]) *
      (Table13[[#This Row],[Month Number]]-1=Table13[Month Number]),
    0)
  ),
"")</f>
        <v>ThirdQuartile</v>
      </c>
      <c r="H1262" s="5">
        <f>IF(Table13[[#This Row],[Previous Quartile]]="TopQuartile", 1,
 IF(Table13[[#This Row],[Previous Quartile]]="SecondQuartile", 2,
 IF(Table13[[#This Row],[Previous Quartile]]="ThirdQuartile", 3,
 IF(Table13[[#This Row],[Previous Quartile]]="FourthQuartile", 4, ""))))</f>
        <v>3</v>
      </c>
      <c r="I1262" s="5" t="str">
        <f>IF(Table13[[#This Row],[Previous Quartile Value]]="", "",
   IF(Table13[[#This Row],[Quartile Value]] &lt; Table13[[#This Row],[Previous Quartile Value]], "Improved",
   IF(Table13[[#This Row],[Quartile Value]] &gt; Table13[[#This Row],[Previous Quartile Value]], "Dropped", "Same")))</f>
        <v>Same</v>
      </c>
      <c r="J1262" s="5" t="s">
        <v>24</v>
      </c>
      <c r="K1262" s="7" t="str">
        <f>VLOOKUP(J1262,Introduction!$B$6:$C$14,2)</f>
        <v>North East and Yorkshire</v>
      </c>
      <c r="L1262" s="13">
        <v>298</v>
      </c>
      <c r="M1262" s="8" t="s">
        <v>425</v>
      </c>
    </row>
    <row r="1263" spans="1:13" ht="19.95" customHeight="1" x14ac:dyDescent="0.25">
      <c r="A1263" s="40">
        <v>45352</v>
      </c>
      <c r="B1263" s="46">
        <f>MONTH(Table13[[#This Row],[YearMonth]])</f>
        <v>3</v>
      </c>
      <c r="C1263" s="5" t="s">
        <v>225</v>
      </c>
      <c r="D1263" s="6" t="s">
        <v>341</v>
      </c>
      <c r="E1263" s="6">
        <f>IF(Table13[[#This Row],[Quartile]]="TopQuartile", 1,
 IF(Table13[[#This Row],[Quartile]]="SecondQuartile", 2,
 IF(Table13[[#This Row],[Quartile]]="ThirdQuartile", 3,
 IF(Table13[[#This Row],[Quartile]]="FourthQuartile", 4, ""))))</f>
        <v>3</v>
      </c>
      <c r="F1263" s="5" t="s">
        <v>460</v>
      </c>
      <c r="G1263" s="5" t="str" cm="1">
        <f t="array" ref="G1263">IFERROR(
  INDEX(Table13[Quartile],
    MATCH(1,
      (Table13[[#This Row],[OrgName]]=Table13[OrgName]) *
      (Table13[[#This Row],[Month Number]]-1=Table13[Month Number]),
    0)
  ),
"")</f>
        <v>ThirdQuartile</v>
      </c>
      <c r="H1263" s="5">
        <f>IF(Table13[[#This Row],[Previous Quartile]]="TopQuartile", 1,
 IF(Table13[[#This Row],[Previous Quartile]]="SecondQuartile", 2,
 IF(Table13[[#This Row],[Previous Quartile]]="ThirdQuartile", 3,
 IF(Table13[[#This Row],[Previous Quartile]]="FourthQuartile", 4, ""))))</f>
        <v>3</v>
      </c>
      <c r="I1263" s="5" t="str">
        <f>IF(Table13[[#This Row],[Previous Quartile Value]]="", "",
   IF(Table13[[#This Row],[Quartile Value]] &lt; Table13[[#This Row],[Previous Quartile Value]], "Improved",
   IF(Table13[[#This Row],[Quartile Value]] &gt; Table13[[#This Row],[Previous Quartile Value]], "Dropped", "Same")))</f>
        <v>Same</v>
      </c>
      <c r="J1263" s="5" t="s">
        <v>14</v>
      </c>
      <c r="K1263" s="7" t="str">
        <f>VLOOKUP(J1263,Introduction!$B$6:$C$14,2)</f>
        <v>South West</v>
      </c>
      <c r="L1263" s="13">
        <v>216</v>
      </c>
      <c r="M1263" s="8" t="s">
        <v>425</v>
      </c>
    </row>
    <row r="1264" spans="1:13" ht="19.95" customHeight="1" x14ac:dyDescent="0.25">
      <c r="A1264" s="40">
        <v>45352</v>
      </c>
      <c r="B1264" s="46">
        <f>MONTH(Table13[[#This Row],[YearMonth]])</f>
        <v>3</v>
      </c>
      <c r="C1264" s="5" t="s">
        <v>223</v>
      </c>
      <c r="D1264" s="6" t="s">
        <v>341</v>
      </c>
      <c r="E1264" s="6">
        <f>IF(Table13[[#This Row],[Quartile]]="TopQuartile", 1,
 IF(Table13[[#This Row],[Quartile]]="SecondQuartile", 2,
 IF(Table13[[#This Row],[Quartile]]="ThirdQuartile", 3,
 IF(Table13[[#This Row],[Quartile]]="FourthQuartile", 4, ""))))</f>
        <v>3</v>
      </c>
      <c r="F1264" s="5" t="s">
        <v>459</v>
      </c>
      <c r="G1264" s="5" t="str" cm="1">
        <f t="array" ref="G1264">IFERROR(
  INDEX(Table13[Quartile],
    MATCH(1,
      (Table13[[#This Row],[OrgName]]=Table13[OrgName]) *
      (Table13[[#This Row],[Month Number]]-1=Table13[Month Number]),
    0)
  ),
"")</f>
        <v>ThirdQuartile</v>
      </c>
      <c r="H1264" s="5">
        <f>IF(Table13[[#This Row],[Previous Quartile]]="TopQuartile", 1,
 IF(Table13[[#This Row],[Previous Quartile]]="SecondQuartile", 2,
 IF(Table13[[#This Row],[Previous Quartile]]="ThirdQuartile", 3,
 IF(Table13[[#This Row],[Previous Quartile]]="FourthQuartile", 4, ""))))</f>
        <v>3</v>
      </c>
      <c r="I1264" s="5" t="str">
        <f>IF(Table13[[#This Row],[Previous Quartile Value]]="", "",
   IF(Table13[[#This Row],[Quartile Value]] &lt; Table13[[#This Row],[Previous Quartile Value]], "Improved",
   IF(Table13[[#This Row],[Quartile Value]] &gt; Table13[[#This Row],[Previous Quartile Value]], "Dropped", "Same")))</f>
        <v>Same</v>
      </c>
      <c r="J1264" s="5" t="s">
        <v>22</v>
      </c>
      <c r="K1264" s="7" t="str">
        <f>VLOOKUP(J1264,Introduction!$B$6:$C$14,2)</f>
        <v>North West</v>
      </c>
      <c r="L1264" s="13">
        <v>382</v>
      </c>
      <c r="M1264" s="8" t="s">
        <v>425</v>
      </c>
    </row>
    <row r="1265" spans="1:13" ht="19.95" customHeight="1" x14ac:dyDescent="0.25">
      <c r="A1265" s="40">
        <v>45352</v>
      </c>
      <c r="B1265" s="46">
        <f>MONTH(Table13[[#This Row],[YearMonth]])</f>
        <v>3</v>
      </c>
      <c r="C1265" s="5" t="s">
        <v>195</v>
      </c>
      <c r="D1265" s="6" t="s">
        <v>341</v>
      </c>
      <c r="E1265" s="6">
        <f>IF(Table13[[#This Row],[Quartile]]="TopQuartile", 1,
 IF(Table13[[#This Row],[Quartile]]="SecondQuartile", 2,
 IF(Table13[[#This Row],[Quartile]]="ThirdQuartile", 3,
 IF(Table13[[#This Row],[Quartile]]="FourthQuartile", 4, ""))))</f>
        <v>3</v>
      </c>
      <c r="F1265" s="5" t="s">
        <v>452</v>
      </c>
      <c r="G1265" s="5" t="str" cm="1">
        <f t="array" ref="G1265">IFERROR(
  INDEX(Table13[Quartile],
    MATCH(1,
      (Table13[[#This Row],[OrgName]]=Table13[OrgName]) *
      (Table13[[#This Row],[Month Number]]-1=Table13[Month Number]),
    0)
  ),
"")</f>
        <v>ThirdQuartile</v>
      </c>
      <c r="H1265" s="5">
        <f>IF(Table13[[#This Row],[Previous Quartile]]="TopQuartile", 1,
 IF(Table13[[#This Row],[Previous Quartile]]="SecondQuartile", 2,
 IF(Table13[[#This Row],[Previous Quartile]]="ThirdQuartile", 3,
 IF(Table13[[#This Row],[Previous Quartile]]="FourthQuartile", 4, ""))))</f>
        <v>3</v>
      </c>
      <c r="I1265" s="5" t="str">
        <f>IF(Table13[[#This Row],[Previous Quartile Value]]="", "",
   IF(Table13[[#This Row],[Quartile Value]] &lt; Table13[[#This Row],[Previous Quartile Value]], "Improved",
   IF(Table13[[#This Row],[Quartile Value]] &gt; Table13[[#This Row],[Previous Quartile Value]], "Dropped", "Same")))</f>
        <v>Same</v>
      </c>
      <c r="J1265" s="5" t="s">
        <v>24</v>
      </c>
      <c r="K1265" s="7" t="str">
        <f>VLOOKUP(J1265,Introduction!$B$6:$C$14,2)</f>
        <v>North East and Yorkshire</v>
      </c>
      <c r="L1265" s="13">
        <v>377</v>
      </c>
      <c r="M1265" s="8" t="s">
        <v>425</v>
      </c>
    </row>
    <row r="1266" spans="1:13" ht="19.95" customHeight="1" x14ac:dyDescent="0.25">
      <c r="A1266" s="40">
        <v>45352</v>
      </c>
      <c r="B1266" s="46">
        <f>MONTH(Table13[[#This Row],[YearMonth]])</f>
        <v>3</v>
      </c>
      <c r="C1266" s="5" t="s">
        <v>235</v>
      </c>
      <c r="D1266" s="6" t="s">
        <v>341</v>
      </c>
      <c r="E1266" s="6">
        <f>IF(Table13[[#This Row],[Quartile]]="TopQuartile", 1,
 IF(Table13[[#This Row],[Quartile]]="SecondQuartile", 2,
 IF(Table13[[#This Row],[Quartile]]="ThirdQuartile", 3,
 IF(Table13[[#This Row],[Quartile]]="FourthQuartile", 4, ""))))</f>
        <v>3</v>
      </c>
      <c r="F1266" s="5" t="s">
        <v>461</v>
      </c>
      <c r="G1266" s="5" t="str" cm="1">
        <f t="array" ref="G1266">IFERROR(
  INDEX(Table13[Quartile],
    MATCH(1,
      (Table13[[#This Row],[OrgName]]=Table13[OrgName]) *
      (Table13[[#This Row],[Month Number]]-1=Table13[Month Number]),
    0)
  ),
"")</f>
        <v>FourthQuartile</v>
      </c>
      <c r="H1266" s="5">
        <f>IF(Table13[[#This Row],[Previous Quartile]]="TopQuartile", 1,
 IF(Table13[[#This Row],[Previous Quartile]]="SecondQuartile", 2,
 IF(Table13[[#This Row],[Previous Quartile]]="ThirdQuartile", 3,
 IF(Table13[[#This Row],[Previous Quartile]]="FourthQuartile", 4, ""))))</f>
        <v>4</v>
      </c>
      <c r="I1266" s="5" t="str">
        <f>IF(Table13[[#This Row],[Previous Quartile Value]]="", "",
   IF(Table13[[#This Row],[Quartile Value]] &lt; Table13[[#This Row],[Previous Quartile Value]], "Improved",
   IF(Table13[[#This Row],[Quartile Value]] &gt; Table13[[#This Row],[Previous Quartile Value]], "Dropped", "Same")))</f>
        <v>Improved</v>
      </c>
      <c r="J1266" s="5" t="s">
        <v>12</v>
      </c>
      <c r="K1266" s="7" t="str">
        <f>VLOOKUP(J1266,Introduction!$B$6:$C$14,2)</f>
        <v>London</v>
      </c>
      <c r="L1266" s="13">
        <v>337</v>
      </c>
      <c r="M1266" s="8" t="s">
        <v>425</v>
      </c>
    </row>
    <row r="1267" spans="1:13" ht="19.95" customHeight="1" x14ac:dyDescent="0.25">
      <c r="A1267" s="40">
        <v>45352</v>
      </c>
      <c r="B1267" s="46">
        <f>MONTH(Table13[[#This Row],[YearMonth]])</f>
        <v>3</v>
      </c>
      <c r="C1267" s="5" t="s">
        <v>241</v>
      </c>
      <c r="D1267" s="6" t="s">
        <v>341</v>
      </c>
      <c r="E1267" s="6">
        <f>IF(Table13[[#This Row],[Quartile]]="TopQuartile", 1,
 IF(Table13[[#This Row],[Quartile]]="SecondQuartile", 2,
 IF(Table13[[#This Row],[Quartile]]="ThirdQuartile", 3,
 IF(Table13[[#This Row],[Quartile]]="FourthQuartile", 4, ""))))</f>
        <v>3</v>
      </c>
      <c r="F1267" s="5" t="s">
        <v>462</v>
      </c>
      <c r="G1267" s="5" t="str" cm="1">
        <f t="array" ref="G1267">IFERROR(
  INDEX(Table13[Quartile],
    MATCH(1,
      (Table13[[#This Row],[OrgName]]=Table13[OrgName]) *
      (Table13[[#This Row],[Month Number]]-1=Table13[Month Number]),
    0)
  ),
"")</f>
        <v>ThirdQuartile</v>
      </c>
      <c r="H1267" s="5">
        <f>IF(Table13[[#This Row],[Previous Quartile]]="TopQuartile", 1,
 IF(Table13[[#This Row],[Previous Quartile]]="SecondQuartile", 2,
 IF(Table13[[#This Row],[Previous Quartile]]="ThirdQuartile", 3,
 IF(Table13[[#This Row],[Previous Quartile]]="FourthQuartile", 4, ""))))</f>
        <v>3</v>
      </c>
      <c r="I1267" s="5" t="str">
        <f>IF(Table13[[#This Row],[Previous Quartile Value]]="", "",
   IF(Table13[[#This Row],[Quartile Value]] &lt; Table13[[#This Row],[Previous Quartile Value]], "Improved",
   IF(Table13[[#This Row],[Quartile Value]] &gt; Table13[[#This Row],[Previous Quartile Value]], "Dropped", "Same")))</f>
        <v>Same</v>
      </c>
      <c r="J1267" s="5" t="s">
        <v>22</v>
      </c>
      <c r="K1267" s="7" t="str">
        <f>VLOOKUP(J1267,Introduction!$B$6:$C$14,2)</f>
        <v>North West</v>
      </c>
      <c r="L1267" s="13">
        <v>287</v>
      </c>
      <c r="M1267" s="8" t="s">
        <v>425</v>
      </c>
    </row>
    <row r="1268" spans="1:13" ht="19.95" customHeight="1" x14ac:dyDescent="0.25">
      <c r="A1268" s="40">
        <v>45352</v>
      </c>
      <c r="B1268" s="46">
        <f>MONTH(Table13[[#This Row],[YearMonth]])</f>
        <v>3</v>
      </c>
      <c r="C1268" s="5" t="s">
        <v>211</v>
      </c>
      <c r="D1268" s="6" t="s">
        <v>341</v>
      </c>
      <c r="E1268" s="6">
        <f>IF(Table13[[#This Row],[Quartile]]="TopQuartile", 1,
 IF(Table13[[#This Row],[Quartile]]="SecondQuartile", 2,
 IF(Table13[[#This Row],[Quartile]]="ThirdQuartile", 3,
 IF(Table13[[#This Row],[Quartile]]="FourthQuartile", 4, ""))))</f>
        <v>3</v>
      </c>
      <c r="F1268" s="5" t="s">
        <v>457</v>
      </c>
      <c r="G1268" s="5" t="str" cm="1">
        <f t="array" ref="G1268">IFERROR(
  INDEX(Table13[Quartile],
    MATCH(1,
      (Table13[[#This Row],[OrgName]]=Table13[OrgName]) *
      (Table13[[#This Row],[Month Number]]-1=Table13[Month Number]),
    0)
  ),
"")</f>
        <v>FourthQuartile</v>
      </c>
      <c r="H1268" s="5">
        <f>IF(Table13[[#This Row],[Previous Quartile]]="TopQuartile", 1,
 IF(Table13[[#This Row],[Previous Quartile]]="SecondQuartile", 2,
 IF(Table13[[#This Row],[Previous Quartile]]="ThirdQuartile", 3,
 IF(Table13[[#This Row],[Previous Quartile]]="FourthQuartile", 4, ""))))</f>
        <v>4</v>
      </c>
      <c r="I1268" s="5" t="str">
        <f>IF(Table13[[#This Row],[Previous Quartile Value]]="", "",
   IF(Table13[[#This Row],[Quartile Value]] &lt; Table13[[#This Row],[Previous Quartile Value]], "Improved",
   IF(Table13[[#This Row],[Quartile Value]] &gt; Table13[[#This Row],[Previous Quartile Value]], "Dropped", "Same")))</f>
        <v>Improved</v>
      </c>
      <c r="J1268" s="5" t="s">
        <v>12</v>
      </c>
      <c r="K1268" s="7" t="str">
        <f>VLOOKUP(J1268,Introduction!$B$6:$C$14,2)</f>
        <v>London</v>
      </c>
      <c r="L1268" s="13">
        <v>213</v>
      </c>
      <c r="M1268" s="8" t="s">
        <v>425</v>
      </c>
    </row>
    <row r="1269" spans="1:13" ht="19.95" customHeight="1" x14ac:dyDescent="0.25">
      <c r="A1269" s="40">
        <v>45352</v>
      </c>
      <c r="B1269" s="46">
        <f>MONTH(Table13[[#This Row],[YearMonth]])</f>
        <v>3</v>
      </c>
      <c r="C1269" s="5" t="s">
        <v>251</v>
      </c>
      <c r="D1269" s="6" t="s">
        <v>341</v>
      </c>
      <c r="E1269" s="6">
        <f>IF(Table13[[#This Row],[Quartile]]="TopQuartile", 1,
 IF(Table13[[#This Row],[Quartile]]="SecondQuartile", 2,
 IF(Table13[[#This Row],[Quartile]]="ThirdQuartile", 3,
 IF(Table13[[#This Row],[Quartile]]="FourthQuartile", 4, ""))))</f>
        <v>3</v>
      </c>
      <c r="F1269" s="5" t="s">
        <v>463</v>
      </c>
      <c r="G1269" s="5" t="str" cm="1">
        <f t="array" ref="G1269">IFERROR(
  INDEX(Table13[Quartile],
    MATCH(1,
      (Table13[[#This Row],[OrgName]]=Table13[OrgName]) *
      (Table13[[#This Row],[Month Number]]-1=Table13[Month Number]),
    0)
  ),
"")</f>
        <v>ThirdQuartile</v>
      </c>
      <c r="H1269" s="5">
        <f>IF(Table13[[#This Row],[Previous Quartile]]="TopQuartile", 1,
 IF(Table13[[#This Row],[Previous Quartile]]="SecondQuartile", 2,
 IF(Table13[[#This Row],[Previous Quartile]]="ThirdQuartile", 3,
 IF(Table13[[#This Row],[Previous Quartile]]="FourthQuartile", 4, ""))))</f>
        <v>3</v>
      </c>
      <c r="I1269" s="5" t="str">
        <f>IF(Table13[[#This Row],[Previous Quartile Value]]="", "",
   IF(Table13[[#This Row],[Quartile Value]] &lt; Table13[[#This Row],[Previous Quartile Value]], "Improved",
   IF(Table13[[#This Row],[Quartile Value]] &gt; Table13[[#This Row],[Previous Quartile Value]], "Dropped", "Same")))</f>
        <v>Same</v>
      </c>
      <c r="J1269" s="5" t="s">
        <v>22</v>
      </c>
      <c r="K1269" s="7" t="str">
        <f>VLOOKUP(J1269,Introduction!$B$6:$C$14,2)</f>
        <v>North West</v>
      </c>
      <c r="L1269" s="13">
        <v>349</v>
      </c>
      <c r="M1269" s="8" t="s">
        <v>425</v>
      </c>
    </row>
    <row r="1270" spans="1:13" ht="19.95" customHeight="1" x14ac:dyDescent="0.25">
      <c r="A1270" s="40">
        <v>45352</v>
      </c>
      <c r="B1270" s="46">
        <f>MONTH(Table13[[#This Row],[YearMonth]])</f>
        <v>3</v>
      </c>
      <c r="C1270" s="5" t="s">
        <v>253</v>
      </c>
      <c r="D1270" s="6" t="s">
        <v>350</v>
      </c>
      <c r="E1270" s="6">
        <f>IF(Table13[[#This Row],[Quartile]]="TopQuartile", 1,
 IF(Table13[[#This Row],[Quartile]]="SecondQuartile", 2,
 IF(Table13[[#This Row],[Quartile]]="ThirdQuartile", 3,
 IF(Table13[[#This Row],[Quartile]]="FourthQuartile", 4, ""))))</f>
        <v>4</v>
      </c>
      <c r="F1270" s="5" t="s">
        <v>464</v>
      </c>
      <c r="G1270" s="5" t="str" cm="1">
        <f t="array" ref="G1270">IFERROR(
  INDEX(Table13[Quartile],
    MATCH(1,
      (Table13[[#This Row],[OrgName]]=Table13[OrgName]) *
      (Table13[[#This Row],[Month Number]]-1=Table13[Month Number]),
    0)
  ),
"")</f>
        <v>FourthQuartile</v>
      </c>
      <c r="H1270" s="5">
        <f>IF(Table13[[#This Row],[Previous Quartile]]="TopQuartile", 1,
 IF(Table13[[#This Row],[Previous Quartile]]="SecondQuartile", 2,
 IF(Table13[[#This Row],[Previous Quartile]]="ThirdQuartile", 3,
 IF(Table13[[#This Row],[Previous Quartile]]="FourthQuartile", 4, ""))))</f>
        <v>4</v>
      </c>
      <c r="I1270" s="5" t="str">
        <f>IF(Table13[[#This Row],[Previous Quartile Value]]="", "",
   IF(Table13[[#This Row],[Quartile Value]] &lt; Table13[[#This Row],[Previous Quartile Value]], "Improved",
   IF(Table13[[#This Row],[Quartile Value]] &gt; Table13[[#This Row],[Previous Quartile Value]], "Dropped", "Same")))</f>
        <v>Same</v>
      </c>
      <c r="J1270" s="5" t="s">
        <v>12</v>
      </c>
      <c r="K1270" s="7" t="str">
        <f>VLOOKUP(J1270,Introduction!$B$6:$C$14,2)</f>
        <v>London</v>
      </c>
      <c r="L1270" s="13">
        <v>196</v>
      </c>
      <c r="M1270" s="8" t="s">
        <v>425</v>
      </c>
    </row>
    <row r="1271" spans="1:13" ht="19.95" customHeight="1" x14ac:dyDescent="0.25">
      <c r="A1271" s="40">
        <v>45352</v>
      </c>
      <c r="B1271" s="46">
        <f>MONTH(Table13[[#This Row],[YearMonth]])</f>
        <v>3</v>
      </c>
      <c r="C1271" s="5" t="s">
        <v>160</v>
      </c>
      <c r="D1271" s="6" t="s">
        <v>350</v>
      </c>
      <c r="E1271" s="6">
        <f>IF(Table13[[#This Row],[Quartile]]="TopQuartile", 1,
 IF(Table13[[#This Row],[Quartile]]="SecondQuartile", 2,
 IF(Table13[[#This Row],[Quartile]]="ThirdQuartile", 3,
 IF(Table13[[#This Row],[Quartile]]="FourthQuartile", 4, ""))))</f>
        <v>4</v>
      </c>
      <c r="F1271" s="5" t="s">
        <v>441</v>
      </c>
      <c r="G1271" s="5" t="str" cm="1">
        <f t="array" ref="G1271">IFERROR(
  INDEX(Table13[Quartile],
    MATCH(1,
      (Table13[[#This Row],[OrgName]]=Table13[OrgName]) *
      (Table13[[#This Row],[Month Number]]-1=Table13[Month Number]),
    0)
  ),
"")</f>
        <v>FourthQuartile</v>
      </c>
      <c r="H1271" s="5">
        <f>IF(Table13[[#This Row],[Previous Quartile]]="TopQuartile", 1,
 IF(Table13[[#This Row],[Previous Quartile]]="SecondQuartile", 2,
 IF(Table13[[#This Row],[Previous Quartile]]="ThirdQuartile", 3,
 IF(Table13[[#This Row],[Previous Quartile]]="FourthQuartile", 4, ""))))</f>
        <v>4</v>
      </c>
      <c r="I1271" s="5" t="str">
        <f>IF(Table13[[#This Row],[Previous Quartile Value]]="", "",
   IF(Table13[[#This Row],[Quartile Value]] &lt; Table13[[#This Row],[Previous Quartile Value]], "Improved",
   IF(Table13[[#This Row],[Quartile Value]] &gt; Table13[[#This Row],[Previous Quartile Value]], "Dropped", "Same")))</f>
        <v>Same</v>
      </c>
      <c r="J1271" s="5" t="s">
        <v>24</v>
      </c>
      <c r="K1271" s="7" t="str">
        <f>VLOOKUP(J1271,Introduction!$B$6:$C$14,2)</f>
        <v>North East and Yorkshire</v>
      </c>
      <c r="L1271" s="13">
        <v>272</v>
      </c>
      <c r="M1271" s="8" t="s">
        <v>425</v>
      </c>
    </row>
    <row r="1272" spans="1:13" ht="19.95" customHeight="1" x14ac:dyDescent="0.25">
      <c r="A1272" s="40">
        <v>45352</v>
      </c>
      <c r="B1272" s="46">
        <f>MONTH(Table13[[#This Row],[YearMonth]])</f>
        <v>3</v>
      </c>
      <c r="C1272" s="5" t="s">
        <v>258</v>
      </c>
      <c r="D1272" s="6" t="s">
        <v>350</v>
      </c>
      <c r="E1272" s="6">
        <f>IF(Table13[[#This Row],[Quartile]]="TopQuartile", 1,
 IF(Table13[[#This Row],[Quartile]]="SecondQuartile", 2,
 IF(Table13[[#This Row],[Quartile]]="ThirdQuartile", 3,
 IF(Table13[[#This Row],[Quartile]]="FourthQuartile", 4, ""))))</f>
        <v>4</v>
      </c>
      <c r="F1272" s="5" t="s">
        <v>465</v>
      </c>
      <c r="G1272" s="5" t="str" cm="1">
        <f t="array" ref="G1272">IFERROR(
  INDEX(Table13[Quartile],
    MATCH(1,
      (Table13[[#This Row],[OrgName]]=Table13[OrgName]) *
      (Table13[[#This Row],[Month Number]]-1=Table13[Month Number]),
    0)
  ),
"")</f>
        <v>FourthQuartile</v>
      </c>
      <c r="H1272" s="5">
        <f>IF(Table13[[#This Row],[Previous Quartile]]="TopQuartile", 1,
 IF(Table13[[#This Row],[Previous Quartile]]="SecondQuartile", 2,
 IF(Table13[[#This Row],[Previous Quartile]]="ThirdQuartile", 3,
 IF(Table13[[#This Row],[Previous Quartile]]="FourthQuartile", 4, ""))))</f>
        <v>4</v>
      </c>
      <c r="I1272" s="5" t="str">
        <f>IF(Table13[[#This Row],[Previous Quartile Value]]="", "",
   IF(Table13[[#This Row],[Quartile Value]] &lt; Table13[[#This Row],[Previous Quartile Value]], "Improved",
   IF(Table13[[#This Row],[Quartile Value]] &gt; Table13[[#This Row],[Previous Quartile Value]], "Dropped", "Same")))</f>
        <v>Same</v>
      </c>
      <c r="J1272" s="5" t="s">
        <v>16</v>
      </c>
      <c r="K1272" s="7" t="str">
        <f>VLOOKUP(J1272,Introduction!$B$6:$C$14,2)</f>
        <v>South East</v>
      </c>
      <c r="L1272" s="13">
        <v>321</v>
      </c>
      <c r="M1272" s="8" t="s">
        <v>425</v>
      </c>
    </row>
    <row r="1273" spans="1:13" ht="19.95" customHeight="1" x14ac:dyDescent="0.25">
      <c r="A1273" s="40">
        <v>45352</v>
      </c>
      <c r="B1273" s="46">
        <f>MONTH(Table13[[#This Row],[YearMonth]])</f>
        <v>3</v>
      </c>
      <c r="C1273" s="5" t="s">
        <v>267</v>
      </c>
      <c r="D1273" s="6" t="s">
        <v>350</v>
      </c>
      <c r="E1273" s="6">
        <f>IF(Table13[[#This Row],[Quartile]]="TopQuartile", 1,
 IF(Table13[[#This Row],[Quartile]]="SecondQuartile", 2,
 IF(Table13[[#This Row],[Quartile]]="ThirdQuartile", 3,
 IF(Table13[[#This Row],[Quartile]]="FourthQuartile", 4, ""))))</f>
        <v>4</v>
      </c>
      <c r="F1273" s="5" t="s">
        <v>466</v>
      </c>
      <c r="G1273" s="5" t="str" cm="1">
        <f t="array" ref="G1273">IFERROR(
  INDEX(Table13[Quartile],
    MATCH(1,
      (Table13[[#This Row],[OrgName]]=Table13[OrgName]) *
      (Table13[[#This Row],[Month Number]]-1=Table13[Month Number]),
    0)
  ),
"")</f>
        <v>FourthQuartile</v>
      </c>
      <c r="H1273" s="5">
        <f>IF(Table13[[#This Row],[Previous Quartile]]="TopQuartile", 1,
 IF(Table13[[#This Row],[Previous Quartile]]="SecondQuartile", 2,
 IF(Table13[[#This Row],[Previous Quartile]]="ThirdQuartile", 3,
 IF(Table13[[#This Row],[Previous Quartile]]="FourthQuartile", 4, ""))))</f>
        <v>4</v>
      </c>
      <c r="I1273" s="5" t="str">
        <f>IF(Table13[[#This Row],[Previous Quartile Value]]="", "",
   IF(Table13[[#This Row],[Quartile Value]] &lt; Table13[[#This Row],[Previous Quartile Value]], "Improved",
   IF(Table13[[#This Row],[Quartile Value]] &gt; Table13[[#This Row],[Previous Quartile Value]], "Dropped", "Same")))</f>
        <v>Same</v>
      </c>
      <c r="J1273" s="5" t="s">
        <v>18</v>
      </c>
      <c r="K1273" s="7" t="str">
        <f>VLOOKUP(J1273,Introduction!$B$6:$C$14,2)</f>
        <v>Midlands</v>
      </c>
      <c r="L1273" s="13">
        <v>304</v>
      </c>
      <c r="M1273" s="8" t="s">
        <v>425</v>
      </c>
    </row>
    <row r="1274" spans="1:13" ht="19.95" customHeight="1" x14ac:dyDescent="0.25">
      <c r="A1274" s="40">
        <v>45352</v>
      </c>
      <c r="B1274" s="46">
        <f>MONTH(Table13[[#This Row],[YearMonth]])</f>
        <v>3</v>
      </c>
      <c r="C1274" s="5" t="s">
        <v>269</v>
      </c>
      <c r="D1274" s="6" t="s">
        <v>350</v>
      </c>
      <c r="E1274" s="6">
        <f>IF(Table13[[#This Row],[Quartile]]="TopQuartile", 1,
 IF(Table13[[#This Row],[Quartile]]="SecondQuartile", 2,
 IF(Table13[[#This Row],[Quartile]]="ThirdQuartile", 3,
 IF(Table13[[#This Row],[Quartile]]="FourthQuartile", 4, ""))))</f>
        <v>4</v>
      </c>
      <c r="F1274" s="5" t="s">
        <v>467</v>
      </c>
      <c r="G1274" s="5" t="str" cm="1">
        <f t="array" ref="G1274">IFERROR(
  INDEX(Table13[Quartile],
    MATCH(1,
      (Table13[[#This Row],[OrgName]]=Table13[OrgName]) *
      (Table13[[#This Row],[Month Number]]-1=Table13[Month Number]),
    0)
  ),
"")</f>
        <v>FourthQuartile</v>
      </c>
      <c r="H1274" s="5">
        <f>IF(Table13[[#This Row],[Previous Quartile]]="TopQuartile", 1,
 IF(Table13[[#This Row],[Previous Quartile]]="SecondQuartile", 2,
 IF(Table13[[#This Row],[Previous Quartile]]="ThirdQuartile", 3,
 IF(Table13[[#This Row],[Previous Quartile]]="FourthQuartile", 4, ""))))</f>
        <v>4</v>
      </c>
      <c r="I1274" s="5" t="str">
        <f>IF(Table13[[#This Row],[Previous Quartile Value]]="", "",
   IF(Table13[[#This Row],[Quartile Value]] &lt; Table13[[#This Row],[Previous Quartile Value]], "Improved",
   IF(Table13[[#This Row],[Quartile Value]] &gt; Table13[[#This Row],[Previous Quartile Value]], "Dropped", "Same")))</f>
        <v>Same</v>
      </c>
      <c r="J1274" s="5" t="s">
        <v>14</v>
      </c>
      <c r="K1274" s="7" t="str">
        <f>VLOOKUP(J1274,Introduction!$B$6:$C$14,2)</f>
        <v>South West</v>
      </c>
      <c r="L1274" s="13">
        <v>387</v>
      </c>
      <c r="M1274" s="8" t="s">
        <v>425</v>
      </c>
    </row>
    <row r="1275" spans="1:13" ht="19.95" customHeight="1" x14ac:dyDescent="0.25">
      <c r="A1275" s="40">
        <v>45352</v>
      </c>
      <c r="B1275" s="46">
        <f>MONTH(Table13[[#This Row],[YearMonth]])</f>
        <v>3</v>
      </c>
      <c r="C1275" s="5" t="s">
        <v>281</v>
      </c>
      <c r="D1275" s="6" t="s">
        <v>350</v>
      </c>
      <c r="E1275" s="6">
        <f>IF(Table13[[#This Row],[Quartile]]="TopQuartile", 1,
 IF(Table13[[#This Row],[Quartile]]="SecondQuartile", 2,
 IF(Table13[[#This Row],[Quartile]]="ThirdQuartile", 3,
 IF(Table13[[#This Row],[Quartile]]="FourthQuartile", 4, ""))))</f>
        <v>4</v>
      </c>
      <c r="F1275" s="5" t="s">
        <v>469</v>
      </c>
      <c r="G1275" s="5" t="str" cm="1">
        <f t="array" ref="G1275">IFERROR(
  INDEX(Table13[Quartile],
    MATCH(1,
      (Table13[[#This Row],[OrgName]]=Table13[OrgName]) *
      (Table13[[#This Row],[Month Number]]-1=Table13[Month Number]),
    0)
  ),
"")</f>
        <v>FourthQuartile</v>
      </c>
      <c r="H1275" s="5">
        <f>IF(Table13[[#This Row],[Previous Quartile]]="TopQuartile", 1,
 IF(Table13[[#This Row],[Previous Quartile]]="SecondQuartile", 2,
 IF(Table13[[#This Row],[Previous Quartile]]="ThirdQuartile", 3,
 IF(Table13[[#This Row],[Previous Quartile]]="FourthQuartile", 4, ""))))</f>
        <v>4</v>
      </c>
      <c r="I1275" s="5" t="str">
        <f>IF(Table13[[#This Row],[Previous Quartile Value]]="", "",
   IF(Table13[[#This Row],[Quartile Value]] &lt; Table13[[#This Row],[Previous Quartile Value]], "Improved",
   IF(Table13[[#This Row],[Quartile Value]] &gt; Table13[[#This Row],[Previous Quartile Value]], "Dropped", "Same")))</f>
        <v>Same</v>
      </c>
      <c r="J1275" s="5" t="s">
        <v>18</v>
      </c>
      <c r="K1275" s="7" t="str">
        <f>VLOOKUP(J1275,Introduction!$B$6:$C$14,2)</f>
        <v>Midlands</v>
      </c>
      <c r="L1275" s="13">
        <v>205</v>
      </c>
      <c r="M1275" s="8" t="s">
        <v>425</v>
      </c>
    </row>
    <row r="1276" spans="1:13" ht="19.95" customHeight="1" x14ac:dyDescent="0.25">
      <c r="A1276" s="40">
        <v>45352</v>
      </c>
      <c r="B1276" s="46">
        <f>MONTH(Table13[[#This Row],[YearMonth]])</f>
        <v>3</v>
      </c>
      <c r="C1276" s="5" t="s">
        <v>277</v>
      </c>
      <c r="D1276" s="6" t="s">
        <v>350</v>
      </c>
      <c r="E1276" s="6">
        <f>IF(Table13[[#This Row],[Quartile]]="TopQuartile", 1,
 IF(Table13[[#This Row],[Quartile]]="SecondQuartile", 2,
 IF(Table13[[#This Row],[Quartile]]="ThirdQuartile", 3,
 IF(Table13[[#This Row],[Quartile]]="FourthQuartile", 4, ""))))</f>
        <v>4</v>
      </c>
      <c r="F1276" s="5" t="s">
        <v>468</v>
      </c>
      <c r="G1276" s="5" t="str" cm="1">
        <f t="array" ref="G1276">IFERROR(
  INDEX(Table13[Quartile],
    MATCH(1,
      (Table13[[#This Row],[OrgName]]=Table13[OrgName]) *
      (Table13[[#This Row],[Month Number]]-1=Table13[Month Number]),
    0)
  ),
"")</f>
        <v>FourthQuartile</v>
      </c>
      <c r="H1276" s="5">
        <f>IF(Table13[[#This Row],[Previous Quartile]]="TopQuartile", 1,
 IF(Table13[[#This Row],[Previous Quartile]]="SecondQuartile", 2,
 IF(Table13[[#This Row],[Previous Quartile]]="ThirdQuartile", 3,
 IF(Table13[[#This Row],[Previous Quartile]]="FourthQuartile", 4, ""))))</f>
        <v>4</v>
      </c>
      <c r="I1276" s="5" t="str">
        <f>IF(Table13[[#This Row],[Previous Quartile Value]]="", "",
   IF(Table13[[#This Row],[Quartile Value]] &lt; Table13[[#This Row],[Previous Quartile Value]], "Improved",
   IF(Table13[[#This Row],[Quartile Value]] &gt; Table13[[#This Row],[Previous Quartile Value]], "Dropped", "Same")))</f>
        <v>Same</v>
      </c>
      <c r="J1276" s="5" t="s">
        <v>24</v>
      </c>
      <c r="K1276" s="7" t="str">
        <f>VLOOKUP(J1276,Introduction!$B$6:$C$14,2)</f>
        <v>North East and Yorkshire</v>
      </c>
      <c r="L1276" s="13">
        <v>419</v>
      </c>
      <c r="M1276" s="8" t="s">
        <v>425</v>
      </c>
    </row>
    <row r="1277" spans="1:13" ht="19.95" customHeight="1" x14ac:dyDescent="0.25">
      <c r="A1277" s="40">
        <v>45352</v>
      </c>
      <c r="B1277" s="46">
        <f>MONTH(Table13[[#This Row],[YearMonth]])</f>
        <v>3</v>
      </c>
      <c r="C1277" s="5" t="s">
        <v>282</v>
      </c>
      <c r="D1277" s="6" t="s">
        <v>350</v>
      </c>
      <c r="E1277" s="6">
        <f>IF(Table13[[#This Row],[Quartile]]="TopQuartile", 1,
 IF(Table13[[#This Row],[Quartile]]="SecondQuartile", 2,
 IF(Table13[[#This Row],[Quartile]]="ThirdQuartile", 3,
 IF(Table13[[#This Row],[Quartile]]="FourthQuartile", 4, ""))))</f>
        <v>4</v>
      </c>
      <c r="F1277" s="5" t="s">
        <v>470</v>
      </c>
      <c r="G1277" s="5" t="str" cm="1">
        <f t="array" ref="G1277">IFERROR(
  INDEX(Table13[Quartile],
    MATCH(1,
      (Table13[[#This Row],[OrgName]]=Table13[OrgName]) *
      (Table13[[#This Row],[Month Number]]-1=Table13[Month Number]),
    0)
  ),
"")</f>
        <v>FourthQuartile</v>
      </c>
      <c r="H1277" s="5">
        <f>IF(Table13[[#This Row],[Previous Quartile]]="TopQuartile", 1,
 IF(Table13[[#This Row],[Previous Quartile]]="SecondQuartile", 2,
 IF(Table13[[#This Row],[Previous Quartile]]="ThirdQuartile", 3,
 IF(Table13[[#This Row],[Previous Quartile]]="FourthQuartile", 4, ""))))</f>
        <v>4</v>
      </c>
      <c r="I1277" s="5" t="str">
        <f>IF(Table13[[#This Row],[Previous Quartile Value]]="", "",
   IF(Table13[[#This Row],[Quartile Value]] &lt; Table13[[#This Row],[Previous Quartile Value]], "Improved",
   IF(Table13[[#This Row],[Quartile Value]] &gt; Table13[[#This Row],[Previous Quartile Value]], "Dropped", "Same")))</f>
        <v>Same</v>
      </c>
      <c r="J1277" s="5" t="s">
        <v>12</v>
      </c>
      <c r="K1277" s="7" t="str">
        <f>VLOOKUP(J1277,Introduction!$B$6:$C$14,2)</f>
        <v>London</v>
      </c>
      <c r="L1277" s="13">
        <v>290</v>
      </c>
      <c r="M1277" s="8" t="s">
        <v>425</v>
      </c>
    </row>
    <row r="1278" spans="1:13" ht="19.95" customHeight="1" x14ac:dyDescent="0.25">
      <c r="A1278" s="40">
        <v>45352</v>
      </c>
      <c r="B1278" s="46">
        <f>MONTH(Table13[[#This Row],[YearMonth]])</f>
        <v>3</v>
      </c>
      <c r="C1278" s="5" t="s">
        <v>287</v>
      </c>
      <c r="D1278" s="6" t="s">
        <v>350</v>
      </c>
      <c r="E1278" s="6">
        <f>IF(Table13[[#This Row],[Quartile]]="TopQuartile", 1,
 IF(Table13[[#This Row],[Quartile]]="SecondQuartile", 2,
 IF(Table13[[#This Row],[Quartile]]="ThirdQuartile", 3,
 IF(Table13[[#This Row],[Quartile]]="FourthQuartile", 4, ""))))</f>
        <v>4</v>
      </c>
      <c r="F1278" s="5" t="s">
        <v>471</v>
      </c>
      <c r="G1278" s="5" t="str" cm="1">
        <f t="array" ref="G1278">IFERROR(
  INDEX(Table13[Quartile],
    MATCH(1,
      (Table13[[#This Row],[OrgName]]=Table13[OrgName]) *
      (Table13[[#This Row],[Month Number]]-1=Table13[Month Number]),
    0)
  ),
"")</f>
        <v>FourthQuartile</v>
      </c>
      <c r="H1278" s="5">
        <f>IF(Table13[[#This Row],[Previous Quartile]]="TopQuartile", 1,
 IF(Table13[[#This Row],[Previous Quartile]]="SecondQuartile", 2,
 IF(Table13[[#This Row],[Previous Quartile]]="ThirdQuartile", 3,
 IF(Table13[[#This Row],[Previous Quartile]]="FourthQuartile", 4, ""))))</f>
        <v>4</v>
      </c>
      <c r="I1278" s="5" t="str">
        <f>IF(Table13[[#This Row],[Previous Quartile Value]]="", "",
   IF(Table13[[#This Row],[Quartile Value]] &lt; Table13[[#This Row],[Previous Quartile Value]], "Improved",
   IF(Table13[[#This Row],[Quartile Value]] &gt; Table13[[#This Row],[Previous Quartile Value]], "Dropped", "Same")))</f>
        <v>Same</v>
      </c>
      <c r="J1278" s="5" t="s">
        <v>12</v>
      </c>
      <c r="K1278" s="7" t="str">
        <f>VLOOKUP(J1278,Introduction!$B$6:$C$14,2)</f>
        <v>London</v>
      </c>
      <c r="L1278" s="13">
        <v>289</v>
      </c>
      <c r="M1278" s="8" t="s">
        <v>425</v>
      </c>
    </row>
    <row r="1279" spans="1:13" ht="19.95" customHeight="1" x14ac:dyDescent="0.25">
      <c r="A1279" s="40">
        <v>45352</v>
      </c>
      <c r="B1279" s="46">
        <f>MONTH(Table13[[#This Row],[YearMonth]])</f>
        <v>3</v>
      </c>
      <c r="C1279" s="5" t="s">
        <v>301</v>
      </c>
      <c r="D1279" s="6" t="s">
        <v>350</v>
      </c>
      <c r="E1279" s="6">
        <f>IF(Table13[[#This Row],[Quartile]]="TopQuartile", 1,
 IF(Table13[[#This Row],[Quartile]]="SecondQuartile", 2,
 IF(Table13[[#This Row],[Quartile]]="ThirdQuartile", 3,
 IF(Table13[[#This Row],[Quartile]]="FourthQuartile", 4, ""))))</f>
        <v>4</v>
      </c>
      <c r="F1279" s="5" t="s">
        <v>472</v>
      </c>
      <c r="G1279" s="5" t="str" cm="1">
        <f t="array" ref="G1279">IFERROR(
  INDEX(Table13[Quartile],
    MATCH(1,
      (Table13[[#This Row],[OrgName]]=Table13[OrgName]) *
      (Table13[[#This Row],[Month Number]]-1=Table13[Month Number]),
    0)
  ),
"")</f>
        <v>FourthQuartile</v>
      </c>
      <c r="H1279" s="5">
        <f>IF(Table13[[#This Row],[Previous Quartile]]="TopQuartile", 1,
 IF(Table13[[#This Row],[Previous Quartile]]="SecondQuartile", 2,
 IF(Table13[[#This Row],[Previous Quartile]]="ThirdQuartile", 3,
 IF(Table13[[#This Row],[Previous Quartile]]="FourthQuartile", 4, ""))))</f>
        <v>4</v>
      </c>
      <c r="I1279" s="5" t="str">
        <f>IF(Table13[[#This Row],[Previous Quartile Value]]="", "",
   IF(Table13[[#This Row],[Quartile Value]] &lt; Table13[[#This Row],[Previous Quartile Value]], "Improved",
   IF(Table13[[#This Row],[Quartile Value]] &gt; Table13[[#This Row],[Previous Quartile Value]], "Dropped", "Same")))</f>
        <v>Same</v>
      </c>
      <c r="J1279" s="5" t="s">
        <v>14</v>
      </c>
      <c r="K1279" s="7" t="str">
        <f>VLOOKUP(J1279,Introduction!$B$6:$C$14,2)</f>
        <v>South West</v>
      </c>
      <c r="L1279" s="13">
        <v>153</v>
      </c>
      <c r="M1279" s="8" t="s">
        <v>425</v>
      </c>
    </row>
    <row r="1280" spans="1:13" ht="19.95" customHeight="1" x14ac:dyDescent="0.25">
      <c r="A1280" s="40">
        <v>45352</v>
      </c>
      <c r="B1280" s="46">
        <f>MONTH(Table13[[#This Row],[YearMonth]])</f>
        <v>3</v>
      </c>
      <c r="C1280" s="5" t="s">
        <v>307</v>
      </c>
      <c r="D1280" s="6" t="s">
        <v>350</v>
      </c>
      <c r="E1280" s="6">
        <f>IF(Table13[[#This Row],[Quartile]]="TopQuartile", 1,
 IF(Table13[[#This Row],[Quartile]]="SecondQuartile", 2,
 IF(Table13[[#This Row],[Quartile]]="ThirdQuartile", 3,
 IF(Table13[[#This Row],[Quartile]]="FourthQuartile", 4, ""))))</f>
        <v>4</v>
      </c>
      <c r="F1280" s="5" t="s">
        <v>473</v>
      </c>
      <c r="G1280" s="5" t="str" cm="1">
        <f t="array" ref="G1280">IFERROR(
  INDEX(Table13[Quartile],
    MATCH(1,
      (Table13[[#This Row],[OrgName]]=Table13[OrgName]) *
      (Table13[[#This Row],[Month Number]]-1=Table13[Month Number]),
    0)
  ),
"")</f>
        <v>FourthQuartile</v>
      </c>
      <c r="H1280" s="5">
        <f>IF(Table13[[#This Row],[Previous Quartile]]="TopQuartile", 1,
 IF(Table13[[#This Row],[Previous Quartile]]="SecondQuartile", 2,
 IF(Table13[[#This Row],[Previous Quartile]]="ThirdQuartile", 3,
 IF(Table13[[#This Row],[Previous Quartile]]="FourthQuartile", 4, ""))))</f>
        <v>4</v>
      </c>
      <c r="I1280" s="5" t="str">
        <f>IF(Table13[[#This Row],[Previous Quartile Value]]="", "",
   IF(Table13[[#This Row],[Quartile Value]] &lt; Table13[[#This Row],[Previous Quartile Value]], "Improved",
   IF(Table13[[#This Row],[Quartile Value]] &gt; Table13[[#This Row],[Previous Quartile Value]], "Dropped", "Same")))</f>
        <v>Same</v>
      </c>
      <c r="J1280" s="5" t="s">
        <v>18</v>
      </c>
      <c r="K1280" s="7" t="str">
        <f>VLOOKUP(J1280,Introduction!$B$6:$C$14,2)</f>
        <v>Midlands</v>
      </c>
      <c r="L1280" s="13">
        <v>164</v>
      </c>
      <c r="M1280" s="8" t="s">
        <v>425</v>
      </c>
    </row>
    <row r="1281" spans="1:13" ht="19.95" customHeight="1" x14ac:dyDescent="0.25">
      <c r="A1281" s="40">
        <v>45352</v>
      </c>
      <c r="B1281" s="46">
        <f>MONTH(Table13[[#This Row],[YearMonth]])</f>
        <v>3</v>
      </c>
      <c r="C1281" s="5" t="s">
        <v>309</v>
      </c>
      <c r="D1281" s="6" t="s">
        <v>350</v>
      </c>
      <c r="E1281" s="6">
        <f>IF(Table13[[#This Row],[Quartile]]="TopQuartile", 1,
 IF(Table13[[#This Row],[Quartile]]="SecondQuartile", 2,
 IF(Table13[[#This Row],[Quartile]]="ThirdQuartile", 3,
 IF(Table13[[#This Row],[Quartile]]="FourthQuartile", 4, ""))))</f>
        <v>4</v>
      </c>
      <c r="F1281" s="5" t="s">
        <v>474</v>
      </c>
      <c r="G1281" s="5" t="str" cm="1">
        <f t="array" ref="G1281">IFERROR(
  INDEX(Table13[Quartile],
    MATCH(1,
      (Table13[[#This Row],[OrgName]]=Table13[OrgName]) *
      (Table13[[#This Row],[Month Number]]-1=Table13[Month Number]),
    0)
  ),
"")</f>
        <v>FourthQuartile</v>
      </c>
      <c r="H1281" s="5">
        <f>IF(Table13[[#This Row],[Previous Quartile]]="TopQuartile", 1,
 IF(Table13[[#This Row],[Previous Quartile]]="SecondQuartile", 2,
 IF(Table13[[#This Row],[Previous Quartile]]="ThirdQuartile", 3,
 IF(Table13[[#This Row],[Previous Quartile]]="FourthQuartile", 4, ""))))</f>
        <v>4</v>
      </c>
      <c r="I1281" s="5" t="str">
        <f>IF(Table13[[#This Row],[Previous Quartile Value]]="", "",
   IF(Table13[[#This Row],[Quartile Value]] &lt; Table13[[#This Row],[Previous Quartile Value]], "Improved",
   IF(Table13[[#This Row],[Quartile Value]] &gt; Table13[[#This Row],[Previous Quartile Value]], "Dropped", "Same")))</f>
        <v>Same</v>
      </c>
      <c r="J1281" s="5" t="s">
        <v>20</v>
      </c>
      <c r="K1281" s="7" t="str">
        <f>VLOOKUP(J1281,Introduction!$B$6:$C$14,2)</f>
        <v>East of England</v>
      </c>
      <c r="L1281" s="13">
        <v>234</v>
      </c>
      <c r="M1281" s="8" t="s">
        <v>425</v>
      </c>
    </row>
    <row r="1282" spans="1:13" ht="19.95" customHeight="1" x14ac:dyDescent="0.25">
      <c r="A1282" s="40">
        <v>45352</v>
      </c>
      <c r="B1282" s="46">
        <f>MONTH(Table13[[#This Row],[YearMonth]])</f>
        <v>3</v>
      </c>
      <c r="C1282" s="5" t="s">
        <v>183</v>
      </c>
      <c r="D1282" s="6" t="s">
        <v>338</v>
      </c>
      <c r="E1282" s="6">
        <f>IF(Table13[[#This Row],[Quartile]]="TopQuartile", 1,
 IF(Table13[[#This Row],[Quartile]]="SecondQuartile", 2,
 IF(Table13[[#This Row],[Quartile]]="ThirdQuartile", 3,
 IF(Table13[[#This Row],[Quartile]]="FourthQuartile", 4, ""))))</f>
        <v>2</v>
      </c>
      <c r="F1282" s="5" t="s">
        <v>477</v>
      </c>
      <c r="G1282" s="5" t="str" cm="1">
        <f t="array" ref="G1282">IFERROR(
  INDEX(Table13[Quartile],
    MATCH(1,
      (Table13[[#This Row],[OrgName]]=Table13[OrgName]) *
      (Table13[[#This Row],[Month Number]]-1=Table13[Month Number]),
    0)
  ),
"")</f>
        <v>SecondQuartile</v>
      </c>
      <c r="H1282" s="5">
        <f>IF(Table13[[#This Row],[Previous Quartile]]="TopQuartile", 1,
 IF(Table13[[#This Row],[Previous Quartile]]="SecondQuartile", 2,
 IF(Table13[[#This Row],[Previous Quartile]]="ThirdQuartile", 3,
 IF(Table13[[#This Row],[Previous Quartile]]="FourthQuartile", 4, ""))))</f>
        <v>2</v>
      </c>
      <c r="I1282" s="5" t="str">
        <f>IF(Table13[[#This Row],[Previous Quartile Value]]="", "",
   IF(Table13[[#This Row],[Quartile Value]] &lt; Table13[[#This Row],[Previous Quartile Value]], "Improved",
   IF(Table13[[#This Row],[Quartile Value]] &gt; Table13[[#This Row],[Previous Quartile Value]], "Dropped", "Same")))</f>
        <v>Same</v>
      </c>
      <c r="J1282" s="5" t="s">
        <v>18</v>
      </c>
      <c r="K1282" s="7" t="str">
        <f>VLOOKUP(J1282,Introduction!$B$6:$C$14,2)</f>
        <v>Midlands</v>
      </c>
      <c r="L1282" s="13">
        <v>217</v>
      </c>
      <c r="M1282" s="8" t="s">
        <v>476</v>
      </c>
    </row>
    <row r="1283" spans="1:13" ht="19.95" customHeight="1" x14ac:dyDescent="0.25">
      <c r="A1283" s="40">
        <v>45352</v>
      </c>
      <c r="B1283" s="46">
        <f>MONTH(Table13[[#This Row],[YearMonth]])</f>
        <v>3</v>
      </c>
      <c r="C1283" s="5" t="s">
        <v>180</v>
      </c>
      <c r="D1283" s="6" t="s">
        <v>341</v>
      </c>
      <c r="E1283" s="6">
        <f>IF(Table13[[#This Row],[Quartile]]="TopQuartile", 1,
 IF(Table13[[#This Row],[Quartile]]="SecondQuartile", 2,
 IF(Table13[[#This Row],[Quartile]]="ThirdQuartile", 3,
 IF(Table13[[#This Row],[Quartile]]="FourthQuartile", 4, ""))))</f>
        <v>3</v>
      </c>
      <c r="F1283" s="5" t="s">
        <v>475</v>
      </c>
      <c r="G1283" s="5" t="str" cm="1">
        <f t="array" ref="G1283">IFERROR(
  INDEX(Table13[Quartile],
    MATCH(1,
      (Table13[[#This Row],[OrgName]]=Table13[OrgName]) *
      (Table13[[#This Row],[Month Number]]-1=Table13[Month Number]),
    0)
  ),
"")</f>
        <v>ThirdQuartile</v>
      </c>
      <c r="H1283" s="5">
        <f>IF(Table13[[#This Row],[Previous Quartile]]="TopQuartile", 1,
 IF(Table13[[#This Row],[Previous Quartile]]="SecondQuartile", 2,
 IF(Table13[[#This Row],[Previous Quartile]]="ThirdQuartile", 3,
 IF(Table13[[#This Row],[Previous Quartile]]="FourthQuartile", 4, ""))))</f>
        <v>3</v>
      </c>
      <c r="I1283" s="5" t="str">
        <f>IF(Table13[[#This Row],[Previous Quartile Value]]="", "",
   IF(Table13[[#This Row],[Quartile Value]] &lt; Table13[[#This Row],[Previous Quartile Value]], "Improved",
   IF(Table13[[#This Row],[Quartile Value]] &gt; Table13[[#This Row],[Previous Quartile Value]], "Dropped", "Same")))</f>
        <v>Same</v>
      </c>
      <c r="J1283" s="5" t="s">
        <v>16</v>
      </c>
      <c r="K1283" s="7" t="str">
        <f>VLOOKUP(J1283,Introduction!$B$6:$C$14,2)</f>
        <v>South East</v>
      </c>
      <c r="L1283" s="13">
        <v>278</v>
      </c>
      <c r="M1283" s="8" t="s">
        <v>476</v>
      </c>
    </row>
    <row r="1284" spans="1:13" ht="19.95" customHeight="1" x14ac:dyDescent="0.25">
      <c r="A1284" s="40">
        <v>45352</v>
      </c>
      <c r="B1284" s="46">
        <f>MONTH(Table13[[#This Row],[YearMonth]])</f>
        <v>3</v>
      </c>
      <c r="C1284" s="5" t="s">
        <v>201</v>
      </c>
      <c r="D1284" s="6" t="s">
        <v>341</v>
      </c>
      <c r="E1284" s="6">
        <f>IF(Table13[[#This Row],[Quartile]]="TopQuartile", 1,
 IF(Table13[[#This Row],[Quartile]]="SecondQuartile", 2,
 IF(Table13[[#This Row],[Quartile]]="ThirdQuartile", 3,
 IF(Table13[[#This Row],[Quartile]]="FourthQuartile", 4, ""))))</f>
        <v>3</v>
      </c>
      <c r="F1284" s="5" t="s">
        <v>478</v>
      </c>
      <c r="G1284" s="5" t="str" cm="1">
        <f t="array" ref="G1284">IFERROR(
  INDEX(Table13[Quartile],
    MATCH(1,
      (Table13[[#This Row],[OrgName]]=Table13[OrgName]) *
      (Table13[[#This Row],[Month Number]]-1=Table13[Month Number]),
    0)
  ),
"")</f>
        <v>ThirdQuartile</v>
      </c>
      <c r="H1284" s="5">
        <f>IF(Table13[[#This Row],[Previous Quartile]]="TopQuartile", 1,
 IF(Table13[[#This Row],[Previous Quartile]]="SecondQuartile", 2,
 IF(Table13[[#This Row],[Previous Quartile]]="ThirdQuartile", 3,
 IF(Table13[[#This Row],[Previous Quartile]]="FourthQuartile", 4, ""))))</f>
        <v>3</v>
      </c>
      <c r="I1284" s="5" t="str">
        <f>IF(Table13[[#This Row],[Previous Quartile Value]]="", "",
   IF(Table13[[#This Row],[Quartile Value]] &lt; Table13[[#This Row],[Previous Quartile Value]], "Improved",
   IF(Table13[[#This Row],[Quartile Value]] &gt; Table13[[#This Row],[Previous Quartile Value]], "Dropped", "Same")))</f>
        <v>Same</v>
      </c>
      <c r="J1284" s="5" t="s">
        <v>16</v>
      </c>
      <c r="K1284" s="7" t="str">
        <f>VLOOKUP(J1284,Introduction!$B$6:$C$14,2)</f>
        <v>South East</v>
      </c>
      <c r="L1284" s="13">
        <v>195</v>
      </c>
      <c r="M1284" s="8" t="s">
        <v>476</v>
      </c>
    </row>
    <row r="1285" spans="1:13" ht="19.95" customHeight="1" x14ac:dyDescent="0.25">
      <c r="A1285" s="40">
        <v>45352</v>
      </c>
      <c r="B1285" s="46">
        <f>MONTH(Table13[[#This Row],[YearMonth]])</f>
        <v>3</v>
      </c>
      <c r="C1285" s="5" t="s">
        <v>263</v>
      </c>
      <c r="D1285" s="6" t="s">
        <v>350</v>
      </c>
      <c r="E1285" s="6">
        <f>IF(Table13[[#This Row],[Quartile]]="TopQuartile", 1,
 IF(Table13[[#This Row],[Quartile]]="SecondQuartile", 2,
 IF(Table13[[#This Row],[Quartile]]="ThirdQuartile", 3,
 IF(Table13[[#This Row],[Quartile]]="FourthQuartile", 4, ""))))</f>
        <v>4</v>
      </c>
      <c r="F1285" s="5" t="s">
        <v>479</v>
      </c>
      <c r="G1285" s="5" t="str" cm="1">
        <f t="array" ref="G1285">IFERROR(
  INDEX(Table13[Quartile],
    MATCH(1,
      (Table13[[#This Row],[OrgName]]=Table13[OrgName]) *
      (Table13[[#This Row],[Month Number]]-1=Table13[Month Number]),
    0)
  ),
"")</f>
        <v>ThirdQuartile</v>
      </c>
      <c r="H1285" s="5">
        <f>IF(Table13[[#This Row],[Previous Quartile]]="TopQuartile", 1,
 IF(Table13[[#This Row],[Previous Quartile]]="SecondQuartile", 2,
 IF(Table13[[#This Row],[Previous Quartile]]="ThirdQuartile", 3,
 IF(Table13[[#This Row],[Previous Quartile]]="FourthQuartile", 4, ""))))</f>
        <v>3</v>
      </c>
      <c r="I1285" s="5" t="str">
        <f>IF(Table13[[#This Row],[Previous Quartile Value]]="", "",
   IF(Table13[[#This Row],[Quartile Value]] &lt; Table13[[#This Row],[Previous Quartile Value]], "Improved",
   IF(Table13[[#This Row],[Quartile Value]] &gt; Table13[[#This Row],[Previous Quartile Value]], "Dropped", "Same")))</f>
        <v>Dropped</v>
      </c>
      <c r="J1285" s="5" t="s">
        <v>24</v>
      </c>
      <c r="K1285" s="7" t="str">
        <f>VLOOKUP(J1285,Introduction!$B$6:$C$14,2)</f>
        <v>North East and Yorkshire</v>
      </c>
      <c r="L1285" s="13">
        <v>340</v>
      </c>
      <c r="M1285" s="8" t="s">
        <v>476</v>
      </c>
    </row>
    <row r="1286" spans="1:13" ht="19.95" customHeight="1" x14ac:dyDescent="0.25">
      <c r="A1286" s="40">
        <v>45352</v>
      </c>
      <c r="B1286" s="46">
        <f>MONTH(Table13[[#This Row],[YearMonth]])</f>
        <v>3</v>
      </c>
      <c r="C1286" s="5" t="s">
        <v>274</v>
      </c>
      <c r="D1286" s="6" t="s">
        <v>350</v>
      </c>
      <c r="E1286" s="6">
        <f>IF(Table13[[#This Row],[Quartile]]="TopQuartile", 1,
 IF(Table13[[#This Row],[Quartile]]="SecondQuartile", 2,
 IF(Table13[[#This Row],[Quartile]]="ThirdQuartile", 3,
 IF(Table13[[#This Row],[Quartile]]="FourthQuartile", 4, ""))))</f>
        <v>4</v>
      </c>
      <c r="F1286" s="5" t="s">
        <v>480</v>
      </c>
      <c r="G1286" s="5" t="str" cm="1">
        <f t="array" ref="G1286">IFERROR(
  INDEX(Table13[Quartile],
    MATCH(1,
      (Table13[[#This Row],[OrgName]]=Table13[OrgName]) *
      (Table13[[#This Row],[Month Number]]-1=Table13[Month Number]),
    0)
  ),
"")</f>
        <v>FourthQuartile</v>
      </c>
      <c r="H1286" s="5">
        <f>IF(Table13[[#This Row],[Previous Quartile]]="TopQuartile", 1,
 IF(Table13[[#This Row],[Previous Quartile]]="SecondQuartile", 2,
 IF(Table13[[#This Row],[Previous Quartile]]="ThirdQuartile", 3,
 IF(Table13[[#This Row],[Previous Quartile]]="FourthQuartile", 4, ""))))</f>
        <v>4</v>
      </c>
      <c r="I1286" s="5" t="str">
        <f>IF(Table13[[#This Row],[Previous Quartile Value]]="", "",
   IF(Table13[[#This Row],[Quartile Value]] &lt; Table13[[#This Row],[Previous Quartile Value]], "Improved",
   IF(Table13[[#This Row],[Quartile Value]] &gt; Table13[[#This Row],[Previous Quartile Value]], "Dropped", "Same")))</f>
        <v>Same</v>
      </c>
      <c r="J1286" s="5" t="s">
        <v>24</v>
      </c>
      <c r="K1286" s="7" t="str">
        <f>VLOOKUP(J1286,Introduction!$B$6:$C$14,2)</f>
        <v>North East and Yorkshire</v>
      </c>
      <c r="L1286" s="13">
        <v>174</v>
      </c>
      <c r="M1286" s="8" t="s">
        <v>476</v>
      </c>
    </row>
    <row r="1287" spans="1:13" ht="19.95" customHeight="1" x14ac:dyDescent="0.25">
      <c r="A1287" s="40">
        <v>45352</v>
      </c>
      <c r="B1287" s="46">
        <f>MONTH(Table13[[#This Row],[YearMonth]])</f>
        <v>3</v>
      </c>
      <c r="C1287" s="5" t="s">
        <v>278</v>
      </c>
      <c r="D1287" s="6" t="s">
        <v>350</v>
      </c>
      <c r="E1287" s="6">
        <f>IF(Table13[[#This Row],[Quartile]]="TopQuartile", 1,
 IF(Table13[[#This Row],[Quartile]]="SecondQuartile", 2,
 IF(Table13[[#This Row],[Quartile]]="ThirdQuartile", 3,
 IF(Table13[[#This Row],[Quartile]]="FourthQuartile", 4, ""))))</f>
        <v>4</v>
      </c>
      <c r="F1287" s="5" t="s">
        <v>481</v>
      </c>
      <c r="G1287" s="5" t="str" cm="1">
        <f t="array" ref="G1287">IFERROR(
  INDEX(Table13[Quartile],
    MATCH(1,
      (Table13[[#This Row],[OrgName]]=Table13[OrgName]) *
      (Table13[[#This Row],[Month Number]]-1=Table13[Month Number]),
    0)
  ),
"")</f>
        <v>FourthQuartile</v>
      </c>
      <c r="H1287" s="5">
        <f>IF(Table13[[#This Row],[Previous Quartile]]="TopQuartile", 1,
 IF(Table13[[#This Row],[Previous Quartile]]="SecondQuartile", 2,
 IF(Table13[[#This Row],[Previous Quartile]]="ThirdQuartile", 3,
 IF(Table13[[#This Row],[Previous Quartile]]="FourthQuartile", 4, ""))))</f>
        <v>4</v>
      </c>
      <c r="I1287" s="5" t="str">
        <f>IF(Table13[[#This Row],[Previous Quartile Value]]="", "",
   IF(Table13[[#This Row],[Quartile Value]] &lt; Table13[[#This Row],[Previous Quartile Value]], "Improved",
   IF(Table13[[#This Row],[Quartile Value]] &gt; Table13[[#This Row],[Previous Quartile Value]], "Dropped", "Same")))</f>
        <v>Same</v>
      </c>
      <c r="J1287" s="5" t="s">
        <v>20</v>
      </c>
      <c r="K1287" s="7" t="str">
        <f>VLOOKUP(J1287,Introduction!$B$6:$C$14,2)</f>
        <v>East of England</v>
      </c>
      <c r="L1287" s="13">
        <v>247</v>
      </c>
      <c r="M1287" s="8" t="s">
        <v>476</v>
      </c>
    </row>
    <row r="1288" spans="1:13" ht="19.95" customHeight="1" x14ac:dyDescent="0.25">
      <c r="A1288" s="40">
        <v>45352</v>
      </c>
      <c r="B1288" s="46">
        <f>MONTH(Table13[[#This Row],[YearMonth]])</f>
        <v>3</v>
      </c>
      <c r="C1288" s="5" t="s">
        <v>298</v>
      </c>
      <c r="D1288" s="6" t="s">
        <v>350</v>
      </c>
      <c r="E1288" s="6">
        <f>IF(Table13[[#This Row],[Quartile]]="TopQuartile", 1,
 IF(Table13[[#This Row],[Quartile]]="SecondQuartile", 2,
 IF(Table13[[#This Row],[Quartile]]="ThirdQuartile", 3,
 IF(Table13[[#This Row],[Quartile]]="FourthQuartile", 4, ""))))</f>
        <v>4</v>
      </c>
      <c r="F1288" s="5" t="s">
        <v>484</v>
      </c>
      <c r="G1288" s="5" t="str" cm="1">
        <f t="array" ref="G1288">IFERROR(
  INDEX(Table13[Quartile],
    MATCH(1,
      (Table13[[#This Row],[OrgName]]=Table13[OrgName]) *
      (Table13[[#This Row],[Month Number]]-1=Table13[Month Number]),
    0)
  ),
"")</f>
        <v>FourthQuartile</v>
      </c>
      <c r="H1288" s="5">
        <f>IF(Table13[[#This Row],[Previous Quartile]]="TopQuartile", 1,
 IF(Table13[[#This Row],[Previous Quartile]]="SecondQuartile", 2,
 IF(Table13[[#This Row],[Previous Quartile]]="ThirdQuartile", 3,
 IF(Table13[[#This Row],[Previous Quartile]]="FourthQuartile", 4, ""))))</f>
        <v>4</v>
      </c>
      <c r="I1288" s="5" t="str">
        <f>IF(Table13[[#This Row],[Previous Quartile Value]]="", "",
   IF(Table13[[#This Row],[Quartile Value]] &lt; Table13[[#This Row],[Previous Quartile Value]], "Improved",
   IF(Table13[[#This Row],[Quartile Value]] &gt; Table13[[#This Row],[Previous Quartile Value]], "Dropped", "Same")))</f>
        <v>Same</v>
      </c>
      <c r="J1288" s="5" t="s">
        <v>14</v>
      </c>
      <c r="K1288" s="7" t="str">
        <f>VLOOKUP(J1288,Introduction!$B$6:$C$14,2)</f>
        <v>South West</v>
      </c>
      <c r="L1288" s="13">
        <v>202</v>
      </c>
      <c r="M1288" s="8" t="s">
        <v>476</v>
      </c>
    </row>
    <row r="1289" spans="1:13" ht="19.95" customHeight="1" x14ac:dyDescent="0.25">
      <c r="A1289" s="40">
        <v>45352</v>
      </c>
      <c r="B1289" s="46">
        <f>MONTH(Table13[[#This Row],[YearMonth]])</f>
        <v>3</v>
      </c>
      <c r="C1289" s="5" t="s">
        <v>285</v>
      </c>
      <c r="D1289" s="6" t="s">
        <v>350</v>
      </c>
      <c r="E1289" s="6">
        <f>IF(Table13[[#This Row],[Quartile]]="TopQuartile", 1,
 IF(Table13[[#This Row],[Quartile]]="SecondQuartile", 2,
 IF(Table13[[#This Row],[Quartile]]="ThirdQuartile", 3,
 IF(Table13[[#This Row],[Quartile]]="FourthQuartile", 4, ""))))</f>
        <v>4</v>
      </c>
      <c r="F1289" s="5" t="s">
        <v>483</v>
      </c>
      <c r="G1289" s="5" t="str" cm="1">
        <f t="array" ref="G1289">IFERROR(
  INDEX(Table13[Quartile],
    MATCH(1,
      (Table13[[#This Row],[OrgName]]=Table13[OrgName]) *
      (Table13[[#This Row],[Month Number]]-1=Table13[Month Number]),
    0)
  ),
"")</f>
        <v>ThirdQuartile</v>
      </c>
      <c r="H1289" s="5">
        <f>IF(Table13[[#This Row],[Previous Quartile]]="TopQuartile", 1,
 IF(Table13[[#This Row],[Previous Quartile]]="SecondQuartile", 2,
 IF(Table13[[#This Row],[Previous Quartile]]="ThirdQuartile", 3,
 IF(Table13[[#This Row],[Previous Quartile]]="FourthQuartile", 4, ""))))</f>
        <v>3</v>
      </c>
      <c r="I1289" s="5" t="str">
        <f>IF(Table13[[#This Row],[Previous Quartile Value]]="", "",
   IF(Table13[[#This Row],[Quartile Value]] &lt; Table13[[#This Row],[Previous Quartile Value]], "Improved",
   IF(Table13[[#This Row],[Quartile Value]] &gt; Table13[[#This Row],[Previous Quartile Value]], "Dropped", "Same")))</f>
        <v>Dropped</v>
      </c>
      <c r="J1289" s="5" t="s">
        <v>22</v>
      </c>
      <c r="K1289" s="7" t="str">
        <f>VLOOKUP(J1289,Introduction!$B$6:$C$14,2)</f>
        <v>North West</v>
      </c>
      <c r="L1289" s="13">
        <v>242</v>
      </c>
      <c r="M1289" s="8" t="s">
        <v>476</v>
      </c>
    </row>
    <row r="1290" spans="1:13" ht="19.95" customHeight="1" x14ac:dyDescent="0.25">
      <c r="A1290" s="40">
        <v>45352</v>
      </c>
      <c r="B1290" s="46">
        <f>MONTH(Table13[[#This Row],[YearMonth]])</f>
        <v>3</v>
      </c>
      <c r="C1290" s="5" t="s">
        <v>279</v>
      </c>
      <c r="D1290" s="6" t="s">
        <v>350</v>
      </c>
      <c r="E1290" s="6">
        <f>IF(Table13[[#This Row],[Quartile]]="TopQuartile", 1,
 IF(Table13[[#This Row],[Quartile]]="SecondQuartile", 2,
 IF(Table13[[#This Row],[Quartile]]="ThirdQuartile", 3,
 IF(Table13[[#This Row],[Quartile]]="FourthQuartile", 4, ""))))</f>
        <v>4</v>
      </c>
      <c r="F1290" s="5" t="s">
        <v>482</v>
      </c>
      <c r="G1290" s="5" t="str" cm="1">
        <f t="array" ref="G1290">IFERROR(
  INDEX(Table13[Quartile],
    MATCH(1,
      (Table13[[#This Row],[OrgName]]=Table13[OrgName]) *
      (Table13[[#This Row],[Month Number]]-1=Table13[Month Number]),
    0)
  ),
"")</f>
        <v>FourthQuartile</v>
      </c>
      <c r="H1290" s="5">
        <f>IF(Table13[[#This Row],[Previous Quartile]]="TopQuartile", 1,
 IF(Table13[[#This Row],[Previous Quartile]]="SecondQuartile", 2,
 IF(Table13[[#This Row],[Previous Quartile]]="ThirdQuartile", 3,
 IF(Table13[[#This Row],[Previous Quartile]]="FourthQuartile", 4, ""))))</f>
        <v>4</v>
      </c>
      <c r="I1290" s="5" t="str">
        <f>IF(Table13[[#This Row],[Previous Quartile Value]]="", "",
   IF(Table13[[#This Row],[Quartile Value]] &lt; Table13[[#This Row],[Previous Quartile Value]], "Improved",
   IF(Table13[[#This Row],[Quartile Value]] &gt; Table13[[#This Row],[Previous Quartile Value]], "Dropped", "Same")))</f>
        <v>Same</v>
      </c>
      <c r="J1290" s="5" t="s">
        <v>12</v>
      </c>
      <c r="K1290" s="7" t="str">
        <f>VLOOKUP(J1290,Introduction!$B$6:$C$14,2)</f>
        <v>London</v>
      </c>
      <c r="L1290" s="13">
        <v>308</v>
      </c>
      <c r="M1290" s="8" t="s">
        <v>476</v>
      </c>
    </row>
    <row r="1291" spans="1:13" ht="19.95" customHeight="1" x14ac:dyDescent="0.25">
      <c r="A1291" s="40">
        <v>45352</v>
      </c>
      <c r="B1291" s="46">
        <f>MONTH(Table13[[#This Row],[YearMonth]])</f>
        <v>3</v>
      </c>
      <c r="C1291" s="5" t="s">
        <v>308</v>
      </c>
      <c r="D1291" s="6" t="s">
        <v>350</v>
      </c>
      <c r="E1291" s="6">
        <f>IF(Table13[[#This Row],[Quartile]]="TopQuartile", 1,
 IF(Table13[[#This Row],[Quartile]]="SecondQuartile", 2,
 IF(Table13[[#This Row],[Quartile]]="ThirdQuartile", 3,
 IF(Table13[[#This Row],[Quartile]]="FourthQuartile", 4, ""))))</f>
        <v>4</v>
      </c>
      <c r="F1291" s="5" t="s">
        <v>485</v>
      </c>
      <c r="G1291" s="5" t="str" cm="1">
        <f t="array" ref="G1291">IFERROR(
  INDEX(Table13[Quartile],
    MATCH(1,
      (Table13[[#This Row],[OrgName]]=Table13[OrgName]) *
      (Table13[[#This Row],[Month Number]]-1=Table13[Month Number]),
    0)
  ),
"")</f>
        <v>FourthQuartile</v>
      </c>
      <c r="H1291" s="5">
        <f>IF(Table13[[#This Row],[Previous Quartile]]="TopQuartile", 1,
 IF(Table13[[#This Row],[Previous Quartile]]="SecondQuartile", 2,
 IF(Table13[[#This Row],[Previous Quartile]]="ThirdQuartile", 3,
 IF(Table13[[#This Row],[Previous Quartile]]="FourthQuartile", 4, ""))))</f>
        <v>4</v>
      </c>
      <c r="I1291" s="5" t="str">
        <f>IF(Table13[[#This Row],[Previous Quartile Value]]="", "",
   IF(Table13[[#This Row],[Quartile Value]] &lt; Table13[[#This Row],[Previous Quartile Value]], "Improved",
   IF(Table13[[#This Row],[Quartile Value]] &gt; Table13[[#This Row],[Previous Quartile Value]], "Dropped", "Same")))</f>
        <v>Same</v>
      </c>
      <c r="J1291" s="5" t="s">
        <v>18</v>
      </c>
      <c r="K1291" s="7" t="str">
        <f>VLOOKUP(J1291,Introduction!$B$6:$C$14,2)</f>
        <v>Midlands</v>
      </c>
      <c r="L1291" s="13">
        <v>335</v>
      </c>
      <c r="M1291" s="8" t="s">
        <v>476</v>
      </c>
    </row>
    <row r="1292" spans="1:13" ht="19.95" customHeight="1" x14ac:dyDescent="0.25">
      <c r="A1292" s="40">
        <v>45352</v>
      </c>
      <c r="B1292" s="46">
        <f>MONTH(Table13[[#This Row],[YearMonth]])</f>
        <v>3</v>
      </c>
      <c r="C1292" s="5" t="s">
        <v>90</v>
      </c>
      <c r="D1292" s="6" t="s">
        <v>338</v>
      </c>
      <c r="E1292" s="6">
        <f>IF(Table13[[#This Row],[Quartile]]="TopQuartile", 1,
 IF(Table13[[#This Row],[Quartile]]="SecondQuartile", 2,
 IF(Table13[[#This Row],[Quartile]]="ThirdQuartile", 3,
 IF(Table13[[#This Row],[Quartile]]="FourthQuartile", 4, ""))))</f>
        <v>2</v>
      </c>
      <c r="F1292" s="5" t="s">
        <v>486</v>
      </c>
      <c r="G1292" s="5" t="str" cm="1">
        <f t="array" ref="G1292">IFERROR(
  INDEX(Table13[Quartile],
    MATCH(1,
      (Table13[[#This Row],[OrgName]]=Table13[OrgName]) *
      (Table13[[#This Row],[Month Number]]-1=Table13[Month Number]),
    0)
  ),
"")</f>
        <v>SecondQuartile</v>
      </c>
      <c r="H1292" s="5">
        <f>IF(Table13[[#This Row],[Previous Quartile]]="TopQuartile", 1,
 IF(Table13[[#This Row],[Previous Quartile]]="SecondQuartile", 2,
 IF(Table13[[#This Row],[Previous Quartile]]="ThirdQuartile", 3,
 IF(Table13[[#This Row],[Previous Quartile]]="FourthQuartile", 4, ""))))</f>
        <v>2</v>
      </c>
      <c r="I1292" s="5" t="str">
        <f>IF(Table13[[#This Row],[Previous Quartile Value]]="", "",
   IF(Table13[[#This Row],[Quartile Value]] &lt; Table13[[#This Row],[Previous Quartile Value]], "Improved",
   IF(Table13[[#This Row],[Quartile Value]] &gt; Table13[[#This Row],[Previous Quartile Value]], "Dropped", "Same")))</f>
        <v>Same</v>
      </c>
      <c r="J1292" s="5" t="s">
        <v>24</v>
      </c>
      <c r="K1292" s="7" t="str">
        <f>VLOOKUP(J1292,Introduction!$B$6:$C$14,2)</f>
        <v>North East and Yorkshire</v>
      </c>
      <c r="L1292" s="13">
        <v>453</v>
      </c>
      <c r="M1292" s="8" t="s">
        <v>487</v>
      </c>
    </row>
    <row r="1293" spans="1:13" ht="19.95" customHeight="1" x14ac:dyDescent="0.25">
      <c r="A1293" s="40">
        <v>45352</v>
      </c>
      <c r="B1293" s="46">
        <f>MONTH(Table13[[#This Row],[YearMonth]])</f>
        <v>3</v>
      </c>
      <c r="C1293" s="5" t="s">
        <v>132</v>
      </c>
      <c r="D1293" s="6" t="s">
        <v>338</v>
      </c>
      <c r="E1293" s="6">
        <f>IF(Table13[[#This Row],[Quartile]]="TopQuartile", 1,
 IF(Table13[[#This Row],[Quartile]]="SecondQuartile", 2,
 IF(Table13[[#This Row],[Quartile]]="ThirdQuartile", 3,
 IF(Table13[[#This Row],[Quartile]]="FourthQuartile", 4, ""))))</f>
        <v>2</v>
      </c>
      <c r="F1293" s="5" t="s">
        <v>488</v>
      </c>
      <c r="G1293" s="5" t="str" cm="1">
        <f t="array" ref="G1293">IFERROR(
  INDEX(Table13[Quartile],
    MATCH(1,
      (Table13[[#This Row],[OrgName]]=Table13[OrgName]) *
      (Table13[[#This Row],[Month Number]]-1=Table13[Month Number]),
    0)
  ),
"")</f>
        <v>SecondQuartile</v>
      </c>
      <c r="H1293" s="5">
        <f>IF(Table13[[#This Row],[Previous Quartile]]="TopQuartile", 1,
 IF(Table13[[#This Row],[Previous Quartile]]="SecondQuartile", 2,
 IF(Table13[[#This Row],[Previous Quartile]]="ThirdQuartile", 3,
 IF(Table13[[#This Row],[Previous Quartile]]="FourthQuartile", 4, ""))))</f>
        <v>2</v>
      </c>
      <c r="I1293" s="5" t="str">
        <f>IF(Table13[[#This Row],[Previous Quartile Value]]="", "",
   IF(Table13[[#This Row],[Quartile Value]] &lt; Table13[[#This Row],[Previous Quartile Value]], "Improved",
   IF(Table13[[#This Row],[Quartile Value]] &gt; Table13[[#This Row],[Previous Quartile Value]], "Dropped", "Same")))</f>
        <v>Same</v>
      </c>
      <c r="J1293" s="5" t="s">
        <v>24</v>
      </c>
      <c r="K1293" s="7" t="str">
        <f>VLOOKUP(J1293,Introduction!$B$6:$C$14,2)</f>
        <v>North East and Yorkshire</v>
      </c>
      <c r="L1293" s="13">
        <v>457</v>
      </c>
      <c r="M1293" s="8" t="s">
        <v>487</v>
      </c>
    </row>
    <row r="1294" spans="1:13" ht="19.95" customHeight="1" x14ac:dyDescent="0.25">
      <c r="A1294" s="40">
        <v>45352</v>
      </c>
      <c r="B1294" s="46">
        <f>MONTH(Table13[[#This Row],[YearMonth]])</f>
        <v>3</v>
      </c>
      <c r="C1294" s="5" t="s">
        <v>181</v>
      </c>
      <c r="D1294" s="6" t="s">
        <v>350</v>
      </c>
      <c r="E1294" s="6">
        <f>IF(Table13[[#This Row],[Quartile]]="TopQuartile", 1,
 IF(Table13[[#This Row],[Quartile]]="SecondQuartile", 2,
 IF(Table13[[#This Row],[Quartile]]="ThirdQuartile", 3,
 IF(Table13[[#This Row],[Quartile]]="FourthQuartile", 4, ""))))</f>
        <v>4</v>
      </c>
      <c r="F1294" s="5" t="s">
        <v>489</v>
      </c>
      <c r="G1294" s="5" t="str" cm="1">
        <f t="array" ref="G1294">IFERROR(
  INDEX(Table13[Quartile],
    MATCH(1,
      (Table13[[#This Row],[OrgName]]=Table13[OrgName]) *
      (Table13[[#This Row],[Month Number]]-1=Table13[Month Number]),
    0)
  ),
"")</f>
        <v>FourthQuartile</v>
      </c>
      <c r="H1294" s="5">
        <f>IF(Table13[[#This Row],[Previous Quartile]]="TopQuartile", 1,
 IF(Table13[[#This Row],[Previous Quartile]]="SecondQuartile", 2,
 IF(Table13[[#This Row],[Previous Quartile]]="ThirdQuartile", 3,
 IF(Table13[[#This Row],[Previous Quartile]]="FourthQuartile", 4, ""))))</f>
        <v>4</v>
      </c>
      <c r="I1294" s="5" t="str">
        <f>IF(Table13[[#This Row],[Previous Quartile Value]]="", "",
   IF(Table13[[#This Row],[Quartile Value]] &lt; Table13[[#This Row],[Previous Quartile Value]], "Improved",
   IF(Table13[[#This Row],[Quartile Value]] &gt; Table13[[#This Row],[Previous Quartile Value]], "Dropped", "Same")))</f>
        <v>Same</v>
      </c>
      <c r="J1294" s="5" t="s">
        <v>12</v>
      </c>
      <c r="K1294" s="7" t="str">
        <f>VLOOKUP(J1294,Introduction!$B$6:$C$14,2)</f>
        <v>London</v>
      </c>
      <c r="L1294" s="13">
        <v>455</v>
      </c>
      <c r="M1294" s="8" t="s">
        <v>487</v>
      </c>
    </row>
    <row r="1295" spans="1:13" ht="19.95" customHeight="1" x14ac:dyDescent="0.25">
      <c r="A1295" s="40">
        <v>45352</v>
      </c>
      <c r="B1295" s="46">
        <f>MONTH(Table13[[#This Row],[YearMonth]])</f>
        <v>3</v>
      </c>
      <c r="C1295" s="5" t="s">
        <v>35</v>
      </c>
      <c r="D1295" s="6" t="s">
        <v>330</v>
      </c>
      <c r="E1295" s="6">
        <f>IF(Table13[[#This Row],[Quartile]]="TopQuartile", 1,
 IF(Table13[[#This Row],[Quartile]]="SecondQuartile", 2,
 IF(Table13[[#This Row],[Quartile]]="ThirdQuartile", 3,
 IF(Table13[[#This Row],[Quartile]]="FourthQuartile", 4, ""))))</f>
        <v>1</v>
      </c>
      <c r="F1295" s="5" t="s">
        <v>492</v>
      </c>
      <c r="G1295" s="5" t="str" cm="1">
        <f t="array" ref="G1295">IFERROR(
  INDEX(Table13[Quartile],
    MATCH(1,
      (Table13[[#This Row],[OrgName]]=Table13[OrgName]) *
      (Table13[[#This Row],[Month Number]]-1=Table13[Month Number]),
    0)
  ),
"")</f>
        <v>TopQuartile</v>
      </c>
      <c r="H1295" s="5">
        <f>IF(Table13[[#This Row],[Previous Quartile]]="TopQuartile", 1,
 IF(Table13[[#This Row],[Previous Quartile]]="SecondQuartile", 2,
 IF(Table13[[#This Row],[Previous Quartile]]="ThirdQuartile", 3,
 IF(Table13[[#This Row],[Previous Quartile]]="FourthQuartile", 4, ""))))</f>
        <v>1</v>
      </c>
      <c r="I1295" s="5" t="str">
        <f>IF(Table13[[#This Row],[Previous Quartile Value]]="", "",
   IF(Table13[[#This Row],[Quartile Value]] &lt; Table13[[#This Row],[Previous Quartile Value]], "Improved",
   IF(Table13[[#This Row],[Quartile Value]] &gt; Table13[[#This Row],[Previous Quartile Value]], "Dropped", "Same")))</f>
        <v>Same</v>
      </c>
      <c r="J1295" s="5" t="s">
        <v>10</v>
      </c>
      <c r="K1295" s="7" t="str">
        <f>VLOOKUP(J1295,Introduction!$B$6:$C$14,2)</f>
        <v>Special Health Authorities and other statutory bodies</v>
      </c>
      <c r="L1295" s="13">
        <v>891</v>
      </c>
      <c r="M1295" s="8" t="s">
        <v>491</v>
      </c>
    </row>
    <row r="1296" spans="1:13" ht="19.95" customHeight="1" x14ac:dyDescent="0.25">
      <c r="A1296" s="40">
        <v>45352</v>
      </c>
      <c r="B1296" s="46">
        <f>MONTH(Table13[[#This Row],[YearMonth]])</f>
        <v>3</v>
      </c>
      <c r="C1296" s="5" t="s">
        <v>45</v>
      </c>
      <c r="D1296" s="6" t="s">
        <v>330</v>
      </c>
      <c r="E1296" s="6">
        <f>IF(Table13[[#This Row],[Quartile]]="TopQuartile", 1,
 IF(Table13[[#This Row],[Quartile]]="SecondQuartile", 2,
 IF(Table13[[#This Row],[Quartile]]="ThirdQuartile", 3,
 IF(Table13[[#This Row],[Quartile]]="FourthQuartile", 4, ""))))</f>
        <v>1</v>
      </c>
      <c r="F1296" s="5" t="s">
        <v>493</v>
      </c>
      <c r="G1296" s="5" t="str" cm="1">
        <f t="array" ref="G1296">IFERROR(
  INDEX(Table13[Quartile],
    MATCH(1,
      (Table13[[#This Row],[OrgName]]=Table13[OrgName]) *
      (Table13[[#This Row],[Month Number]]-1=Table13[Month Number]),
    0)
  ),
"")</f>
        <v>TopQuartile</v>
      </c>
      <c r="H1296" s="5">
        <f>IF(Table13[[#This Row],[Previous Quartile]]="TopQuartile", 1,
 IF(Table13[[#This Row],[Previous Quartile]]="SecondQuartile", 2,
 IF(Table13[[#This Row],[Previous Quartile]]="ThirdQuartile", 3,
 IF(Table13[[#This Row],[Previous Quartile]]="FourthQuartile", 4, ""))))</f>
        <v>1</v>
      </c>
      <c r="I1296" s="5" t="str">
        <f>IF(Table13[[#This Row],[Previous Quartile Value]]="", "",
   IF(Table13[[#This Row],[Quartile Value]] &lt; Table13[[#This Row],[Previous Quartile Value]], "Improved",
   IF(Table13[[#This Row],[Quartile Value]] &gt; Table13[[#This Row],[Previous Quartile Value]], "Dropped", "Same")))</f>
        <v>Same</v>
      </c>
      <c r="J1296" s="5" t="s">
        <v>10</v>
      </c>
      <c r="K1296" s="7" t="str">
        <f>VLOOKUP(J1296,Introduction!$B$6:$C$14,2)</f>
        <v>Special Health Authorities and other statutory bodies</v>
      </c>
      <c r="L1296" s="13">
        <v>877</v>
      </c>
      <c r="M1296" s="8" t="s">
        <v>491</v>
      </c>
    </row>
    <row r="1297" spans="1:13" ht="19.95" customHeight="1" x14ac:dyDescent="0.25">
      <c r="A1297" s="40">
        <v>45352</v>
      </c>
      <c r="B1297" s="46">
        <f>MONTH(Table13[[#This Row],[YearMonth]])</f>
        <v>3</v>
      </c>
      <c r="C1297" s="5" t="s">
        <v>130</v>
      </c>
      <c r="D1297" s="6" t="s">
        <v>338</v>
      </c>
      <c r="E1297" s="6">
        <f>IF(Table13[[#This Row],[Quartile]]="TopQuartile", 1,
 IF(Table13[[#This Row],[Quartile]]="SecondQuartile", 2,
 IF(Table13[[#This Row],[Quartile]]="ThirdQuartile", 3,
 IF(Table13[[#This Row],[Quartile]]="FourthQuartile", 4, ""))))</f>
        <v>2</v>
      </c>
      <c r="F1297" s="5" t="s">
        <v>494</v>
      </c>
      <c r="G1297" s="5" t="str" cm="1">
        <f t="array" ref="G1297">IFERROR(
  INDEX(Table13[Quartile],
    MATCH(1,
      (Table13[[#This Row],[OrgName]]=Table13[OrgName]) *
      (Table13[[#This Row],[Month Number]]-1=Table13[Month Number]),
    0)
  ),
"")</f>
        <v>SecondQuartile</v>
      </c>
      <c r="H1297" s="5">
        <f>IF(Table13[[#This Row],[Previous Quartile]]="TopQuartile", 1,
 IF(Table13[[#This Row],[Previous Quartile]]="SecondQuartile", 2,
 IF(Table13[[#This Row],[Previous Quartile]]="ThirdQuartile", 3,
 IF(Table13[[#This Row],[Previous Quartile]]="FourthQuartile", 4, ""))))</f>
        <v>2</v>
      </c>
      <c r="I1297" s="5" t="str">
        <f>IF(Table13[[#This Row],[Previous Quartile Value]]="", "",
   IF(Table13[[#This Row],[Quartile Value]] &lt; Table13[[#This Row],[Previous Quartile Value]], "Improved",
   IF(Table13[[#This Row],[Quartile Value]] &gt; Table13[[#This Row],[Previous Quartile Value]], "Dropped", "Same")))</f>
        <v>Same</v>
      </c>
      <c r="J1297" s="5" t="s">
        <v>10</v>
      </c>
      <c r="K1297" s="7" t="str">
        <f>VLOOKUP(J1297,Introduction!$B$6:$C$14,2)</f>
        <v>Special Health Authorities and other statutory bodies</v>
      </c>
      <c r="L1297" s="13">
        <v>880</v>
      </c>
      <c r="M1297" s="8" t="s">
        <v>491</v>
      </c>
    </row>
    <row r="1298" spans="1:13" ht="19.95" customHeight="1" x14ac:dyDescent="0.25">
      <c r="A1298" s="40">
        <v>45352</v>
      </c>
      <c r="B1298" s="46">
        <f>MONTH(Table13[[#This Row],[YearMonth]])</f>
        <v>3</v>
      </c>
      <c r="C1298" s="5" t="s">
        <v>27</v>
      </c>
      <c r="D1298" s="6" t="s">
        <v>350</v>
      </c>
      <c r="E1298" s="6">
        <f>IF(Table13[[#This Row],[Quartile]]="TopQuartile", 1,
 IF(Table13[[#This Row],[Quartile]]="SecondQuartile", 2,
 IF(Table13[[#This Row],[Quartile]]="ThirdQuartile", 3,
 IF(Table13[[#This Row],[Quartile]]="FourthQuartile", 4, ""))))</f>
        <v>4</v>
      </c>
      <c r="F1298" s="5" t="s">
        <v>490</v>
      </c>
      <c r="G1298" s="5" t="str" cm="1">
        <f t="array" ref="G1298">IFERROR(
  INDEX(Table13[Quartile],
    MATCH(1,
      (Table13[[#This Row],[OrgName]]=Table13[OrgName]) *
      (Table13[[#This Row],[Month Number]]-1=Table13[Month Number]),
    0)
  ),
"")</f>
        <v>FourthQuartile</v>
      </c>
      <c r="H1298" s="5">
        <f>IF(Table13[[#This Row],[Previous Quartile]]="TopQuartile", 1,
 IF(Table13[[#This Row],[Previous Quartile]]="SecondQuartile", 2,
 IF(Table13[[#This Row],[Previous Quartile]]="ThirdQuartile", 3,
 IF(Table13[[#This Row],[Previous Quartile]]="FourthQuartile", 4, ""))))</f>
        <v>4</v>
      </c>
      <c r="I1298" s="5" t="str">
        <f>IF(Table13[[#This Row],[Previous Quartile Value]]="", "",
   IF(Table13[[#This Row],[Quartile Value]] &lt; Table13[[#This Row],[Previous Quartile Value]], "Improved",
   IF(Table13[[#This Row],[Quartile Value]] &gt; Table13[[#This Row],[Previous Quartile Value]], "Dropped", "Same")))</f>
        <v>Same</v>
      </c>
      <c r="J1298" s="5" t="s">
        <v>10</v>
      </c>
      <c r="K1298" s="7" t="str">
        <f>VLOOKUP(J1298,Introduction!$B$6:$C$14,2)</f>
        <v>Special Health Authorities and other statutory bodies</v>
      </c>
      <c r="L1298" s="13">
        <v>869</v>
      </c>
      <c r="M1298" s="8" t="s">
        <v>491</v>
      </c>
    </row>
    <row r="1299" spans="1:13" ht="19.95" customHeight="1" x14ac:dyDescent="0.25">
      <c r="A1299" s="40">
        <v>45352</v>
      </c>
      <c r="B1299" s="46">
        <f>MONTH(Table13[[#This Row],[YearMonth]])</f>
        <v>3</v>
      </c>
      <c r="C1299" s="5" t="s">
        <v>31</v>
      </c>
      <c r="D1299" s="6" t="s">
        <v>330</v>
      </c>
      <c r="E1299" s="6">
        <f>IF(Table13[[#This Row],[Quartile]]="TopQuartile", 1,
 IF(Table13[[#This Row],[Quartile]]="SecondQuartile", 2,
 IF(Table13[[#This Row],[Quartile]]="ThirdQuartile", 3,
 IF(Table13[[#This Row],[Quartile]]="FourthQuartile", 4, ""))))</f>
        <v>1</v>
      </c>
      <c r="F1299" s="5" t="s">
        <v>495</v>
      </c>
      <c r="G1299" s="5" t="str" cm="1">
        <f t="array" ref="G1299">IFERROR(
  INDEX(Table13[Quartile],
    MATCH(1,
      (Table13[[#This Row],[OrgName]]=Table13[OrgName]) *
      (Table13[[#This Row],[Month Number]]-1=Table13[Month Number]),
    0)
  ),
"")</f>
        <v>TopQuartile</v>
      </c>
      <c r="H1299" s="5">
        <f>IF(Table13[[#This Row],[Previous Quartile]]="TopQuartile", 1,
 IF(Table13[[#This Row],[Previous Quartile]]="SecondQuartile", 2,
 IF(Table13[[#This Row],[Previous Quartile]]="ThirdQuartile", 3,
 IF(Table13[[#This Row],[Previous Quartile]]="FourthQuartile", 4, ""))))</f>
        <v>1</v>
      </c>
      <c r="I1299" s="5" t="str">
        <f>IF(Table13[[#This Row],[Previous Quartile Value]]="", "",
   IF(Table13[[#This Row],[Quartile Value]] &lt; Table13[[#This Row],[Previous Quartile Value]], "Improved",
   IF(Table13[[#This Row],[Quartile Value]] &gt; Table13[[#This Row],[Previous Quartile Value]], "Dropped", "Same")))</f>
        <v>Same</v>
      </c>
      <c r="J1299" s="5" t="s">
        <v>16</v>
      </c>
      <c r="K1299" s="7" t="str">
        <f>VLOOKUP(J1299,Introduction!$B$6:$C$14,2)</f>
        <v>South East</v>
      </c>
      <c r="L1299" s="13">
        <v>449</v>
      </c>
      <c r="M1299" s="8" t="s">
        <v>496</v>
      </c>
    </row>
    <row r="1300" spans="1:13" ht="19.95" customHeight="1" x14ac:dyDescent="0.25">
      <c r="A1300" s="40">
        <v>45352</v>
      </c>
      <c r="B1300" s="46">
        <f>MONTH(Table13[[#This Row],[YearMonth]])</f>
        <v>3</v>
      </c>
      <c r="C1300" s="5" t="s">
        <v>46</v>
      </c>
      <c r="D1300" s="6" t="s">
        <v>330</v>
      </c>
      <c r="E1300" s="6">
        <f>IF(Table13[[#This Row],[Quartile]]="TopQuartile", 1,
 IF(Table13[[#This Row],[Quartile]]="SecondQuartile", 2,
 IF(Table13[[#This Row],[Quartile]]="ThirdQuartile", 3,
 IF(Table13[[#This Row],[Quartile]]="FourthQuartile", 4, ""))))</f>
        <v>1</v>
      </c>
      <c r="F1300" s="5" t="s">
        <v>497</v>
      </c>
      <c r="G1300" s="5" t="str" cm="1">
        <f t="array" ref="G1300">IFERROR(
  INDEX(Table13[Quartile],
    MATCH(1,
      (Table13[[#This Row],[OrgName]]=Table13[OrgName]) *
      (Table13[[#This Row],[Month Number]]-1=Table13[Month Number]),
    0)
  ),
"")</f>
        <v>TopQuartile</v>
      </c>
      <c r="H1300" s="5">
        <f>IF(Table13[[#This Row],[Previous Quartile]]="TopQuartile", 1,
 IF(Table13[[#This Row],[Previous Quartile]]="SecondQuartile", 2,
 IF(Table13[[#This Row],[Previous Quartile]]="ThirdQuartile", 3,
 IF(Table13[[#This Row],[Previous Quartile]]="FourthQuartile", 4, ""))))</f>
        <v>1</v>
      </c>
      <c r="I1300" s="5" t="str">
        <f>IF(Table13[[#This Row],[Previous Quartile Value]]="", "",
   IF(Table13[[#This Row],[Quartile Value]] &lt; Table13[[#This Row],[Previous Quartile Value]], "Improved",
   IF(Table13[[#This Row],[Quartile Value]] &gt; Table13[[#This Row],[Previous Quartile Value]], "Dropped", "Same")))</f>
        <v>Same</v>
      </c>
      <c r="J1300" s="5" t="s">
        <v>16</v>
      </c>
      <c r="K1300" s="7" t="str">
        <f>VLOOKUP(J1300,Introduction!$B$6:$C$14,2)</f>
        <v>South East</v>
      </c>
      <c r="L1300" s="13">
        <v>813</v>
      </c>
      <c r="M1300" s="8" t="s">
        <v>496</v>
      </c>
    </row>
    <row r="1301" spans="1:13" ht="19.95" customHeight="1" x14ac:dyDescent="0.25">
      <c r="A1301" s="40">
        <v>45352</v>
      </c>
      <c r="B1301" s="46">
        <f>MONTH(Table13[[#This Row],[YearMonth]])</f>
        <v>3</v>
      </c>
      <c r="C1301" s="5" t="s">
        <v>98</v>
      </c>
      <c r="D1301" s="6" t="s">
        <v>330</v>
      </c>
      <c r="E1301" s="6">
        <f>IF(Table13[[#This Row],[Quartile]]="TopQuartile", 1,
 IF(Table13[[#This Row],[Quartile]]="SecondQuartile", 2,
 IF(Table13[[#This Row],[Quartile]]="ThirdQuartile", 3,
 IF(Table13[[#This Row],[Quartile]]="FourthQuartile", 4, ""))))</f>
        <v>1</v>
      </c>
      <c r="F1301" s="5" t="s">
        <v>503</v>
      </c>
      <c r="G1301" s="5" t="str" cm="1">
        <f t="array" ref="G1301">IFERROR(
  INDEX(Table13[Quartile],
    MATCH(1,
      (Table13[[#This Row],[OrgName]]=Table13[OrgName]) *
      (Table13[[#This Row],[Month Number]]-1=Table13[Month Number]),
    0)
  ),
"")</f>
        <v>TopQuartile</v>
      </c>
      <c r="H1301" s="5">
        <f>IF(Table13[[#This Row],[Previous Quartile]]="TopQuartile", 1,
 IF(Table13[[#This Row],[Previous Quartile]]="SecondQuartile", 2,
 IF(Table13[[#This Row],[Previous Quartile]]="ThirdQuartile", 3,
 IF(Table13[[#This Row],[Previous Quartile]]="FourthQuartile", 4, ""))))</f>
        <v>1</v>
      </c>
      <c r="I1301" s="5" t="str">
        <f>IF(Table13[[#This Row],[Previous Quartile Value]]="", "",
   IF(Table13[[#This Row],[Quartile Value]] &lt; Table13[[#This Row],[Previous Quartile Value]], "Improved",
   IF(Table13[[#This Row],[Quartile Value]] &gt; Table13[[#This Row],[Previous Quartile Value]], "Dropped", "Same")))</f>
        <v>Same</v>
      </c>
      <c r="J1301" s="5" t="s">
        <v>18</v>
      </c>
      <c r="K1301" s="7" t="str">
        <f>VLOOKUP(J1301,Introduction!$B$6:$C$14,2)</f>
        <v>Midlands</v>
      </c>
      <c r="L1301" s="13">
        <v>825</v>
      </c>
      <c r="M1301" s="8" t="s">
        <v>496</v>
      </c>
    </row>
    <row r="1302" spans="1:13" ht="19.95" customHeight="1" x14ac:dyDescent="0.25">
      <c r="A1302" s="40">
        <v>45352</v>
      </c>
      <c r="B1302" s="46">
        <f>MONTH(Table13[[#This Row],[YearMonth]])</f>
        <v>3</v>
      </c>
      <c r="C1302" s="5" t="s">
        <v>47</v>
      </c>
      <c r="D1302" s="6" t="s">
        <v>330</v>
      </c>
      <c r="E1302" s="6">
        <f>IF(Table13[[#This Row],[Quartile]]="TopQuartile", 1,
 IF(Table13[[#This Row],[Quartile]]="SecondQuartile", 2,
 IF(Table13[[#This Row],[Quartile]]="ThirdQuartile", 3,
 IF(Table13[[#This Row],[Quartile]]="FourthQuartile", 4, ""))))</f>
        <v>1</v>
      </c>
      <c r="F1302" s="5" t="s">
        <v>498</v>
      </c>
      <c r="G1302" s="5" t="str" cm="1">
        <f t="array" ref="G1302">IFERROR(
  INDEX(Table13[Quartile],
    MATCH(1,
      (Table13[[#This Row],[OrgName]]=Table13[OrgName]) *
      (Table13[[#This Row],[Month Number]]-1=Table13[Month Number]),
    0)
  ),
"")</f>
        <v>TopQuartile</v>
      </c>
      <c r="H1302" s="5">
        <f>IF(Table13[[#This Row],[Previous Quartile]]="TopQuartile", 1,
 IF(Table13[[#This Row],[Previous Quartile]]="SecondQuartile", 2,
 IF(Table13[[#This Row],[Previous Quartile]]="ThirdQuartile", 3,
 IF(Table13[[#This Row],[Previous Quartile]]="FourthQuartile", 4, ""))))</f>
        <v>1</v>
      </c>
      <c r="I1302" s="5" t="str">
        <f>IF(Table13[[#This Row],[Previous Quartile Value]]="", "",
   IF(Table13[[#This Row],[Quartile Value]] &lt; Table13[[#This Row],[Previous Quartile Value]], "Improved",
   IF(Table13[[#This Row],[Quartile Value]] &gt; Table13[[#This Row],[Previous Quartile Value]], "Dropped", "Same")))</f>
        <v>Same</v>
      </c>
      <c r="J1302" s="5" t="s">
        <v>16</v>
      </c>
      <c r="K1302" s="7" t="str">
        <f>VLOOKUP(J1302,Introduction!$B$6:$C$14,2)</f>
        <v>South East</v>
      </c>
      <c r="L1302" s="13">
        <v>846</v>
      </c>
      <c r="M1302" s="8" t="s">
        <v>496</v>
      </c>
    </row>
    <row r="1303" spans="1:13" ht="19.95" customHeight="1" x14ac:dyDescent="0.25">
      <c r="A1303" s="40">
        <v>45352</v>
      </c>
      <c r="B1303" s="46">
        <f>MONTH(Table13[[#This Row],[YearMonth]])</f>
        <v>3</v>
      </c>
      <c r="C1303" s="5" t="s">
        <v>112</v>
      </c>
      <c r="D1303" s="6" t="s">
        <v>330</v>
      </c>
      <c r="E1303" s="6">
        <f>IF(Table13[[#This Row],[Quartile]]="TopQuartile", 1,
 IF(Table13[[#This Row],[Quartile]]="SecondQuartile", 2,
 IF(Table13[[#This Row],[Quartile]]="ThirdQuartile", 3,
 IF(Table13[[#This Row],[Quartile]]="FourthQuartile", 4, ""))))</f>
        <v>1</v>
      </c>
      <c r="F1303" s="5" t="s">
        <v>113</v>
      </c>
      <c r="G1303" s="5" t="str" cm="1">
        <f t="array" ref="G1303">IFERROR(
  INDEX(Table13[Quartile],
    MATCH(1,
      (Table13[[#This Row],[OrgName]]=Table13[OrgName]) *
      (Table13[[#This Row],[Month Number]]-1=Table13[Month Number]),
    0)
  ),
"")</f>
        <v>TopQuartile</v>
      </c>
      <c r="H1303" s="5">
        <f>IF(Table13[[#This Row],[Previous Quartile]]="TopQuartile", 1,
 IF(Table13[[#This Row],[Previous Quartile]]="SecondQuartile", 2,
 IF(Table13[[#This Row],[Previous Quartile]]="ThirdQuartile", 3,
 IF(Table13[[#This Row],[Previous Quartile]]="FourthQuartile", 4, ""))))</f>
        <v>1</v>
      </c>
      <c r="I1303" s="5" t="str">
        <f>IF(Table13[[#This Row],[Previous Quartile Value]]="", "",
   IF(Table13[[#This Row],[Quartile Value]] &lt; Table13[[#This Row],[Previous Quartile Value]], "Improved",
   IF(Table13[[#This Row],[Quartile Value]] &gt; Table13[[#This Row],[Previous Quartile Value]], "Dropped", "Same")))</f>
        <v>Same</v>
      </c>
      <c r="J1303" s="5" t="s">
        <v>20</v>
      </c>
      <c r="K1303" s="7" t="str">
        <f>VLOOKUP(J1303,Introduction!$B$6:$C$14,2)</f>
        <v>East of England</v>
      </c>
      <c r="L1303" s="13">
        <v>828</v>
      </c>
      <c r="M1303" s="8" t="s">
        <v>496</v>
      </c>
    </row>
    <row r="1304" spans="1:13" ht="19.95" customHeight="1" x14ac:dyDescent="0.25">
      <c r="A1304" s="40">
        <v>45352</v>
      </c>
      <c r="B1304" s="46">
        <f>MONTH(Table13[[#This Row],[YearMonth]])</f>
        <v>3</v>
      </c>
      <c r="C1304" s="5" t="s">
        <v>79</v>
      </c>
      <c r="D1304" s="6" t="s">
        <v>330</v>
      </c>
      <c r="E1304" s="6">
        <f>IF(Table13[[#This Row],[Quartile]]="TopQuartile", 1,
 IF(Table13[[#This Row],[Quartile]]="SecondQuartile", 2,
 IF(Table13[[#This Row],[Quartile]]="ThirdQuartile", 3,
 IF(Table13[[#This Row],[Quartile]]="FourthQuartile", 4, ""))))</f>
        <v>1</v>
      </c>
      <c r="F1304" s="5" t="s">
        <v>80</v>
      </c>
      <c r="G1304" s="5" t="str" cm="1">
        <f t="array" ref="G1304">IFERROR(
  INDEX(Table13[Quartile],
    MATCH(1,
      (Table13[[#This Row],[OrgName]]=Table13[OrgName]) *
      (Table13[[#This Row],[Month Number]]-1=Table13[Month Number]),
    0)
  ),
"")</f>
        <v>TopQuartile</v>
      </c>
      <c r="H1304" s="5">
        <f>IF(Table13[[#This Row],[Previous Quartile]]="TopQuartile", 1,
 IF(Table13[[#This Row],[Previous Quartile]]="SecondQuartile", 2,
 IF(Table13[[#This Row],[Previous Quartile]]="ThirdQuartile", 3,
 IF(Table13[[#This Row],[Previous Quartile]]="FourthQuartile", 4, ""))))</f>
        <v>1</v>
      </c>
      <c r="I1304" s="5" t="str">
        <f>IF(Table13[[#This Row],[Previous Quartile Value]]="", "",
   IF(Table13[[#This Row],[Quartile Value]] &lt; Table13[[#This Row],[Previous Quartile Value]], "Improved",
   IF(Table13[[#This Row],[Quartile Value]] &gt; Table13[[#This Row],[Previous Quartile Value]], "Dropped", "Same")))</f>
        <v>Same</v>
      </c>
      <c r="J1304" s="5" t="s">
        <v>24</v>
      </c>
      <c r="K1304" s="7" t="str">
        <f>VLOOKUP(J1304,Introduction!$B$6:$C$14,2)</f>
        <v>North East and Yorkshire</v>
      </c>
      <c r="L1304" s="13">
        <v>98</v>
      </c>
      <c r="M1304" s="8" t="s">
        <v>496</v>
      </c>
    </row>
    <row r="1305" spans="1:13" ht="19.95" customHeight="1" x14ac:dyDescent="0.25">
      <c r="A1305" s="40">
        <v>45352</v>
      </c>
      <c r="B1305" s="46">
        <f>MONTH(Table13[[#This Row],[YearMonth]])</f>
        <v>3</v>
      </c>
      <c r="C1305" s="5" t="s">
        <v>66</v>
      </c>
      <c r="D1305" s="6" t="s">
        <v>338</v>
      </c>
      <c r="E1305" s="6">
        <f>IF(Table13[[#This Row],[Quartile]]="TopQuartile", 1,
 IF(Table13[[#This Row],[Quartile]]="SecondQuartile", 2,
 IF(Table13[[#This Row],[Quartile]]="ThirdQuartile", 3,
 IF(Table13[[#This Row],[Quartile]]="FourthQuartile", 4, ""))))</f>
        <v>2</v>
      </c>
      <c r="F1305" s="5" t="s">
        <v>500</v>
      </c>
      <c r="G1305" s="5" t="str" cm="1">
        <f t="array" ref="G1305">IFERROR(
  INDEX(Table13[Quartile],
    MATCH(1,
      (Table13[[#This Row],[OrgName]]=Table13[OrgName]) *
      (Table13[[#This Row],[Month Number]]-1=Table13[Month Number]),
    0)
  ),
"")</f>
        <v>SecondQuartile</v>
      </c>
      <c r="H1305" s="5">
        <f>IF(Table13[[#This Row],[Previous Quartile]]="TopQuartile", 1,
 IF(Table13[[#This Row],[Previous Quartile]]="SecondQuartile", 2,
 IF(Table13[[#This Row],[Previous Quartile]]="ThirdQuartile", 3,
 IF(Table13[[#This Row],[Previous Quartile]]="FourthQuartile", 4, ""))))</f>
        <v>2</v>
      </c>
      <c r="I1305" s="5" t="str">
        <f>IF(Table13[[#This Row],[Previous Quartile Value]]="", "",
   IF(Table13[[#This Row],[Quartile Value]] &lt; Table13[[#This Row],[Previous Quartile Value]], "Improved",
   IF(Table13[[#This Row],[Quartile Value]] &gt; Table13[[#This Row],[Previous Quartile Value]], "Dropped", "Same")))</f>
        <v>Same</v>
      </c>
      <c r="J1305" s="5" t="s">
        <v>18</v>
      </c>
      <c r="K1305" s="7" t="str">
        <f>VLOOKUP(J1305,Introduction!$B$6:$C$14,2)</f>
        <v>Midlands</v>
      </c>
      <c r="L1305" s="13">
        <v>818</v>
      </c>
      <c r="M1305" s="8" t="s">
        <v>496</v>
      </c>
    </row>
    <row r="1306" spans="1:13" ht="19.95" customHeight="1" x14ac:dyDescent="0.25">
      <c r="A1306" s="40">
        <v>45352</v>
      </c>
      <c r="B1306" s="46">
        <f>MONTH(Table13[[#This Row],[YearMonth]])</f>
        <v>3</v>
      </c>
      <c r="C1306" s="5" t="s">
        <v>86</v>
      </c>
      <c r="D1306" s="6" t="s">
        <v>338</v>
      </c>
      <c r="E1306" s="6">
        <f>IF(Table13[[#This Row],[Quartile]]="TopQuartile", 1,
 IF(Table13[[#This Row],[Quartile]]="SecondQuartile", 2,
 IF(Table13[[#This Row],[Quartile]]="ThirdQuartile", 3,
 IF(Table13[[#This Row],[Quartile]]="FourthQuartile", 4, ""))))</f>
        <v>2</v>
      </c>
      <c r="F1306" s="5" t="s">
        <v>501</v>
      </c>
      <c r="G1306" s="5" t="str" cm="1">
        <f t="array" ref="G1306">IFERROR(
  INDEX(Table13[Quartile],
    MATCH(1,
      (Table13[[#This Row],[OrgName]]=Table13[OrgName]) *
      (Table13[[#This Row],[Month Number]]-1=Table13[Month Number]),
    0)
  ),
"")</f>
        <v>SecondQuartile</v>
      </c>
      <c r="H1306" s="5">
        <f>IF(Table13[[#This Row],[Previous Quartile]]="TopQuartile", 1,
 IF(Table13[[#This Row],[Previous Quartile]]="SecondQuartile", 2,
 IF(Table13[[#This Row],[Previous Quartile]]="ThirdQuartile", 3,
 IF(Table13[[#This Row],[Previous Quartile]]="FourthQuartile", 4, ""))))</f>
        <v>2</v>
      </c>
      <c r="I1306" s="5" t="str">
        <f>IF(Table13[[#This Row],[Previous Quartile Value]]="", "",
   IF(Table13[[#This Row],[Quartile Value]] &lt; Table13[[#This Row],[Previous Quartile Value]], "Improved",
   IF(Table13[[#This Row],[Quartile Value]] &gt; Table13[[#This Row],[Previous Quartile Value]], "Dropped", "Same")))</f>
        <v>Same</v>
      </c>
      <c r="J1306" s="5" t="s">
        <v>16</v>
      </c>
      <c r="K1306" s="7" t="str">
        <f>VLOOKUP(J1306,Introduction!$B$6:$C$14,2)</f>
        <v>South East</v>
      </c>
      <c r="L1306" s="13">
        <v>150</v>
      </c>
      <c r="M1306" s="8" t="s">
        <v>496</v>
      </c>
    </row>
    <row r="1307" spans="1:13" ht="19.95" customHeight="1" x14ac:dyDescent="0.25">
      <c r="A1307" s="40">
        <v>45352</v>
      </c>
      <c r="B1307" s="46">
        <f>MONTH(Table13[[#This Row],[YearMonth]])</f>
        <v>3</v>
      </c>
      <c r="C1307" s="5" t="s">
        <v>145</v>
      </c>
      <c r="D1307" s="6" t="s">
        <v>338</v>
      </c>
      <c r="E1307" s="6">
        <f>IF(Table13[[#This Row],[Quartile]]="TopQuartile", 1,
 IF(Table13[[#This Row],[Quartile]]="SecondQuartile", 2,
 IF(Table13[[#This Row],[Quartile]]="ThirdQuartile", 3,
 IF(Table13[[#This Row],[Quartile]]="FourthQuartile", 4, ""))))</f>
        <v>2</v>
      </c>
      <c r="F1307" s="5" t="s">
        <v>507</v>
      </c>
      <c r="G1307" s="5" t="str" cm="1">
        <f t="array" ref="G1307">IFERROR(
  INDEX(Table13[Quartile],
    MATCH(1,
      (Table13[[#This Row],[OrgName]]=Table13[OrgName]) *
      (Table13[[#This Row],[Month Number]]-1=Table13[Month Number]),
    0)
  ),
"")</f>
        <v>SecondQuartile</v>
      </c>
      <c r="H1307" s="5">
        <f>IF(Table13[[#This Row],[Previous Quartile]]="TopQuartile", 1,
 IF(Table13[[#This Row],[Previous Quartile]]="SecondQuartile", 2,
 IF(Table13[[#This Row],[Previous Quartile]]="ThirdQuartile", 3,
 IF(Table13[[#This Row],[Previous Quartile]]="FourthQuartile", 4, ""))))</f>
        <v>2</v>
      </c>
      <c r="I1307" s="5" t="str">
        <f>IF(Table13[[#This Row],[Previous Quartile Value]]="", "",
   IF(Table13[[#This Row],[Quartile Value]] &lt; Table13[[#This Row],[Previous Quartile Value]], "Improved",
   IF(Table13[[#This Row],[Quartile Value]] &gt; Table13[[#This Row],[Previous Quartile Value]], "Dropped", "Same")))</f>
        <v>Same</v>
      </c>
      <c r="J1307" s="5" t="s">
        <v>12</v>
      </c>
      <c r="K1307" s="7" t="str">
        <f>VLOOKUP(J1307,Introduction!$B$6:$C$14,2)</f>
        <v>London</v>
      </c>
      <c r="L1307" s="13">
        <v>811</v>
      </c>
      <c r="M1307" s="8" t="s">
        <v>496</v>
      </c>
    </row>
    <row r="1308" spans="1:13" ht="19.95" customHeight="1" x14ac:dyDescent="0.25">
      <c r="A1308" s="40">
        <v>45352</v>
      </c>
      <c r="B1308" s="46">
        <f>MONTH(Table13[[#This Row],[YearMonth]])</f>
        <v>3</v>
      </c>
      <c r="C1308" s="5" t="s">
        <v>134</v>
      </c>
      <c r="D1308" s="6" t="s">
        <v>338</v>
      </c>
      <c r="E1308" s="6">
        <f>IF(Table13[[#This Row],[Quartile]]="TopQuartile", 1,
 IF(Table13[[#This Row],[Quartile]]="SecondQuartile", 2,
 IF(Table13[[#This Row],[Quartile]]="ThirdQuartile", 3,
 IF(Table13[[#This Row],[Quartile]]="FourthQuartile", 4, ""))))</f>
        <v>2</v>
      </c>
      <c r="F1308" s="5" t="s">
        <v>506</v>
      </c>
      <c r="G1308" s="5" t="str" cm="1">
        <f t="array" ref="G1308">IFERROR(
  INDEX(Table13[Quartile],
    MATCH(1,
      (Table13[[#This Row],[OrgName]]=Table13[OrgName]) *
      (Table13[[#This Row],[Month Number]]-1=Table13[Month Number]),
    0)
  ),
"")</f>
        <v>SecondQuartile</v>
      </c>
      <c r="H1308" s="5">
        <f>IF(Table13[[#This Row],[Previous Quartile]]="TopQuartile", 1,
 IF(Table13[[#This Row],[Previous Quartile]]="SecondQuartile", 2,
 IF(Table13[[#This Row],[Previous Quartile]]="ThirdQuartile", 3,
 IF(Table13[[#This Row],[Previous Quartile]]="FourthQuartile", 4, ""))))</f>
        <v>2</v>
      </c>
      <c r="I1308" s="5" t="str">
        <f>IF(Table13[[#This Row],[Previous Quartile Value]]="", "",
   IF(Table13[[#This Row],[Quartile Value]] &lt; Table13[[#This Row],[Previous Quartile Value]], "Improved",
   IF(Table13[[#This Row],[Quartile Value]] &gt; Table13[[#This Row],[Previous Quartile Value]], "Dropped", "Same")))</f>
        <v>Same</v>
      </c>
      <c r="J1308" s="5" t="s">
        <v>24</v>
      </c>
      <c r="K1308" s="7" t="str">
        <f>VLOOKUP(J1308,Introduction!$B$6:$C$14,2)</f>
        <v>North East and Yorkshire</v>
      </c>
      <c r="L1308" s="13">
        <v>814</v>
      </c>
      <c r="M1308" s="8" t="s">
        <v>496</v>
      </c>
    </row>
    <row r="1309" spans="1:13" ht="19.95" customHeight="1" x14ac:dyDescent="0.25">
      <c r="A1309" s="40">
        <v>45352</v>
      </c>
      <c r="B1309" s="46">
        <f>MONTH(Table13[[#This Row],[YearMonth]])</f>
        <v>3</v>
      </c>
      <c r="C1309" s="5" t="s">
        <v>87</v>
      </c>
      <c r="D1309" s="6" t="s">
        <v>338</v>
      </c>
      <c r="E1309" s="6">
        <f>IF(Table13[[#This Row],[Quartile]]="TopQuartile", 1,
 IF(Table13[[#This Row],[Quartile]]="SecondQuartile", 2,
 IF(Table13[[#This Row],[Quartile]]="ThirdQuartile", 3,
 IF(Table13[[#This Row],[Quartile]]="FourthQuartile", 4, ""))))</f>
        <v>2</v>
      </c>
      <c r="F1309" s="5" t="s">
        <v>502</v>
      </c>
      <c r="G1309" s="5" t="str" cm="1">
        <f t="array" ref="G1309">IFERROR(
  INDEX(Table13[Quartile],
    MATCH(1,
      (Table13[[#This Row],[OrgName]]=Table13[OrgName]) *
      (Table13[[#This Row],[Month Number]]-1=Table13[Month Number]),
    0)
  ),
"")</f>
        <v>SecondQuartile</v>
      </c>
      <c r="H1309" s="5">
        <f>IF(Table13[[#This Row],[Previous Quartile]]="TopQuartile", 1,
 IF(Table13[[#This Row],[Previous Quartile]]="SecondQuartile", 2,
 IF(Table13[[#This Row],[Previous Quartile]]="ThirdQuartile", 3,
 IF(Table13[[#This Row],[Previous Quartile]]="FourthQuartile", 4, ""))))</f>
        <v>2</v>
      </c>
      <c r="I1309" s="5" t="str">
        <f>IF(Table13[[#This Row],[Previous Quartile Value]]="", "",
   IF(Table13[[#This Row],[Quartile Value]] &lt; Table13[[#This Row],[Previous Quartile Value]], "Improved",
   IF(Table13[[#This Row],[Quartile Value]] &gt; Table13[[#This Row],[Previous Quartile Value]], "Dropped", "Same")))</f>
        <v>Same</v>
      </c>
      <c r="J1309" s="5" t="s">
        <v>22</v>
      </c>
      <c r="K1309" s="7" t="str">
        <f>VLOOKUP(J1309,Introduction!$B$6:$C$14,2)</f>
        <v>North West</v>
      </c>
      <c r="L1309" s="13">
        <v>844</v>
      </c>
      <c r="M1309" s="8" t="s">
        <v>496</v>
      </c>
    </row>
    <row r="1310" spans="1:13" ht="19.95" customHeight="1" x14ac:dyDescent="0.25">
      <c r="A1310" s="40">
        <v>45352</v>
      </c>
      <c r="B1310" s="46">
        <f>MONTH(Table13[[#This Row],[YearMonth]])</f>
        <v>3</v>
      </c>
      <c r="C1310" s="5" t="s">
        <v>154</v>
      </c>
      <c r="D1310" s="6" t="s">
        <v>338</v>
      </c>
      <c r="E1310" s="6">
        <f>IF(Table13[[#This Row],[Quartile]]="TopQuartile", 1,
 IF(Table13[[#This Row],[Quartile]]="SecondQuartile", 2,
 IF(Table13[[#This Row],[Quartile]]="ThirdQuartile", 3,
 IF(Table13[[#This Row],[Quartile]]="FourthQuartile", 4, ""))))</f>
        <v>2</v>
      </c>
      <c r="F1310" s="5" t="s">
        <v>508</v>
      </c>
      <c r="G1310" s="5" t="str" cm="1">
        <f t="array" ref="G1310">IFERROR(
  INDEX(Table13[Quartile],
    MATCH(1,
      (Table13[[#This Row],[OrgName]]=Table13[OrgName]) *
      (Table13[[#This Row],[Month Number]]-1=Table13[Month Number]),
    0)
  ),
"")</f>
        <v>SecondQuartile</v>
      </c>
      <c r="H1310" s="5">
        <f>IF(Table13[[#This Row],[Previous Quartile]]="TopQuartile", 1,
 IF(Table13[[#This Row],[Previous Quartile]]="SecondQuartile", 2,
 IF(Table13[[#This Row],[Previous Quartile]]="ThirdQuartile", 3,
 IF(Table13[[#This Row],[Previous Quartile]]="FourthQuartile", 4, ""))))</f>
        <v>2</v>
      </c>
      <c r="I1310" s="5" t="str">
        <f>IF(Table13[[#This Row],[Previous Quartile Value]]="", "",
   IF(Table13[[#This Row],[Quartile Value]] &lt; Table13[[#This Row],[Previous Quartile Value]], "Improved",
   IF(Table13[[#This Row],[Quartile Value]] &gt; Table13[[#This Row],[Previous Quartile Value]], "Dropped", "Same")))</f>
        <v>Same</v>
      </c>
      <c r="J1310" s="5" t="s">
        <v>24</v>
      </c>
      <c r="K1310" s="7" t="str">
        <f>VLOOKUP(J1310,Introduction!$B$6:$C$14,2)</f>
        <v>North East and Yorkshire</v>
      </c>
      <c r="L1310" s="13">
        <v>816</v>
      </c>
      <c r="M1310" s="8" t="s">
        <v>496</v>
      </c>
    </row>
    <row r="1311" spans="1:13" ht="19.95" customHeight="1" x14ac:dyDescent="0.25">
      <c r="A1311" s="40">
        <v>45352</v>
      </c>
      <c r="B1311" s="46">
        <f>MONTH(Table13[[#This Row],[YearMonth]])</f>
        <v>3</v>
      </c>
      <c r="C1311" s="5" t="s">
        <v>133</v>
      </c>
      <c r="D1311" s="6" t="s">
        <v>338</v>
      </c>
      <c r="E1311" s="6">
        <f>IF(Table13[[#This Row],[Quartile]]="TopQuartile", 1,
 IF(Table13[[#This Row],[Quartile]]="SecondQuartile", 2,
 IF(Table13[[#This Row],[Quartile]]="ThirdQuartile", 3,
 IF(Table13[[#This Row],[Quartile]]="FourthQuartile", 4, ""))))</f>
        <v>2</v>
      </c>
      <c r="F1311" s="5" t="s">
        <v>505</v>
      </c>
      <c r="G1311" s="5" t="str" cm="1">
        <f t="array" ref="G1311">IFERROR(
  INDEX(Table13[Quartile],
    MATCH(1,
      (Table13[[#This Row],[OrgName]]=Table13[OrgName]) *
      (Table13[[#This Row],[Month Number]]-1=Table13[Month Number]),
    0)
  ),
"")</f>
        <v>SecondQuartile</v>
      </c>
      <c r="H1311" s="5">
        <f>IF(Table13[[#This Row],[Previous Quartile]]="TopQuartile", 1,
 IF(Table13[[#This Row],[Previous Quartile]]="SecondQuartile", 2,
 IF(Table13[[#This Row],[Previous Quartile]]="ThirdQuartile", 3,
 IF(Table13[[#This Row],[Previous Quartile]]="FourthQuartile", 4, ""))))</f>
        <v>2</v>
      </c>
      <c r="I1311" s="5" t="str">
        <f>IF(Table13[[#This Row],[Previous Quartile Value]]="", "",
   IF(Table13[[#This Row],[Quartile Value]] &lt; Table13[[#This Row],[Previous Quartile Value]], "Improved",
   IF(Table13[[#This Row],[Quartile Value]] &gt; Table13[[#This Row],[Previous Quartile Value]], "Dropped", "Same")))</f>
        <v>Same</v>
      </c>
      <c r="J1311" s="5" t="s">
        <v>20</v>
      </c>
      <c r="K1311" s="7" t="str">
        <f>VLOOKUP(J1311,Introduction!$B$6:$C$14,2)</f>
        <v>East of England</v>
      </c>
      <c r="L1311" s="13">
        <v>849</v>
      </c>
      <c r="M1311" s="8" t="s">
        <v>496</v>
      </c>
    </row>
    <row r="1312" spans="1:13" ht="19.95" customHeight="1" x14ac:dyDescent="0.25">
      <c r="A1312" s="40">
        <v>45352</v>
      </c>
      <c r="B1312" s="46">
        <f>MONTH(Table13[[#This Row],[YearMonth]])</f>
        <v>3</v>
      </c>
      <c r="C1312" s="5" t="s">
        <v>158</v>
      </c>
      <c r="D1312" s="6" t="s">
        <v>338</v>
      </c>
      <c r="E1312" s="6">
        <f>IF(Table13[[#This Row],[Quartile]]="TopQuartile", 1,
 IF(Table13[[#This Row],[Quartile]]="SecondQuartile", 2,
 IF(Table13[[#This Row],[Quartile]]="ThirdQuartile", 3,
 IF(Table13[[#This Row],[Quartile]]="FourthQuartile", 4, ""))))</f>
        <v>2</v>
      </c>
      <c r="F1312" s="5" t="s">
        <v>510</v>
      </c>
      <c r="G1312" s="5" t="str" cm="1">
        <f t="array" ref="G1312">IFERROR(
  INDEX(Table13[Quartile],
    MATCH(1,
      (Table13[[#This Row],[OrgName]]=Table13[OrgName]) *
      (Table13[[#This Row],[Month Number]]-1=Table13[Month Number]),
    0)
  ),
"")</f>
        <v>SecondQuartile</v>
      </c>
      <c r="H1312" s="5">
        <f>IF(Table13[[#This Row],[Previous Quartile]]="TopQuartile", 1,
 IF(Table13[[#This Row],[Previous Quartile]]="SecondQuartile", 2,
 IF(Table13[[#This Row],[Previous Quartile]]="ThirdQuartile", 3,
 IF(Table13[[#This Row],[Previous Quartile]]="FourthQuartile", 4, ""))))</f>
        <v>2</v>
      </c>
      <c r="I1312" s="5" t="str">
        <f>IF(Table13[[#This Row],[Previous Quartile Value]]="", "",
   IF(Table13[[#This Row],[Quartile Value]] &lt; Table13[[#This Row],[Previous Quartile Value]], "Improved",
   IF(Table13[[#This Row],[Quartile Value]] &gt; Table13[[#This Row],[Previous Quartile Value]], "Dropped", "Same")))</f>
        <v>Same</v>
      </c>
      <c r="J1312" s="5" t="s">
        <v>12</v>
      </c>
      <c r="K1312" s="7" t="str">
        <f>VLOOKUP(J1312,Introduction!$B$6:$C$14,2)</f>
        <v>London</v>
      </c>
      <c r="L1312" s="13">
        <v>779</v>
      </c>
      <c r="M1312" s="8" t="s">
        <v>496</v>
      </c>
    </row>
    <row r="1313" spans="1:13" ht="19.95" customHeight="1" x14ac:dyDescent="0.25">
      <c r="A1313" s="40">
        <v>45352</v>
      </c>
      <c r="B1313" s="46">
        <f>MONTH(Table13[[#This Row],[YearMonth]])</f>
        <v>3</v>
      </c>
      <c r="C1313" s="5" t="s">
        <v>57</v>
      </c>
      <c r="D1313" s="6" t="s">
        <v>338</v>
      </c>
      <c r="E1313" s="6">
        <f>IF(Table13[[#This Row],[Quartile]]="TopQuartile", 1,
 IF(Table13[[#This Row],[Quartile]]="SecondQuartile", 2,
 IF(Table13[[#This Row],[Quartile]]="ThirdQuartile", 3,
 IF(Table13[[#This Row],[Quartile]]="FourthQuartile", 4, ""))))</f>
        <v>2</v>
      </c>
      <c r="F1313" s="5" t="s">
        <v>499</v>
      </c>
      <c r="G1313" s="5" t="str" cm="1">
        <f t="array" ref="G1313">IFERROR(
  INDEX(Table13[Quartile],
    MATCH(1,
      (Table13[[#This Row],[OrgName]]=Table13[OrgName]) *
      (Table13[[#This Row],[Month Number]]-1=Table13[Month Number]),
    0)
  ),
"")</f>
        <v>TopQuartile</v>
      </c>
      <c r="H1313" s="5">
        <f>IF(Table13[[#This Row],[Previous Quartile]]="TopQuartile", 1,
 IF(Table13[[#This Row],[Previous Quartile]]="SecondQuartile", 2,
 IF(Table13[[#This Row],[Previous Quartile]]="ThirdQuartile", 3,
 IF(Table13[[#This Row],[Previous Quartile]]="FourthQuartile", 4, ""))))</f>
        <v>1</v>
      </c>
      <c r="I1313" s="5" t="str">
        <f>IF(Table13[[#This Row],[Previous Quartile Value]]="", "",
   IF(Table13[[#This Row],[Quartile Value]] &lt; Table13[[#This Row],[Previous Quartile Value]], "Improved",
   IF(Table13[[#This Row],[Quartile Value]] &gt; Table13[[#This Row],[Previous Quartile Value]], "Dropped", "Same")))</f>
        <v>Dropped</v>
      </c>
      <c r="J1313" s="5" t="s">
        <v>14</v>
      </c>
      <c r="K1313" s="7" t="str">
        <f>VLOOKUP(J1313,Introduction!$B$6:$C$14,2)</f>
        <v>South West</v>
      </c>
      <c r="L1313" s="13">
        <v>85</v>
      </c>
      <c r="M1313" s="8" t="s">
        <v>496</v>
      </c>
    </row>
    <row r="1314" spans="1:13" ht="19.95" customHeight="1" x14ac:dyDescent="0.25">
      <c r="A1314" s="40">
        <v>45352</v>
      </c>
      <c r="B1314" s="46">
        <f>MONTH(Table13[[#This Row],[YearMonth]])</f>
        <v>3</v>
      </c>
      <c r="C1314" s="5" t="s">
        <v>175</v>
      </c>
      <c r="D1314" s="6" t="s">
        <v>338</v>
      </c>
      <c r="E1314" s="6">
        <f>IF(Table13[[#This Row],[Quartile]]="TopQuartile", 1,
 IF(Table13[[#This Row],[Quartile]]="SecondQuartile", 2,
 IF(Table13[[#This Row],[Quartile]]="ThirdQuartile", 3,
 IF(Table13[[#This Row],[Quartile]]="FourthQuartile", 4, ""))))</f>
        <v>2</v>
      </c>
      <c r="F1314" s="5" t="s">
        <v>512</v>
      </c>
      <c r="G1314" s="5" t="str" cm="1">
        <f t="array" ref="G1314">IFERROR(
  INDEX(Table13[Quartile],
    MATCH(1,
      (Table13[[#This Row],[OrgName]]=Table13[OrgName]) *
      (Table13[[#This Row],[Month Number]]-1=Table13[Month Number]),
    0)
  ),
"")</f>
        <v>SecondQuartile</v>
      </c>
      <c r="H1314" s="5">
        <f>IF(Table13[[#This Row],[Previous Quartile]]="TopQuartile", 1,
 IF(Table13[[#This Row],[Previous Quartile]]="SecondQuartile", 2,
 IF(Table13[[#This Row],[Previous Quartile]]="ThirdQuartile", 3,
 IF(Table13[[#This Row],[Previous Quartile]]="FourthQuartile", 4, ""))))</f>
        <v>2</v>
      </c>
      <c r="I1314" s="5" t="str">
        <f>IF(Table13[[#This Row],[Previous Quartile Value]]="", "",
   IF(Table13[[#This Row],[Quartile Value]] &lt; Table13[[#This Row],[Previous Quartile Value]], "Improved",
   IF(Table13[[#This Row],[Quartile Value]] &gt; Table13[[#This Row],[Previous Quartile Value]], "Dropped", "Same")))</f>
        <v>Same</v>
      </c>
      <c r="J1314" s="5" t="s">
        <v>18</v>
      </c>
      <c r="K1314" s="7" t="str">
        <f>VLOOKUP(J1314,Introduction!$B$6:$C$14,2)</f>
        <v>Midlands</v>
      </c>
      <c r="L1314" s="13">
        <v>798</v>
      </c>
      <c r="M1314" s="8" t="s">
        <v>496</v>
      </c>
    </row>
    <row r="1315" spans="1:13" ht="19.95" customHeight="1" x14ac:dyDescent="0.25">
      <c r="A1315" s="40">
        <v>45352</v>
      </c>
      <c r="B1315" s="46">
        <f>MONTH(Table13[[#This Row],[YearMonth]])</f>
        <v>3</v>
      </c>
      <c r="C1315" s="5" t="s">
        <v>199</v>
      </c>
      <c r="D1315" s="6" t="s">
        <v>341</v>
      </c>
      <c r="E1315" s="6">
        <f>IF(Table13[[#This Row],[Quartile]]="TopQuartile", 1,
 IF(Table13[[#This Row],[Quartile]]="SecondQuartile", 2,
 IF(Table13[[#This Row],[Quartile]]="ThirdQuartile", 3,
 IF(Table13[[#This Row],[Quartile]]="FourthQuartile", 4, ""))))</f>
        <v>3</v>
      </c>
      <c r="F1315" s="5" t="s">
        <v>515</v>
      </c>
      <c r="G1315" s="5" t="str" cm="1">
        <f t="array" ref="G1315">IFERROR(
  INDEX(Table13[Quartile],
    MATCH(1,
      (Table13[[#This Row],[OrgName]]=Table13[OrgName]) *
      (Table13[[#This Row],[Month Number]]-1=Table13[Month Number]),
    0)
  ),
"")</f>
        <v>ThirdQuartile</v>
      </c>
      <c r="H1315" s="5">
        <f>IF(Table13[[#This Row],[Previous Quartile]]="TopQuartile", 1,
 IF(Table13[[#This Row],[Previous Quartile]]="SecondQuartile", 2,
 IF(Table13[[#This Row],[Previous Quartile]]="ThirdQuartile", 3,
 IF(Table13[[#This Row],[Previous Quartile]]="FourthQuartile", 4, ""))))</f>
        <v>3</v>
      </c>
      <c r="I1315" s="5" t="str">
        <f>IF(Table13[[#This Row],[Previous Quartile Value]]="", "",
   IF(Table13[[#This Row],[Quartile Value]] &lt; Table13[[#This Row],[Previous Quartile Value]], "Improved",
   IF(Table13[[#This Row],[Quartile Value]] &gt; Table13[[#This Row],[Previous Quartile Value]], "Dropped", "Same")))</f>
        <v>Same</v>
      </c>
      <c r="J1315" s="5" t="s">
        <v>24</v>
      </c>
      <c r="K1315" s="7" t="str">
        <f>VLOOKUP(J1315,Introduction!$B$6:$C$14,2)</f>
        <v>North East and Yorkshire</v>
      </c>
      <c r="L1315" s="13">
        <v>810</v>
      </c>
      <c r="M1315" s="8" t="s">
        <v>496</v>
      </c>
    </row>
    <row r="1316" spans="1:13" ht="19.95" customHeight="1" x14ac:dyDescent="0.25">
      <c r="A1316" s="40">
        <v>45352</v>
      </c>
      <c r="B1316" s="46">
        <f>MONTH(Table13[[#This Row],[YearMonth]])</f>
        <v>3</v>
      </c>
      <c r="C1316" s="5" t="s">
        <v>193</v>
      </c>
      <c r="D1316" s="6" t="s">
        <v>341</v>
      </c>
      <c r="E1316" s="6">
        <f>IF(Table13[[#This Row],[Quartile]]="TopQuartile", 1,
 IF(Table13[[#This Row],[Quartile]]="SecondQuartile", 2,
 IF(Table13[[#This Row],[Quartile]]="ThirdQuartile", 3,
 IF(Table13[[#This Row],[Quartile]]="FourthQuartile", 4, ""))))</f>
        <v>3</v>
      </c>
      <c r="F1316" s="5" t="s">
        <v>513</v>
      </c>
      <c r="G1316" s="5" t="str" cm="1">
        <f t="array" ref="G1316">IFERROR(
  INDEX(Table13[Quartile],
    MATCH(1,
      (Table13[[#This Row],[OrgName]]=Table13[OrgName]) *
      (Table13[[#This Row],[Month Number]]-1=Table13[Month Number]),
    0)
  ),
"")</f>
        <v>ThirdQuartile</v>
      </c>
      <c r="H1316" s="5">
        <f>IF(Table13[[#This Row],[Previous Quartile]]="TopQuartile", 1,
 IF(Table13[[#This Row],[Previous Quartile]]="SecondQuartile", 2,
 IF(Table13[[#This Row],[Previous Quartile]]="ThirdQuartile", 3,
 IF(Table13[[#This Row],[Previous Quartile]]="FourthQuartile", 4, ""))))</f>
        <v>3</v>
      </c>
      <c r="I1316" s="5" t="str">
        <f>IF(Table13[[#This Row],[Previous Quartile Value]]="", "",
   IF(Table13[[#This Row],[Quartile Value]] &lt; Table13[[#This Row],[Previous Quartile Value]], "Improved",
   IF(Table13[[#This Row],[Quartile Value]] &gt; Table13[[#This Row],[Previous Quartile Value]], "Dropped", "Same")))</f>
        <v>Same</v>
      </c>
      <c r="J1316" s="5" t="s">
        <v>20</v>
      </c>
      <c r="K1316" s="7" t="str">
        <f>VLOOKUP(J1316,Introduction!$B$6:$C$14,2)</f>
        <v>East of England</v>
      </c>
      <c r="L1316" s="13">
        <v>448</v>
      </c>
      <c r="M1316" s="8" t="s">
        <v>496</v>
      </c>
    </row>
    <row r="1317" spans="1:13" ht="19.95" customHeight="1" x14ac:dyDescent="0.25">
      <c r="A1317" s="40">
        <v>45352</v>
      </c>
      <c r="B1317" s="46">
        <f>MONTH(Table13[[#This Row],[YearMonth]])</f>
        <v>3</v>
      </c>
      <c r="C1317" s="5" t="s">
        <v>196</v>
      </c>
      <c r="D1317" s="6" t="s">
        <v>341</v>
      </c>
      <c r="E1317" s="6">
        <f>IF(Table13[[#This Row],[Quartile]]="TopQuartile", 1,
 IF(Table13[[#This Row],[Quartile]]="SecondQuartile", 2,
 IF(Table13[[#This Row],[Quartile]]="ThirdQuartile", 3,
 IF(Table13[[#This Row],[Quartile]]="FourthQuartile", 4, ""))))</f>
        <v>3</v>
      </c>
      <c r="F1317" s="5" t="s">
        <v>514</v>
      </c>
      <c r="G1317" s="5" t="str" cm="1">
        <f t="array" ref="G1317">IFERROR(
  INDEX(Table13[Quartile],
    MATCH(1,
      (Table13[[#This Row],[OrgName]]=Table13[OrgName]) *
      (Table13[[#This Row],[Month Number]]-1=Table13[Month Number]),
    0)
  ),
"")</f>
        <v>ThirdQuartile</v>
      </c>
      <c r="H1317" s="5">
        <f>IF(Table13[[#This Row],[Previous Quartile]]="TopQuartile", 1,
 IF(Table13[[#This Row],[Previous Quartile]]="SecondQuartile", 2,
 IF(Table13[[#This Row],[Previous Quartile]]="ThirdQuartile", 3,
 IF(Table13[[#This Row],[Previous Quartile]]="FourthQuartile", 4, ""))))</f>
        <v>3</v>
      </c>
      <c r="I1317" s="5" t="str">
        <f>IF(Table13[[#This Row],[Previous Quartile Value]]="", "",
   IF(Table13[[#This Row],[Quartile Value]] &lt; Table13[[#This Row],[Previous Quartile Value]], "Improved",
   IF(Table13[[#This Row],[Quartile Value]] &gt; Table13[[#This Row],[Previous Quartile Value]], "Dropped", "Same")))</f>
        <v>Same</v>
      </c>
      <c r="J1317" s="5" t="s">
        <v>18</v>
      </c>
      <c r="K1317" s="7" t="str">
        <f>VLOOKUP(J1317,Introduction!$B$6:$C$14,2)</f>
        <v>Midlands</v>
      </c>
      <c r="L1317" s="13">
        <v>842</v>
      </c>
      <c r="M1317" s="8" t="s">
        <v>496</v>
      </c>
    </row>
    <row r="1318" spans="1:13" ht="19.95" customHeight="1" x14ac:dyDescent="0.25">
      <c r="A1318" s="40">
        <v>45352</v>
      </c>
      <c r="B1318" s="46">
        <f>MONTH(Table13[[#This Row],[YearMonth]])</f>
        <v>3</v>
      </c>
      <c r="C1318" s="5" t="s">
        <v>171</v>
      </c>
      <c r="D1318" s="6" t="s">
        <v>341</v>
      </c>
      <c r="E1318" s="6">
        <f>IF(Table13[[#This Row],[Quartile]]="TopQuartile", 1,
 IF(Table13[[#This Row],[Quartile]]="SecondQuartile", 2,
 IF(Table13[[#This Row],[Quartile]]="ThirdQuartile", 3,
 IF(Table13[[#This Row],[Quartile]]="FourthQuartile", 4, ""))))</f>
        <v>3</v>
      </c>
      <c r="F1318" s="5" t="s">
        <v>511</v>
      </c>
      <c r="G1318" s="5" t="str" cm="1">
        <f t="array" ref="G1318">IFERROR(
  INDEX(Table13[Quartile],
    MATCH(1,
      (Table13[[#This Row],[OrgName]]=Table13[OrgName]) *
      (Table13[[#This Row],[Month Number]]-1=Table13[Month Number]),
    0)
  ),
"")</f>
        <v>ThirdQuartile</v>
      </c>
      <c r="H1318" s="5">
        <f>IF(Table13[[#This Row],[Previous Quartile]]="TopQuartile", 1,
 IF(Table13[[#This Row],[Previous Quartile]]="SecondQuartile", 2,
 IF(Table13[[#This Row],[Previous Quartile]]="ThirdQuartile", 3,
 IF(Table13[[#This Row],[Previous Quartile]]="FourthQuartile", 4, ""))))</f>
        <v>3</v>
      </c>
      <c r="I1318" s="5" t="str">
        <f>IF(Table13[[#This Row],[Previous Quartile Value]]="", "",
   IF(Table13[[#This Row],[Quartile Value]] &lt; Table13[[#This Row],[Previous Quartile Value]], "Improved",
   IF(Table13[[#This Row],[Quartile Value]] &gt; Table13[[#This Row],[Previous Quartile Value]], "Dropped", "Same")))</f>
        <v>Same</v>
      </c>
      <c r="J1318" s="5" t="s">
        <v>20</v>
      </c>
      <c r="K1318" s="7" t="str">
        <f>VLOOKUP(J1318,Introduction!$B$6:$C$14,2)</f>
        <v>East of England</v>
      </c>
      <c r="L1318" s="13">
        <v>839</v>
      </c>
      <c r="M1318" s="8" t="s">
        <v>496</v>
      </c>
    </row>
    <row r="1319" spans="1:13" ht="19.95" customHeight="1" x14ac:dyDescent="0.25">
      <c r="A1319" s="40">
        <v>45352</v>
      </c>
      <c r="B1319" s="46">
        <f>MONTH(Table13[[#This Row],[YearMonth]])</f>
        <v>3</v>
      </c>
      <c r="C1319" s="5" t="s">
        <v>156</v>
      </c>
      <c r="D1319" s="6" t="s">
        <v>341</v>
      </c>
      <c r="E1319" s="6">
        <f>IF(Table13[[#This Row],[Quartile]]="TopQuartile", 1,
 IF(Table13[[#This Row],[Quartile]]="SecondQuartile", 2,
 IF(Table13[[#This Row],[Quartile]]="ThirdQuartile", 3,
 IF(Table13[[#This Row],[Quartile]]="FourthQuartile", 4, ""))))</f>
        <v>3</v>
      </c>
      <c r="F1319" s="5" t="s">
        <v>509</v>
      </c>
      <c r="G1319" s="5" t="str" cm="1">
        <f t="array" ref="G1319">IFERROR(
  INDEX(Table13[Quartile],
    MATCH(1,
      (Table13[[#This Row],[OrgName]]=Table13[OrgName]) *
      (Table13[[#This Row],[Month Number]]-1=Table13[Month Number]),
    0)
  ),
"")</f>
        <v>ThirdQuartile</v>
      </c>
      <c r="H1319" s="5">
        <f>IF(Table13[[#This Row],[Previous Quartile]]="TopQuartile", 1,
 IF(Table13[[#This Row],[Previous Quartile]]="SecondQuartile", 2,
 IF(Table13[[#This Row],[Previous Quartile]]="ThirdQuartile", 3,
 IF(Table13[[#This Row],[Previous Quartile]]="FourthQuartile", 4, ""))))</f>
        <v>3</v>
      </c>
      <c r="I1319" s="5" t="str">
        <f>IF(Table13[[#This Row],[Previous Quartile Value]]="", "",
   IF(Table13[[#This Row],[Quartile Value]] &lt; Table13[[#This Row],[Previous Quartile Value]], "Improved",
   IF(Table13[[#This Row],[Quartile Value]] &gt; Table13[[#This Row],[Previous Quartile Value]], "Dropped", "Same")))</f>
        <v>Same</v>
      </c>
      <c r="J1319" s="5" t="s">
        <v>20</v>
      </c>
      <c r="K1319" s="7" t="str">
        <f>VLOOKUP(J1319,Introduction!$B$6:$C$14,2)</f>
        <v>East of England</v>
      </c>
      <c r="L1319" s="13">
        <v>812</v>
      </c>
      <c r="M1319" s="8" t="s">
        <v>496</v>
      </c>
    </row>
    <row r="1320" spans="1:13" ht="19.95" customHeight="1" x14ac:dyDescent="0.25">
      <c r="A1320" s="40">
        <v>45352</v>
      </c>
      <c r="B1320" s="46">
        <f>MONTH(Table13[[#This Row],[YearMonth]])</f>
        <v>3</v>
      </c>
      <c r="C1320" s="5" t="s">
        <v>219</v>
      </c>
      <c r="D1320" s="6" t="s">
        <v>341</v>
      </c>
      <c r="E1320" s="6">
        <f>IF(Table13[[#This Row],[Quartile]]="TopQuartile", 1,
 IF(Table13[[#This Row],[Quartile]]="SecondQuartile", 2,
 IF(Table13[[#This Row],[Quartile]]="ThirdQuartile", 3,
 IF(Table13[[#This Row],[Quartile]]="FourthQuartile", 4, ""))))</f>
        <v>3</v>
      </c>
      <c r="F1320" s="5" t="s">
        <v>516</v>
      </c>
      <c r="G1320" s="5" t="str" cm="1">
        <f t="array" ref="G1320">IFERROR(
  INDEX(Table13[Quartile],
    MATCH(1,
      (Table13[[#This Row],[OrgName]]=Table13[OrgName]) *
      (Table13[[#This Row],[Month Number]]-1=Table13[Month Number]),
    0)
  ),
"")</f>
        <v>ThirdQuartile</v>
      </c>
      <c r="H1320" s="5">
        <f>IF(Table13[[#This Row],[Previous Quartile]]="TopQuartile", 1,
 IF(Table13[[#This Row],[Previous Quartile]]="SecondQuartile", 2,
 IF(Table13[[#This Row],[Previous Quartile]]="ThirdQuartile", 3,
 IF(Table13[[#This Row],[Previous Quartile]]="FourthQuartile", 4, ""))))</f>
        <v>3</v>
      </c>
      <c r="I1320" s="5" t="str">
        <f>IF(Table13[[#This Row],[Previous Quartile Value]]="", "",
   IF(Table13[[#This Row],[Quartile Value]] &lt; Table13[[#This Row],[Previous Quartile Value]], "Improved",
   IF(Table13[[#This Row],[Quartile Value]] &gt; Table13[[#This Row],[Previous Quartile Value]], "Dropped", "Same")))</f>
        <v>Same</v>
      </c>
      <c r="J1320" s="5" t="s">
        <v>22</v>
      </c>
      <c r="K1320" s="7" t="str">
        <f>VLOOKUP(J1320,Introduction!$B$6:$C$14,2)</f>
        <v>North West</v>
      </c>
      <c r="L1320" s="13">
        <v>835</v>
      </c>
      <c r="M1320" s="8" t="s">
        <v>496</v>
      </c>
    </row>
    <row r="1321" spans="1:13" ht="19.95" customHeight="1" x14ac:dyDescent="0.25">
      <c r="A1321" s="40">
        <v>45352</v>
      </c>
      <c r="B1321" s="46">
        <f>MONTH(Table13[[#This Row],[YearMonth]])</f>
        <v>3</v>
      </c>
      <c r="C1321" s="5" t="s">
        <v>230</v>
      </c>
      <c r="D1321" s="6" t="s">
        <v>341</v>
      </c>
      <c r="E1321" s="6">
        <f>IF(Table13[[#This Row],[Quartile]]="TopQuartile", 1,
 IF(Table13[[#This Row],[Quartile]]="SecondQuartile", 2,
 IF(Table13[[#This Row],[Quartile]]="ThirdQuartile", 3,
 IF(Table13[[#This Row],[Quartile]]="FourthQuartile", 4, ""))))</f>
        <v>3</v>
      </c>
      <c r="F1321" s="5" t="s">
        <v>517</v>
      </c>
      <c r="G1321" s="5" t="str" cm="1">
        <f t="array" ref="G1321">IFERROR(
  INDEX(Table13[Quartile],
    MATCH(1,
      (Table13[[#This Row],[OrgName]]=Table13[OrgName]) *
      (Table13[[#This Row],[Month Number]]-1=Table13[Month Number]),
    0)
  ),
"")</f>
        <v>ThirdQuartile</v>
      </c>
      <c r="H1321" s="5">
        <f>IF(Table13[[#This Row],[Previous Quartile]]="TopQuartile", 1,
 IF(Table13[[#This Row],[Previous Quartile]]="SecondQuartile", 2,
 IF(Table13[[#This Row],[Previous Quartile]]="ThirdQuartile", 3,
 IF(Table13[[#This Row],[Previous Quartile]]="FourthQuartile", 4, ""))))</f>
        <v>3</v>
      </c>
      <c r="I1321" s="5" t="str">
        <f>IF(Table13[[#This Row],[Previous Quartile Value]]="", "",
   IF(Table13[[#This Row],[Quartile Value]] &lt; Table13[[#This Row],[Previous Quartile Value]], "Improved",
   IF(Table13[[#This Row],[Quartile Value]] &gt; Table13[[#This Row],[Previous Quartile Value]], "Dropped", "Same")))</f>
        <v>Same</v>
      </c>
      <c r="J1321" s="5" t="s">
        <v>18</v>
      </c>
      <c r="K1321" s="7" t="str">
        <f>VLOOKUP(J1321,Introduction!$B$6:$C$14,2)</f>
        <v>Midlands</v>
      </c>
      <c r="L1321" s="13">
        <v>826</v>
      </c>
      <c r="M1321" s="8" t="s">
        <v>496</v>
      </c>
    </row>
    <row r="1322" spans="1:13" ht="19.95" customHeight="1" x14ac:dyDescent="0.25">
      <c r="A1322" s="40">
        <v>45352</v>
      </c>
      <c r="B1322" s="46">
        <f>MONTH(Table13[[#This Row],[YearMonth]])</f>
        <v>3</v>
      </c>
      <c r="C1322" s="5" t="s">
        <v>117</v>
      </c>
      <c r="D1322" s="6" t="s">
        <v>341</v>
      </c>
      <c r="E1322" s="6">
        <f>IF(Table13[[#This Row],[Quartile]]="TopQuartile", 1,
 IF(Table13[[#This Row],[Quartile]]="SecondQuartile", 2,
 IF(Table13[[#This Row],[Quartile]]="ThirdQuartile", 3,
 IF(Table13[[#This Row],[Quartile]]="FourthQuartile", 4, ""))))</f>
        <v>3</v>
      </c>
      <c r="F1322" s="5" t="s">
        <v>504</v>
      </c>
      <c r="G1322" s="5" t="str" cm="1">
        <f t="array" ref="G1322">IFERROR(
  INDEX(Table13[Quartile],
    MATCH(1,
      (Table13[[#This Row],[OrgName]]=Table13[OrgName]) *
      (Table13[[#This Row],[Month Number]]-1=Table13[Month Number]),
    0)
  ),
"")</f>
        <v>ThirdQuartile</v>
      </c>
      <c r="H1322" s="5">
        <f>IF(Table13[[#This Row],[Previous Quartile]]="TopQuartile", 1,
 IF(Table13[[#This Row],[Previous Quartile]]="SecondQuartile", 2,
 IF(Table13[[#This Row],[Previous Quartile]]="ThirdQuartile", 3,
 IF(Table13[[#This Row],[Previous Quartile]]="FourthQuartile", 4, ""))))</f>
        <v>3</v>
      </c>
      <c r="I1322" s="5" t="str">
        <f>IF(Table13[[#This Row],[Previous Quartile Value]]="", "",
   IF(Table13[[#This Row],[Quartile Value]] &lt; Table13[[#This Row],[Previous Quartile Value]], "Improved",
   IF(Table13[[#This Row],[Quartile Value]] &gt; Table13[[#This Row],[Previous Quartile Value]], "Dropped", "Same")))</f>
        <v>Same</v>
      </c>
      <c r="J1322" s="5" t="s">
        <v>24</v>
      </c>
      <c r="K1322" s="7" t="str">
        <f>VLOOKUP(J1322,Introduction!$B$6:$C$14,2)</f>
        <v>North East and Yorkshire</v>
      </c>
      <c r="L1322" s="13">
        <v>847</v>
      </c>
      <c r="M1322" s="8" t="s">
        <v>496</v>
      </c>
    </row>
    <row r="1323" spans="1:13" ht="19.95" customHeight="1" x14ac:dyDescent="0.25">
      <c r="A1323" s="40">
        <v>45352</v>
      </c>
      <c r="B1323" s="46">
        <f>MONTH(Table13[[#This Row],[YearMonth]])</f>
        <v>3</v>
      </c>
      <c r="C1323" s="5" t="s">
        <v>238</v>
      </c>
      <c r="D1323" s="6" t="s">
        <v>341</v>
      </c>
      <c r="E1323" s="6">
        <f>IF(Table13[[#This Row],[Quartile]]="TopQuartile", 1,
 IF(Table13[[#This Row],[Quartile]]="SecondQuartile", 2,
 IF(Table13[[#This Row],[Quartile]]="ThirdQuartile", 3,
 IF(Table13[[#This Row],[Quartile]]="FourthQuartile", 4, ""))))</f>
        <v>3</v>
      </c>
      <c r="F1323" s="5" t="s">
        <v>519</v>
      </c>
      <c r="G1323" s="5" t="str" cm="1">
        <f t="array" ref="G1323">IFERROR(
  INDEX(Table13[Quartile],
    MATCH(1,
      (Table13[[#This Row],[OrgName]]=Table13[OrgName]) *
      (Table13[[#This Row],[Month Number]]-1=Table13[Month Number]),
    0)
  ),
"")</f>
        <v>ThirdQuartile</v>
      </c>
      <c r="H1323" s="5">
        <f>IF(Table13[[#This Row],[Previous Quartile]]="TopQuartile", 1,
 IF(Table13[[#This Row],[Previous Quartile]]="SecondQuartile", 2,
 IF(Table13[[#This Row],[Previous Quartile]]="ThirdQuartile", 3,
 IF(Table13[[#This Row],[Previous Quartile]]="FourthQuartile", 4, ""))))</f>
        <v>3</v>
      </c>
      <c r="I1323" s="5" t="str">
        <f>IF(Table13[[#This Row],[Previous Quartile Value]]="", "",
   IF(Table13[[#This Row],[Quartile Value]] &lt; Table13[[#This Row],[Previous Quartile Value]], "Improved",
   IF(Table13[[#This Row],[Quartile Value]] &gt; Table13[[#This Row],[Previous Quartile Value]], "Dropped", "Same")))</f>
        <v>Same</v>
      </c>
      <c r="J1323" s="5" t="s">
        <v>24</v>
      </c>
      <c r="K1323" s="7" t="str">
        <f>VLOOKUP(J1323,Introduction!$B$6:$C$14,2)</f>
        <v>North East and Yorkshire</v>
      </c>
      <c r="L1323" s="13">
        <v>845</v>
      </c>
      <c r="M1323" s="8" t="s">
        <v>496</v>
      </c>
    </row>
    <row r="1324" spans="1:13" ht="19.95" customHeight="1" x14ac:dyDescent="0.25">
      <c r="A1324" s="40">
        <v>45352</v>
      </c>
      <c r="B1324" s="46">
        <f>MONTH(Table13[[#This Row],[YearMonth]])</f>
        <v>3</v>
      </c>
      <c r="C1324" s="5" t="s">
        <v>233</v>
      </c>
      <c r="D1324" s="6" t="s">
        <v>341</v>
      </c>
      <c r="E1324" s="6">
        <f>IF(Table13[[#This Row],[Quartile]]="TopQuartile", 1,
 IF(Table13[[#This Row],[Quartile]]="SecondQuartile", 2,
 IF(Table13[[#This Row],[Quartile]]="ThirdQuartile", 3,
 IF(Table13[[#This Row],[Quartile]]="FourthQuartile", 4, ""))))</f>
        <v>3</v>
      </c>
      <c r="F1324" s="5" t="s">
        <v>518</v>
      </c>
      <c r="G1324" s="5" t="str" cm="1">
        <f t="array" ref="G1324">IFERROR(
  INDEX(Table13[Quartile],
    MATCH(1,
      (Table13[[#This Row],[OrgName]]=Table13[OrgName]) *
      (Table13[[#This Row],[Month Number]]-1=Table13[Month Number]),
    0)
  ),
"")</f>
        <v>ThirdQuartile</v>
      </c>
      <c r="H1324" s="5">
        <f>IF(Table13[[#This Row],[Previous Quartile]]="TopQuartile", 1,
 IF(Table13[[#This Row],[Previous Quartile]]="SecondQuartile", 2,
 IF(Table13[[#This Row],[Previous Quartile]]="ThirdQuartile", 3,
 IF(Table13[[#This Row],[Previous Quartile]]="FourthQuartile", 4, ""))))</f>
        <v>3</v>
      </c>
      <c r="I1324" s="5" t="str">
        <f>IF(Table13[[#This Row],[Previous Quartile Value]]="", "",
   IF(Table13[[#This Row],[Quartile Value]] &lt; Table13[[#This Row],[Previous Quartile Value]], "Improved",
   IF(Table13[[#This Row],[Quartile Value]] &gt; Table13[[#This Row],[Previous Quartile Value]], "Dropped", "Same")))</f>
        <v>Same</v>
      </c>
      <c r="J1324" s="5" t="s">
        <v>18</v>
      </c>
      <c r="K1324" s="7" t="str">
        <f>VLOOKUP(J1324,Introduction!$B$6:$C$14,2)</f>
        <v>Midlands</v>
      </c>
      <c r="L1324" s="13">
        <v>820</v>
      </c>
      <c r="M1324" s="8" t="s">
        <v>496</v>
      </c>
    </row>
    <row r="1325" spans="1:13" ht="19.95" customHeight="1" x14ac:dyDescent="0.25">
      <c r="A1325" s="40">
        <v>45352</v>
      </c>
      <c r="B1325" s="46">
        <f>MONTH(Table13[[#This Row],[YearMonth]])</f>
        <v>3</v>
      </c>
      <c r="C1325" s="5" t="s">
        <v>248</v>
      </c>
      <c r="D1325" s="6" t="s">
        <v>341</v>
      </c>
      <c r="E1325" s="6">
        <f>IF(Table13[[#This Row],[Quartile]]="TopQuartile", 1,
 IF(Table13[[#This Row],[Quartile]]="SecondQuartile", 2,
 IF(Table13[[#This Row],[Quartile]]="ThirdQuartile", 3,
 IF(Table13[[#This Row],[Quartile]]="FourthQuartile", 4, ""))))</f>
        <v>3</v>
      </c>
      <c r="F1325" s="5" t="s">
        <v>520</v>
      </c>
      <c r="G1325" s="5" t="str" cm="1">
        <f t="array" ref="G1325">IFERROR(
  INDEX(Table13[Quartile],
    MATCH(1,
      (Table13[[#This Row],[OrgName]]=Table13[OrgName]) *
      (Table13[[#This Row],[Month Number]]-1=Table13[Month Number]),
    0)
  ),
"")</f>
        <v>ThirdQuartile</v>
      </c>
      <c r="H1325" s="5">
        <f>IF(Table13[[#This Row],[Previous Quartile]]="TopQuartile", 1,
 IF(Table13[[#This Row],[Previous Quartile]]="SecondQuartile", 2,
 IF(Table13[[#This Row],[Previous Quartile]]="ThirdQuartile", 3,
 IF(Table13[[#This Row],[Previous Quartile]]="FourthQuartile", 4, ""))))</f>
        <v>3</v>
      </c>
      <c r="I1325" s="5" t="str">
        <f>IF(Table13[[#This Row],[Previous Quartile Value]]="", "",
   IF(Table13[[#This Row],[Quartile Value]] &lt; Table13[[#This Row],[Previous Quartile Value]], "Improved",
   IF(Table13[[#This Row],[Quartile Value]] &gt; Table13[[#This Row],[Previous Quartile Value]], "Dropped", "Same")))</f>
        <v>Same</v>
      </c>
      <c r="J1325" s="5" t="s">
        <v>12</v>
      </c>
      <c r="K1325" s="7" t="str">
        <f>VLOOKUP(J1325,Introduction!$B$6:$C$14,2)</f>
        <v>London</v>
      </c>
      <c r="L1325" s="13">
        <v>848</v>
      </c>
      <c r="M1325" s="8" t="s">
        <v>496</v>
      </c>
    </row>
    <row r="1326" spans="1:13" ht="19.95" customHeight="1" x14ac:dyDescent="0.25">
      <c r="A1326" s="40">
        <v>45352</v>
      </c>
      <c r="B1326" s="46">
        <f>MONTH(Table13[[#This Row],[YearMonth]])</f>
        <v>3</v>
      </c>
      <c r="C1326" s="5" t="s">
        <v>260</v>
      </c>
      <c r="D1326" s="6" t="s">
        <v>350</v>
      </c>
      <c r="E1326" s="6">
        <f>IF(Table13[[#This Row],[Quartile]]="TopQuartile", 1,
 IF(Table13[[#This Row],[Quartile]]="SecondQuartile", 2,
 IF(Table13[[#This Row],[Quartile]]="ThirdQuartile", 3,
 IF(Table13[[#This Row],[Quartile]]="FourthQuartile", 4, ""))))</f>
        <v>4</v>
      </c>
      <c r="F1326" s="5" t="s">
        <v>522</v>
      </c>
      <c r="G1326" s="5" t="str" cm="1">
        <f t="array" ref="G1326">IFERROR(
  INDEX(Table13[Quartile],
    MATCH(1,
      (Table13[[#This Row],[OrgName]]=Table13[OrgName]) *
      (Table13[[#This Row],[Month Number]]-1=Table13[Month Number]),
    0)
  ),
"")</f>
        <v>FourthQuartile</v>
      </c>
      <c r="H1326" s="5">
        <f>IF(Table13[[#This Row],[Previous Quartile]]="TopQuartile", 1,
 IF(Table13[[#This Row],[Previous Quartile]]="SecondQuartile", 2,
 IF(Table13[[#This Row],[Previous Quartile]]="ThirdQuartile", 3,
 IF(Table13[[#This Row],[Previous Quartile]]="FourthQuartile", 4, ""))))</f>
        <v>4</v>
      </c>
      <c r="I1326" s="5" t="str">
        <f>IF(Table13[[#This Row],[Previous Quartile Value]]="", "",
   IF(Table13[[#This Row],[Quartile Value]] &lt; Table13[[#This Row],[Previous Quartile Value]], "Improved",
   IF(Table13[[#This Row],[Quartile Value]] &gt; Table13[[#This Row],[Previous Quartile Value]], "Dropped", "Same")))</f>
        <v>Same</v>
      </c>
      <c r="J1326" s="5" t="s">
        <v>24</v>
      </c>
      <c r="K1326" s="7" t="str">
        <f>VLOOKUP(J1326,Introduction!$B$6:$C$14,2)</f>
        <v>North East and Yorkshire</v>
      </c>
      <c r="L1326" s="13">
        <v>833</v>
      </c>
      <c r="M1326" s="8" t="s">
        <v>496</v>
      </c>
    </row>
    <row r="1327" spans="1:13" ht="19.95" customHeight="1" x14ac:dyDescent="0.25">
      <c r="A1327" s="40">
        <v>45352</v>
      </c>
      <c r="B1327" s="46">
        <f>MONTH(Table13[[#This Row],[YearMonth]])</f>
        <v>3</v>
      </c>
      <c r="C1327" s="5" t="s">
        <v>297</v>
      </c>
      <c r="D1327" s="6" t="s">
        <v>350</v>
      </c>
      <c r="E1327" s="6">
        <f>IF(Table13[[#This Row],[Quartile]]="TopQuartile", 1,
 IF(Table13[[#This Row],[Quartile]]="SecondQuartile", 2,
 IF(Table13[[#This Row],[Quartile]]="ThirdQuartile", 3,
 IF(Table13[[#This Row],[Quartile]]="FourthQuartile", 4, ""))))</f>
        <v>4</v>
      </c>
      <c r="F1327" s="5" t="s">
        <v>527</v>
      </c>
      <c r="G1327" s="5" t="str" cm="1">
        <f t="array" ref="G1327">IFERROR(
  INDEX(Table13[Quartile],
    MATCH(1,
      (Table13[[#This Row],[OrgName]]=Table13[OrgName]) *
      (Table13[[#This Row],[Month Number]]-1=Table13[Month Number]),
    0)
  ),
"")</f>
        <v>FourthQuartile</v>
      </c>
      <c r="H1327" s="5">
        <f>IF(Table13[[#This Row],[Previous Quartile]]="TopQuartile", 1,
 IF(Table13[[#This Row],[Previous Quartile]]="SecondQuartile", 2,
 IF(Table13[[#This Row],[Previous Quartile]]="ThirdQuartile", 3,
 IF(Table13[[#This Row],[Previous Quartile]]="FourthQuartile", 4, ""))))</f>
        <v>4</v>
      </c>
      <c r="I1327" s="5" t="str">
        <f>IF(Table13[[#This Row],[Previous Quartile Value]]="", "",
   IF(Table13[[#This Row],[Quartile Value]] &lt; Table13[[#This Row],[Previous Quartile Value]], "Improved",
   IF(Table13[[#This Row],[Quartile Value]] &gt; Table13[[#This Row],[Previous Quartile Value]], "Dropped", "Same")))</f>
        <v>Same</v>
      </c>
      <c r="J1327" s="5" t="s">
        <v>16</v>
      </c>
      <c r="K1327" s="7" t="str">
        <f>VLOOKUP(J1327,Introduction!$B$6:$C$14,2)</f>
        <v>South East</v>
      </c>
      <c r="L1327" s="13">
        <v>78</v>
      </c>
      <c r="M1327" s="8" t="s">
        <v>496</v>
      </c>
    </row>
    <row r="1328" spans="1:13" ht="19.95" customHeight="1" x14ac:dyDescent="0.25">
      <c r="A1328" s="40">
        <v>45352</v>
      </c>
      <c r="B1328" s="46">
        <f>MONTH(Table13[[#This Row],[YearMonth]])</f>
        <v>3</v>
      </c>
      <c r="C1328" s="5" t="s">
        <v>259</v>
      </c>
      <c r="D1328" s="6" t="s">
        <v>350</v>
      </c>
      <c r="E1328" s="6">
        <f>IF(Table13[[#This Row],[Quartile]]="TopQuartile", 1,
 IF(Table13[[#This Row],[Quartile]]="SecondQuartile", 2,
 IF(Table13[[#This Row],[Quartile]]="ThirdQuartile", 3,
 IF(Table13[[#This Row],[Quartile]]="FourthQuartile", 4, ""))))</f>
        <v>4</v>
      </c>
      <c r="F1328" s="5" t="s">
        <v>521</v>
      </c>
      <c r="G1328" s="5" t="str" cm="1">
        <f t="array" ref="G1328">IFERROR(
  INDEX(Table13[Quartile],
    MATCH(1,
      (Table13[[#This Row],[OrgName]]=Table13[OrgName]) *
      (Table13[[#This Row],[Month Number]]-1=Table13[Month Number]),
    0)
  ),
"")</f>
        <v>FourthQuartile</v>
      </c>
      <c r="H1328" s="5">
        <f>IF(Table13[[#This Row],[Previous Quartile]]="TopQuartile", 1,
 IF(Table13[[#This Row],[Previous Quartile]]="SecondQuartile", 2,
 IF(Table13[[#This Row],[Previous Quartile]]="ThirdQuartile", 3,
 IF(Table13[[#This Row],[Previous Quartile]]="FourthQuartile", 4, ""))))</f>
        <v>4</v>
      </c>
      <c r="I1328" s="5" t="str">
        <f>IF(Table13[[#This Row],[Previous Quartile Value]]="", "",
   IF(Table13[[#This Row],[Quartile Value]] &lt; Table13[[#This Row],[Previous Quartile Value]], "Improved",
   IF(Table13[[#This Row],[Quartile Value]] &gt; Table13[[#This Row],[Previous Quartile Value]], "Dropped", "Same")))</f>
        <v>Same</v>
      </c>
      <c r="J1328" s="5" t="s">
        <v>12</v>
      </c>
      <c r="K1328" s="7" t="str">
        <f>VLOOKUP(J1328,Introduction!$B$6:$C$14,2)</f>
        <v>London</v>
      </c>
      <c r="L1328" s="13">
        <v>824</v>
      </c>
      <c r="M1328" s="8" t="s">
        <v>496</v>
      </c>
    </row>
    <row r="1329" spans="1:13" ht="19.95" customHeight="1" x14ac:dyDescent="0.25">
      <c r="A1329" s="40">
        <v>45352</v>
      </c>
      <c r="B1329" s="46">
        <f>MONTH(Table13[[#This Row],[YearMonth]])</f>
        <v>3</v>
      </c>
      <c r="C1329" s="5" t="s">
        <v>261</v>
      </c>
      <c r="D1329" s="6" t="s">
        <v>350</v>
      </c>
      <c r="E1329" s="6">
        <f>IF(Table13[[#This Row],[Quartile]]="TopQuartile", 1,
 IF(Table13[[#This Row],[Quartile]]="SecondQuartile", 2,
 IF(Table13[[#This Row],[Quartile]]="ThirdQuartile", 3,
 IF(Table13[[#This Row],[Quartile]]="FourthQuartile", 4, ""))))</f>
        <v>4</v>
      </c>
      <c r="F1329" s="5" t="s">
        <v>523</v>
      </c>
      <c r="G1329" s="5" t="str" cm="1">
        <f t="array" ref="G1329">IFERROR(
  INDEX(Table13[Quartile],
    MATCH(1,
      (Table13[[#This Row],[OrgName]]=Table13[OrgName]) *
      (Table13[[#This Row],[Month Number]]-1=Table13[Month Number]),
    0)
  ),
"")</f>
        <v>FourthQuartile</v>
      </c>
      <c r="H1329" s="5">
        <f>IF(Table13[[#This Row],[Previous Quartile]]="TopQuartile", 1,
 IF(Table13[[#This Row],[Previous Quartile]]="SecondQuartile", 2,
 IF(Table13[[#This Row],[Previous Quartile]]="ThirdQuartile", 3,
 IF(Table13[[#This Row],[Previous Quartile]]="FourthQuartile", 4, ""))))</f>
        <v>4</v>
      </c>
      <c r="I1329" s="5" t="str">
        <f>IF(Table13[[#This Row],[Previous Quartile Value]]="", "",
   IF(Table13[[#This Row],[Quartile Value]] &lt; Table13[[#This Row],[Previous Quartile Value]], "Improved",
   IF(Table13[[#This Row],[Quartile Value]] &gt; Table13[[#This Row],[Previous Quartile Value]], "Dropped", "Same")))</f>
        <v>Same</v>
      </c>
      <c r="J1329" s="5" t="s">
        <v>14</v>
      </c>
      <c r="K1329" s="7" t="str">
        <f>VLOOKUP(J1329,Introduction!$B$6:$C$14,2)</f>
        <v>South West</v>
      </c>
      <c r="L1329" s="13">
        <v>83</v>
      </c>
      <c r="M1329" s="8" t="s">
        <v>496</v>
      </c>
    </row>
    <row r="1330" spans="1:13" ht="19.95" customHeight="1" x14ac:dyDescent="0.25">
      <c r="A1330" s="40">
        <v>45352</v>
      </c>
      <c r="B1330" s="46">
        <f>MONTH(Table13[[#This Row],[YearMonth]])</f>
        <v>3</v>
      </c>
      <c r="C1330" s="5" t="s">
        <v>288</v>
      </c>
      <c r="D1330" s="6" t="s">
        <v>350</v>
      </c>
      <c r="E1330" s="6">
        <f>IF(Table13[[#This Row],[Quartile]]="TopQuartile", 1,
 IF(Table13[[#This Row],[Quartile]]="SecondQuartile", 2,
 IF(Table13[[#This Row],[Quartile]]="ThirdQuartile", 3,
 IF(Table13[[#This Row],[Quartile]]="FourthQuartile", 4, ""))))</f>
        <v>4</v>
      </c>
      <c r="F1330" s="5" t="s">
        <v>525</v>
      </c>
      <c r="G1330" s="5" t="str" cm="1">
        <f t="array" ref="G1330">IFERROR(
  INDEX(Table13[Quartile],
    MATCH(1,
      (Table13[[#This Row],[OrgName]]=Table13[OrgName]) *
      (Table13[[#This Row],[Month Number]]-1=Table13[Month Number]),
    0)
  ),
"")</f>
        <v>FourthQuartile</v>
      </c>
      <c r="H1330" s="5">
        <f>IF(Table13[[#This Row],[Previous Quartile]]="TopQuartile", 1,
 IF(Table13[[#This Row],[Previous Quartile]]="SecondQuartile", 2,
 IF(Table13[[#This Row],[Previous Quartile]]="ThirdQuartile", 3,
 IF(Table13[[#This Row],[Previous Quartile]]="FourthQuartile", 4, ""))))</f>
        <v>4</v>
      </c>
      <c r="I1330" s="5" t="str">
        <f>IF(Table13[[#This Row],[Previous Quartile Value]]="", "",
   IF(Table13[[#This Row],[Quartile Value]] &lt; Table13[[#This Row],[Previous Quartile Value]], "Improved",
   IF(Table13[[#This Row],[Quartile Value]] &gt; Table13[[#This Row],[Previous Quartile Value]], "Dropped", "Same")))</f>
        <v>Same</v>
      </c>
      <c r="J1330" s="5" t="s">
        <v>14</v>
      </c>
      <c r="K1330" s="7" t="str">
        <f>VLOOKUP(J1330,Introduction!$B$6:$C$14,2)</f>
        <v>South West</v>
      </c>
      <c r="L1330" s="13">
        <v>832</v>
      </c>
      <c r="M1330" s="8" t="s">
        <v>496</v>
      </c>
    </row>
    <row r="1331" spans="1:13" ht="19.95" customHeight="1" x14ac:dyDescent="0.25">
      <c r="A1331" s="40">
        <v>45352</v>
      </c>
      <c r="B1331" s="46">
        <f>MONTH(Table13[[#This Row],[YearMonth]])</f>
        <v>3</v>
      </c>
      <c r="C1331" s="5" t="s">
        <v>291</v>
      </c>
      <c r="D1331" s="6" t="s">
        <v>350</v>
      </c>
      <c r="E1331" s="6">
        <f>IF(Table13[[#This Row],[Quartile]]="TopQuartile", 1,
 IF(Table13[[#This Row],[Quartile]]="SecondQuartile", 2,
 IF(Table13[[#This Row],[Quartile]]="ThirdQuartile", 3,
 IF(Table13[[#This Row],[Quartile]]="FourthQuartile", 4, ""))))</f>
        <v>4</v>
      </c>
      <c r="F1331" s="5" t="s">
        <v>526</v>
      </c>
      <c r="G1331" s="5" t="str" cm="1">
        <f t="array" ref="G1331">IFERROR(
  INDEX(Table13[Quartile],
    MATCH(1,
      (Table13[[#This Row],[OrgName]]=Table13[OrgName]) *
      (Table13[[#This Row],[Month Number]]-1=Table13[Month Number]),
    0)
  ),
"")</f>
        <v>FourthQuartile</v>
      </c>
      <c r="H1331" s="5">
        <f>IF(Table13[[#This Row],[Previous Quartile]]="TopQuartile", 1,
 IF(Table13[[#This Row],[Previous Quartile]]="SecondQuartile", 2,
 IF(Table13[[#This Row],[Previous Quartile]]="ThirdQuartile", 3,
 IF(Table13[[#This Row],[Previous Quartile]]="FourthQuartile", 4, ""))))</f>
        <v>4</v>
      </c>
      <c r="I1331" s="5" t="str">
        <f>IF(Table13[[#This Row],[Previous Quartile Value]]="", "",
   IF(Table13[[#This Row],[Quartile Value]] &lt; Table13[[#This Row],[Previous Quartile Value]], "Improved",
   IF(Table13[[#This Row],[Quartile Value]] &gt; Table13[[#This Row],[Previous Quartile Value]], "Dropped", "Same")))</f>
        <v>Same</v>
      </c>
      <c r="J1331" s="5" t="s">
        <v>18</v>
      </c>
      <c r="K1331" s="7" t="str">
        <f>VLOOKUP(J1331,Introduction!$B$6:$C$14,2)</f>
        <v>Midlands</v>
      </c>
      <c r="L1331" s="13">
        <v>445</v>
      </c>
      <c r="M1331" s="8" t="s">
        <v>496</v>
      </c>
    </row>
    <row r="1332" spans="1:13" ht="19.95" customHeight="1" x14ac:dyDescent="0.25">
      <c r="A1332" s="40">
        <v>45352</v>
      </c>
      <c r="B1332" s="46">
        <f>MONTH(Table13[[#This Row],[YearMonth]])</f>
        <v>3</v>
      </c>
      <c r="C1332" s="5" t="s">
        <v>276</v>
      </c>
      <c r="D1332" s="6" t="s">
        <v>350</v>
      </c>
      <c r="E1332" s="6">
        <f>IF(Table13[[#This Row],[Quartile]]="TopQuartile", 1,
 IF(Table13[[#This Row],[Quartile]]="SecondQuartile", 2,
 IF(Table13[[#This Row],[Quartile]]="ThirdQuartile", 3,
 IF(Table13[[#This Row],[Quartile]]="FourthQuartile", 4, ""))))</f>
        <v>4</v>
      </c>
      <c r="F1332" s="5" t="s">
        <v>524</v>
      </c>
      <c r="G1332" s="5" t="str" cm="1">
        <f t="array" ref="G1332">IFERROR(
  INDEX(Table13[Quartile],
    MATCH(1,
      (Table13[[#This Row],[OrgName]]=Table13[OrgName]) *
      (Table13[[#This Row],[Month Number]]-1=Table13[Month Number]),
    0)
  ),
"")</f>
        <v>FourthQuartile</v>
      </c>
      <c r="H1332" s="5">
        <f>IF(Table13[[#This Row],[Previous Quartile]]="TopQuartile", 1,
 IF(Table13[[#This Row],[Previous Quartile]]="SecondQuartile", 2,
 IF(Table13[[#This Row],[Previous Quartile]]="ThirdQuartile", 3,
 IF(Table13[[#This Row],[Previous Quartile]]="FourthQuartile", 4, ""))))</f>
        <v>4</v>
      </c>
      <c r="I1332" s="5" t="str">
        <f>IF(Table13[[#This Row],[Previous Quartile Value]]="", "",
   IF(Table13[[#This Row],[Quartile Value]] &lt; Table13[[#This Row],[Previous Quartile Value]], "Improved",
   IF(Table13[[#This Row],[Quartile Value]] &gt; Table13[[#This Row],[Previous Quartile Value]], "Dropped", "Same")))</f>
        <v>Same</v>
      </c>
      <c r="J1332" s="5" t="s">
        <v>16</v>
      </c>
      <c r="K1332" s="7" t="str">
        <f>VLOOKUP(J1332,Introduction!$B$6:$C$14,2)</f>
        <v>South East</v>
      </c>
      <c r="L1332" s="13">
        <v>74</v>
      </c>
      <c r="M1332" s="8" t="s">
        <v>496</v>
      </c>
    </row>
    <row r="1333" spans="1:13" ht="19.95" customHeight="1" x14ac:dyDescent="0.25">
      <c r="A1333" s="40">
        <v>45352</v>
      </c>
      <c r="B1333" s="46">
        <f>MONTH(Table13[[#This Row],[YearMonth]])</f>
        <v>3</v>
      </c>
      <c r="C1333" s="5" t="s">
        <v>314</v>
      </c>
      <c r="D1333" s="6" t="s">
        <v>350</v>
      </c>
      <c r="E1333" s="6">
        <f>IF(Table13[[#This Row],[Quartile]]="TopQuartile", 1,
 IF(Table13[[#This Row],[Quartile]]="SecondQuartile", 2,
 IF(Table13[[#This Row],[Quartile]]="ThirdQuartile", 3,
 IF(Table13[[#This Row],[Quartile]]="FourthQuartile", 4, ""))))</f>
        <v>4</v>
      </c>
      <c r="F1333" s="5" t="s">
        <v>528</v>
      </c>
      <c r="G1333" s="5" t="str" cm="1">
        <f t="array" ref="G1333">IFERROR(
  INDEX(Table13[Quartile],
    MATCH(1,
      (Table13[[#This Row],[OrgName]]=Table13[OrgName]) *
      (Table13[[#This Row],[Month Number]]-1=Table13[Month Number]),
    0)
  ),
"")</f>
        <v>FourthQuartile</v>
      </c>
      <c r="H1333" s="5">
        <f>IF(Table13[[#This Row],[Previous Quartile]]="TopQuartile", 1,
 IF(Table13[[#This Row],[Previous Quartile]]="SecondQuartile", 2,
 IF(Table13[[#This Row],[Previous Quartile]]="ThirdQuartile", 3,
 IF(Table13[[#This Row],[Previous Quartile]]="FourthQuartile", 4, ""))))</f>
        <v>4</v>
      </c>
      <c r="I1333" s="5" t="str">
        <f>IF(Table13[[#This Row],[Previous Quartile Value]]="", "",
   IF(Table13[[#This Row],[Quartile Value]] &lt; Table13[[#This Row],[Previous Quartile Value]], "Improved",
   IF(Table13[[#This Row],[Quartile Value]] &gt; Table13[[#This Row],[Previous Quartile Value]], "Dropped", "Same")))</f>
        <v>Same</v>
      </c>
      <c r="J1333" s="5" t="s">
        <v>20</v>
      </c>
      <c r="K1333" s="7" t="str">
        <f>VLOOKUP(J1333,Introduction!$B$6:$C$14,2)</f>
        <v>East of England</v>
      </c>
      <c r="L1333" s="13">
        <v>829</v>
      </c>
      <c r="M1333" s="8" t="s">
        <v>496</v>
      </c>
    </row>
    <row r="1334" spans="1:13" ht="19.95" customHeight="1" x14ac:dyDescent="0.25">
      <c r="A1334" s="40">
        <v>45352</v>
      </c>
      <c r="B1334" s="46">
        <f>MONTH(Table13[[#This Row],[YearMonth]])</f>
        <v>3</v>
      </c>
      <c r="C1334" s="5" t="s">
        <v>72</v>
      </c>
      <c r="D1334" s="6" t="s">
        <v>330</v>
      </c>
      <c r="E1334" s="6">
        <f>IF(Table13[[#This Row],[Quartile]]="TopQuartile", 1,
 IF(Table13[[#This Row],[Quartile]]="SecondQuartile", 2,
 IF(Table13[[#This Row],[Quartile]]="ThirdQuartile", 3,
 IF(Table13[[#This Row],[Quartile]]="FourthQuartile", 4, ""))))</f>
        <v>1</v>
      </c>
      <c r="F1334" s="5" t="s">
        <v>539</v>
      </c>
      <c r="G1334" s="5" t="str" cm="1">
        <f t="array" ref="G1334">IFERROR(
  INDEX(Table13[Quartile],
    MATCH(1,
      (Table13[[#This Row],[OrgName]]=Table13[OrgName]) *
      (Table13[[#This Row],[Month Number]]-1=Table13[Month Number]),
    0)
  ),
"")</f>
        <v>TopQuartile</v>
      </c>
      <c r="H1334" s="5">
        <f>IF(Table13[[#This Row],[Previous Quartile]]="TopQuartile", 1,
 IF(Table13[[#This Row],[Previous Quartile]]="SecondQuartile", 2,
 IF(Table13[[#This Row],[Previous Quartile]]="ThirdQuartile", 3,
 IF(Table13[[#This Row],[Previous Quartile]]="FourthQuartile", 4, ""))))</f>
        <v>1</v>
      </c>
      <c r="I1334" s="5" t="str">
        <f>IF(Table13[[#This Row],[Previous Quartile Value]]="", "",
   IF(Table13[[#This Row],[Quartile Value]] &lt; Table13[[#This Row],[Previous Quartile Value]], "Improved",
   IF(Table13[[#This Row],[Quartile Value]] &gt; Table13[[#This Row],[Previous Quartile Value]], "Dropped", "Same")))</f>
        <v>Same</v>
      </c>
      <c r="J1334" s="5" t="s">
        <v>18</v>
      </c>
      <c r="K1334" s="7" t="str">
        <f>VLOOKUP(J1334,Introduction!$B$6:$C$14,2)</f>
        <v>Midlands</v>
      </c>
      <c r="L1334" s="13">
        <v>66</v>
      </c>
      <c r="M1334" s="8" t="s">
        <v>530</v>
      </c>
    </row>
    <row r="1335" spans="1:13" ht="19.95" customHeight="1" x14ac:dyDescent="0.25">
      <c r="A1335" s="40">
        <v>45352</v>
      </c>
      <c r="B1335" s="46">
        <f>MONTH(Table13[[#This Row],[YearMonth]])</f>
        <v>3</v>
      </c>
      <c r="C1335" s="5" t="s">
        <v>30</v>
      </c>
      <c r="D1335" s="6" t="s">
        <v>330</v>
      </c>
      <c r="E1335" s="6">
        <f>IF(Table13[[#This Row],[Quartile]]="TopQuartile", 1,
 IF(Table13[[#This Row],[Quartile]]="SecondQuartile", 2,
 IF(Table13[[#This Row],[Quartile]]="ThirdQuartile", 3,
 IF(Table13[[#This Row],[Quartile]]="FourthQuartile", 4, ""))))</f>
        <v>1</v>
      </c>
      <c r="F1335" s="5" t="s">
        <v>532</v>
      </c>
      <c r="G1335" s="5" t="str" cm="1">
        <f t="array" ref="G1335">IFERROR(
  INDEX(Table13[Quartile],
    MATCH(1,
      (Table13[[#This Row],[OrgName]]=Table13[OrgName]) *
      (Table13[[#This Row],[Month Number]]-1=Table13[Month Number]),
    0)
  ),
"")</f>
        <v>TopQuartile</v>
      </c>
      <c r="H1335" s="5">
        <f>IF(Table13[[#This Row],[Previous Quartile]]="TopQuartile", 1,
 IF(Table13[[#This Row],[Previous Quartile]]="SecondQuartile", 2,
 IF(Table13[[#This Row],[Previous Quartile]]="ThirdQuartile", 3,
 IF(Table13[[#This Row],[Previous Quartile]]="FourthQuartile", 4, ""))))</f>
        <v>1</v>
      </c>
      <c r="I1335" s="5" t="str">
        <f>IF(Table13[[#This Row],[Previous Quartile Value]]="", "",
   IF(Table13[[#This Row],[Quartile Value]] &lt; Table13[[#This Row],[Previous Quartile Value]], "Improved",
   IF(Table13[[#This Row],[Quartile Value]] &gt; Table13[[#This Row],[Previous Quartile Value]], "Dropped", "Same")))</f>
        <v>Same</v>
      </c>
      <c r="J1335" s="5" t="s">
        <v>14</v>
      </c>
      <c r="K1335" s="7" t="str">
        <f>VLOOKUP(J1335,Introduction!$B$6:$C$14,2)</f>
        <v>South West</v>
      </c>
      <c r="L1335" s="13">
        <v>461</v>
      </c>
      <c r="M1335" s="8" t="s">
        <v>530</v>
      </c>
    </row>
    <row r="1336" spans="1:13" ht="19.95" customHeight="1" x14ac:dyDescent="0.25">
      <c r="A1336" s="40">
        <v>45352</v>
      </c>
      <c r="B1336" s="46">
        <f>MONTH(Table13[[#This Row],[YearMonth]])</f>
        <v>3</v>
      </c>
      <c r="C1336" s="5" t="s">
        <v>28</v>
      </c>
      <c r="D1336" s="6" t="s">
        <v>330</v>
      </c>
      <c r="E1336" s="6">
        <f>IF(Table13[[#This Row],[Quartile]]="TopQuartile", 1,
 IF(Table13[[#This Row],[Quartile]]="SecondQuartile", 2,
 IF(Table13[[#This Row],[Quartile]]="ThirdQuartile", 3,
 IF(Table13[[#This Row],[Quartile]]="FourthQuartile", 4, ""))))</f>
        <v>1</v>
      </c>
      <c r="F1336" s="5" t="s">
        <v>529</v>
      </c>
      <c r="G1336" s="5" t="str" cm="1">
        <f t="array" ref="G1336">IFERROR(
  INDEX(Table13[Quartile],
    MATCH(1,
      (Table13[[#This Row],[OrgName]]=Table13[OrgName]) *
      (Table13[[#This Row],[Month Number]]-1=Table13[Month Number]),
    0)
  ),
"")</f>
        <v>TopQuartile</v>
      </c>
      <c r="H1336" s="5">
        <f>IF(Table13[[#This Row],[Previous Quartile]]="TopQuartile", 1,
 IF(Table13[[#This Row],[Previous Quartile]]="SecondQuartile", 2,
 IF(Table13[[#This Row],[Previous Quartile]]="ThirdQuartile", 3,
 IF(Table13[[#This Row],[Previous Quartile]]="FourthQuartile", 4, ""))))</f>
        <v>1</v>
      </c>
      <c r="I1336" s="5" t="str">
        <f>IF(Table13[[#This Row],[Previous Quartile Value]]="", "",
   IF(Table13[[#This Row],[Quartile Value]] &lt; Table13[[#This Row],[Previous Quartile Value]], "Improved",
   IF(Table13[[#This Row],[Quartile Value]] &gt; Table13[[#This Row],[Previous Quartile Value]], "Dropped", "Same")))</f>
        <v>Same</v>
      </c>
      <c r="J1336" s="5" t="s">
        <v>16</v>
      </c>
      <c r="K1336" s="7" t="str">
        <f>VLOOKUP(J1336,Introduction!$B$6:$C$14,2)</f>
        <v>South East</v>
      </c>
      <c r="L1336" s="13">
        <v>146</v>
      </c>
      <c r="M1336" s="8" t="s">
        <v>530</v>
      </c>
    </row>
    <row r="1337" spans="1:13" ht="19.95" customHeight="1" x14ac:dyDescent="0.25">
      <c r="A1337" s="40">
        <v>45352</v>
      </c>
      <c r="B1337" s="46">
        <f>MONTH(Table13[[#This Row],[YearMonth]])</f>
        <v>3</v>
      </c>
      <c r="C1337" s="5" t="s">
        <v>63</v>
      </c>
      <c r="D1337" s="6" t="s">
        <v>330</v>
      </c>
      <c r="E1337" s="6">
        <f>IF(Table13[[#This Row],[Quartile]]="TopQuartile", 1,
 IF(Table13[[#This Row],[Quartile]]="SecondQuartile", 2,
 IF(Table13[[#This Row],[Quartile]]="ThirdQuartile", 3,
 IF(Table13[[#This Row],[Quartile]]="FourthQuartile", 4, ""))))</f>
        <v>1</v>
      </c>
      <c r="F1337" s="5" t="s">
        <v>536</v>
      </c>
      <c r="G1337" s="5" t="str" cm="1">
        <f t="array" ref="G1337">IFERROR(
  INDEX(Table13[Quartile],
    MATCH(1,
      (Table13[[#This Row],[OrgName]]=Table13[OrgName]) *
      (Table13[[#This Row],[Month Number]]-1=Table13[Month Number]),
    0)
  ),
"")</f>
        <v>TopQuartile</v>
      </c>
      <c r="H1337" s="5">
        <f>IF(Table13[[#This Row],[Previous Quartile]]="TopQuartile", 1,
 IF(Table13[[#This Row],[Previous Quartile]]="SecondQuartile", 2,
 IF(Table13[[#This Row],[Previous Quartile]]="ThirdQuartile", 3,
 IF(Table13[[#This Row],[Previous Quartile]]="FourthQuartile", 4, ""))))</f>
        <v>1</v>
      </c>
      <c r="I1337" s="5" t="str">
        <f>IF(Table13[[#This Row],[Previous Quartile Value]]="", "",
   IF(Table13[[#This Row],[Quartile Value]] &lt; Table13[[#This Row],[Previous Quartile Value]], "Improved",
   IF(Table13[[#This Row],[Quartile Value]] &gt; Table13[[#This Row],[Previous Quartile Value]], "Dropped", "Same")))</f>
        <v>Same</v>
      </c>
      <c r="J1337" s="5" t="s">
        <v>14</v>
      </c>
      <c r="K1337" s="7" t="str">
        <f>VLOOKUP(J1337,Introduction!$B$6:$C$14,2)</f>
        <v>South West</v>
      </c>
      <c r="L1337" s="13">
        <v>983</v>
      </c>
      <c r="M1337" s="8" t="s">
        <v>530</v>
      </c>
    </row>
    <row r="1338" spans="1:13" ht="19.95" customHeight="1" x14ac:dyDescent="0.25">
      <c r="A1338" s="40">
        <v>45352</v>
      </c>
      <c r="B1338" s="46">
        <f>MONTH(Table13[[#This Row],[YearMonth]])</f>
        <v>3</v>
      </c>
      <c r="C1338" s="5" t="s">
        <v>48</v>
      </c>
      <c r="D1338" s="6" t="s">
        <v>330</v>
      </c>
      <c r="E1338" s="6">
        <f>IF(Table13[[#This Row],[Quartile]]="TopQuartile", 1,
 IF(Table13[[#This Row],[Quartile]]="SecondQuartile", 2,
 IF(Table13[[#This Row],[Quartile]]="ThirdQuartile", 3,
 IF(Table13[[#This Row],[Quartile]]="FourthQuartile", 4, ""))))</f>
        <v>1</v>
      </c>
      <c r="F1338" s="5" t="s">
        <v>534</v>
      </c>
      <c r="G1338" s="5" t="str" cm="1">
        <f t="array" ref="G1338">IFERROR(
  INDEX(Table13[Quartile],
    MATCH(1,
      (Table13[[#This Row],[OrgName]]=Table13[OrgName]) *
      (Table13[[#This Row],[Month Number]]-1=Table13[Month Number]),
    0)
  ),
"")</f>
        <v>TopQuartile</v>
      </c>
      <c r="H1338" s="5">
        <f>IF(Table13[[#This Row],[Previous Quartile]]="TopQuartile", 1,
 IF(Table13[[#This Row],[Previous Quartile]]="SecondQuartile", 2,
 IF(Table13[[#This Row],[Previous Quartile]]="ThirdQuartile", 3,
 IF(Table13[[#This Row],[Previous Quartile]]="FourthQuartile", 4, ""))))</f>
        <v>1</v>
      </c>
      <c r="I1338" s="5" t="str">
        <f>IF(Table13[[#This Row],[Previous Quartile Value]]="", "",
   IF(Table13[[#This Row],[Quartile Value]] &lt; Table13[[#This Row],[Previous Quartile Value]], "Improved",
   IF(Table13[[#This Row],[Quartile Value]] &gt; Table13[[#This Row],[Previous Quartile Value]], "Dropped", "Same")))</f>
        <v>Same</v>
      </c>
      <c r="J1338" s="5" t="s">
        <v>22</v>
      </c>
      <c r="K1338" s="7" t="str">
        <f>VLOOKUP(J1338,Introduction!$B$6:$C$14,2)</f>
        <v>North West</v>
      </c>
      <c r="L1338" s="13">
        <v>493</v>
      </c>
      <c r="M1338" s="8" t="s">
        <v>530</v>
      </c>
    </row>
    <row r="1339" spans="1:13" ht="19.95" customHeight="1" x14ac:dyDescent="0.25">
      <c r="A1339" s="40">
        <v>45352</v>
      </c>
      <c r="B1339" s="46">
        <f>MONTH(Table13[[#This Row],[YearMonth]])</f>
        <v>3</v>
      </c>
      <c r="C1339" s="5" t="s">
        <v>42</v>
      </c>
      <c r="D1339" s="6" t="s">
        <v>330</v>
      </c>
      <c r="E1339" s="6">
        <f>IF(Table13[[#This Row],[Quartile]]="TopQuartile", 1,
 IF(Table13[[#This Row],[Quartile]]="SecondQuartile", 2,
 IF(Table13[[#This Row],[Quartile]]="ThirdQuartile", 3,
 IF(Table13[[#This Row],[Quartile]]="FourthQuartile", 4, ""))))</f>
        <v>1</v>
      </c>
      <c r="F1339" s="5" t="s">
        <v>533</v>
      </c>
      <c r="G1339" s="5" t="str" cm="1">
        <f t="array" ref="G1339">IFERROR(
  INDEX(Table13[Quartile],
    MATCH(1,
      (Table13[[#This Row],[OrgName]]=Table13[OrgName]) *
      (Table13[[#This Row],[Month Number]]-1=Table13[Month Number]),
    0)
  ),
"")</f>
        <v>TopQuartile</v>
      </c>
      <c r="H1339" s="5">
        <f>IF(Table13[[#This Row],[Previous Quartile]]="TopQuartile", 1,
 IF(Table13[[#This Row],[Previous Quartile]]="SecondQuartile", 2,
 IF(Table13[[#This Row],[Previous Quartile]]="ThirdQuartile", 3,
 IF(Table13[[#This Row],[Previous Quartile]]="FourthQuartile", 4, ""))))</f>
        <v>1</v>
      </c>
      <c r="I1339" s="5" t="str">
        <f>IF(Table13[[#This Row],[Previous Quartile Value]]="", "",
   IF(Table13[[#This Row],[Quartile Value]] &lt; Table13[[#This Row],[Previous Quartile Value]], "Improved",
   IF(Table13[[#This Row],[Quartile Value]] &gt; Table13[[#This Row],[Previous Quartile Value]], "Dropped", "Same")))</f>
        <v>Same</v>
      </c>
      <c r="J1339" s="5" t="s">
        <v>18</v>
      </c>
      <c r="K1339" s="7" t="str">
        <f>VLOOKUP(J1339,Introduction!$B$6:$C$14,2)</f>
        <v>Midlands</v>
      </c>
      <c r="L1339" s="13">
        <v>106</v>
      </c>
      <c r="M1339" s="8" t="s">
        <v>530</v>
      </c>
    </row>
    <row r="1340" spans="1:13" ht="19.95" customHeight="1" x14ac:dyDescent="0.25">
      <c r="A1340" s="40">
        <v>45352</v>
      </c>
      <c r="B1340" s="46">
        <f>MONTH(Table13[[#This Row],[YearMonth]])</f>
        <v>3</v>
      </c>
      <c r="C1340" s="5" t="s">
        <v>51</v>
      </c>
      <c r="D1340" s="6" t="s">
        <v>330</v>
      </c>
      <c r="E1340" s="6">
        <f>IF(Table13[[#This Row],[Quartile]]="TopQuartile", 1,
 IF(Table13[[#This Row],[Quartile]]="SecondQuartile", 2,
 IF(Table13[[#This Row],[Quartile]]="ThirdQuartile", 3,
 IF(Table13[[#This Row],[Quartile]]="FourthQuartile", 4, ""))))</f>
        <v>1</v>
      </c>
      <c r="F1340" s="5" t="s">
        <v>535</v>
      </c>
      <c r="G1340" s="5" t="str" cm="1">
        <f t="array" ref="G1340">IFERROR(
  INDEX(Table13[Quartile],
    MATCH(1,
      (Table13[[#This Row],[OrgName]]=Table13[OrgName]) *
      (Table13[[#This Row],[Month Number]]-1=Table13[Month Number]),
    0)
  ),
"")</f>
        <v>TopQuartile</v>
      </c>
      <c r="H1340" s="5">
        <f>IF(Table13[[#This Row],[Previous Quartile]]="TopQuartile", 1,
 IF(Table13[[#This Row],[Previous Quartile]]="SecondQuartile", 2,
 IF(Table13[[#This Row],[Previous Quartile]]="ThirdQuartile", 3,
 IF(Table13[[#This Row],[Previous Quartile]]="FourthQuartile", 4, ""))))</f>
        <v>1</v>
      </c>
      <c r="I1340" s="5" t="str">
        <f>IF(Table13[[#This Row],[Previous Quartile Value]]="", "",
   IF(Table13[[#This Row],[Quartile Value]] &lt; Table13[[#This Row],[Previous Quartile Value]], "Improved",
   IF(Table13[[#This Row],[Quartile Value]] &gt; Table13[[#This Row],[Previous Quartile Value]], "Dropped", "Same")))</f>
        <v>Same</v>
      </c>
      <c r="J1340" s="5" t="s">
        <v>16</v>
      </c>
      <c r="K1340" s="7" t="str">
        <f>VLOOKUP(J1340,Introduction!$B$6:$C$14,2)</f>
        <v>South East</v>
      </c>
      <c r="L1340" s="13">
        <v>482</v>
      </c>
      <c r="M1340" s="8" t="s">
        <v>530</v>
      </c>
    </row>
    <row r="1341" spans="1:13" ht="19.95" customHeight="1" x14ac:dyDescent="0.25">
      <c r="A1341" s="40">
        <v>45352</v>
      </c>
      <c r="B1341" s="46">
        <f>MONTH(Table13[[#This Row],[YearMonth]])</f>
        <v>3</v>
      </c>
      <c r="C1341" s="5" t="s">
        <v>65</v>
      </c>
      <c r="D1341" s="6" t="s">
        <v>330</v>
      </c>
      <c r="E1341" s="6">
        <f>IF(Table13[[#This Row],[Quartile]]="TopQuartile", 1,
 IF(Table13[[#This Row],[Quartile]]="SecondQuartile", 2,
 IF(Table13[[#This Row],[Quartile]]="ThirdQuartile", 3,
 IF(Table13[[#This Row],[Quartile]]="FourthQuartile", 4, ""))))</f>
        <v>1</v>
      </c>
      <c r="F1341" s="5" t="s">
        <v>538</v>
      </c>
      <c r="G1341" s="5" t="str" cm="1">
        <f t="array" ref="G1341">IFERROR(
  INDEX(Table13[Quartile],
    MATCH(1,
      (Table13[[#This Row],[OrgName]]=Table13[OrgName]) *
      (Table13[[#This Row],[Month Number]]-1=Table13[Month Number]),
    0)
  ),
"")</f>
        <v>TopQuartile</v>
      </c>
      <c r="H1341" s="5">
        <f>IF(Table13[[#This Row],[Previous Quartile]]="TopQuartile", 1,
 IF(Table13[[#This Row],[Previous Quartile]]="SecondQuartile", 2,
 IF(Table13[[#This Row],[Previous Quartile]]="ThirdQuartile", 3,
 IF(Table13[[#This Row],[Previous Quartile]]="FourthQuartile", 4, ""))))</f>
        <v>1</v>
      </c>
      <c r="I1341" s="5" t="str">
        <f>IF(Table13[[#This Row],[Previous Quartile Value]]="", "",
   IF(Table13[[#This Row],[Quartile Value]] &lt; Table13[[#This Row],[Previous Quartile Value]], "Improved",
   IF(Table13[[#This Row],[Quartile Value]] &gt; Table13[[#This Row],[Previous Quartile Value]], "Dropped", "Same")))</f>
        <v>Same</v>
      </c>
      <c r="J1341" s="5" t="s">
        <v>18</v>
      </c>
      <c r="K1341" s="7" t="str">
        <f>VLOOKUP(J1341,Introduction!$B$6:$C$14,2)</f>
        <v>Midlands</v>
      </c>
      <c r="L1341" s="13">
        <v>86</v>
      </c>
      <c r="M1341" s="8" t="s">
        <v>530</v>
      </c>
    </row>
    <row r="1342" spans="1:13" ht="19.95" customHeight="1" x14ac:dyDescent="0.25">
      <c r="A1342" s="40">
        <v>45352</v>
      </c>
      <c r="B1342" s="46">
        <f>MONTH(Table13[[#This Row],[YearMonth]])</f>
        <v>3</v>
      </c>
      <c r="C1342" s="5" t="s">
        <v>83</v>
      </c>
      <c r="D1342" s="6" t="s">
        <v>330</v>
      </c>
      <c r="E1342" s="6">
        <f>IF(Table13[[#This Row],[Quartile]]="TopQuartile", 1,
 IF(Table13[[#This Row],[Quartile]]="SecondQuartile", 2,
 IF(Table13[[#This Row],[Quartile]]="ThirdQuartile", 3,
 IF(Table13[[#This Row],[Quartile]]="FourthQuartile", 4, ""))))</f>
        <v>1</v>
      </c>
      <c r="F1342" s="5" t="s">
        <v>542</v>
      </c>
      <c r="G1342" s="5" t="str" cm="1">
        <f t="array" ref="G1342">IFERROR(
  INDEX(Table13[Quartile],
    MATCH(1,
      (Table13[[#This Row],[OrgName]]=Table13[OrgName]) *
      (Table13[[#This Row],[Month Number]]-1=Table13[Month Number]),
    0)
  ),
"")</f>
        <v>TopQuartile</v>
      </c>
      <c r="H1342" s="5">
        <f>IF(Table13[[#This Row],[Previous Quartile]]="TopQuartile", 1,
 IF(Table13[[#This Row],[Previous Quartile]]="SecondQuartile", 2,
 IF(Table13[[#This Row],[Previous Quartile]]="ThirdQuartile", 3,
 IF(Table13[[#This Row],[Previous Quartile]]="FourthQuartile", 4, ""))))</f>
        <v>1</v>
      </c>
      <c r="I1342" s="5" t="str">
        <f>IF(Table13[[#This Row],[Previous Quartile Value]]="", "",
   IF(Table13[[#This Row],[Quartile Value]] &lt; Table13[[#This Row],[Previous Quartile Value]], "Improved",
   IF(Table13[[#This Row],[Quartile Value]] &gt; Table13[[#This Row],[Previous Quartile Value]], "Dropped", "Same")))</f>
        <v>Same</v>
      </c>
      <c r="J1342" s="5" t="s">
        <v>18</v>
      </c>
      <c r="K1342" s="7" t="str">
        <f>VLOOKUP(J1342,Introduction!$B$6:$C$14,2)</f>
        <v>Midlands</v>
      </c>
      <c r="L1342" s="13">
        <v>116</v>
      </c>
      <c r="M1342" s="8" t="s">
        <v>530</v>
      </c>
    </row>
    <row r="1343" spans="1:13" ht="19.95" customHeight="1" x14ac:dyDescent="0.25">
      <c r="A1343" s="40">
        <v>45352</v>
      </c>
      <c r="B1343" s="46">
        <f>MONTH(Table13[[#This Row],[YearMonth]])</f>
        <v>3</v>
      </c>
      <c r="C1343" s="5" t="s">
        <v>73</v>
      </c>
      <c r="D1343" s="6" t="s">
        <v>330</v>
      </c>
      <c r="E1343" s="6">
        <f>IF(Table13[[#This Row],[Quartile]]="TopQuartile", 1,
 IF(Table13[[#This Row],[Quartile]]="SecondQuartile", 2,
 IF(Table13[[#This Row],[Quartile]]="ThirdQuartile", 3,
 IF(Table13[[#This Row],[Quartile]]="FourthQuartile", 4, ""))))</f>
        <v>1</v>
      </c>
      <c r="F1343" s="5" t="s">
        <v>540</v>
      </c>
      <c r="G1343" s="5" t="str" cm="1">
        <f t="array" ref="G1343">IFERROR(
  INDEX(Table13[Quartile],
    MATCH(1,
      (Table13[[#This Row],[OrgName]]=Table13[OrgName]) *
      (Table13[[#This Row],[Month Number]]-1=Table13[Month Number]),
    0)
  ),
"")</f>
        <v>TopQuartile</v>
      </c>
      <c r="H1343" s="5">
        <f>IF(Table13[[#This Row],[Previous Quartile]]="TopQuartile", 1,
 IF(Table13[[#This Row],[Previous Quartile]]="SecondQuartile", 2,
 IF(Table13[[#This Row],[Previous Quartile]]="ThirdQuartile", 3,
 IF(Table13[[#This Row],[Previous Quartile]]="FourthQuartile", 4, ""))))</f>
        <v>1</v>
      </c>
      <c r="I1343" s="5" t="str">
        <f>IF(Table13[[#This Row],[Previous Quartile Value]]="", "",
   IF(Table13[[#This Row],[Quartile Value]] &lt; Table13[[#This Row],[Previous Quartile Value]], "Improved",
   IF(Table13[[#This Row],[Quartile Value]] &gt; Table13[[#This Row],[Previous Quartile Value]], "Dropped", "Same")))</f>
        <v>Same</v>
      </c>
      <c r="J1343" s="5" t="s">
        <v>14</v>
      </c>
      <c r="K1343" s="7" t="str">
        <f>VLOOKUP(J1343,Introduction!$B$6:$C$14,2)</f>
        <v>South West</v>
      </c>
      <c r="L1343" s="13">
        <v>462</v>
      </c>
      <c r="M1343" s="8" t="s">
        <v>530</v>
      </c>
    </row>
    <row r="1344" spans="1:13" ht="19.95" customHeight="1" x14ac:dyDescent="0.25">
      <c r="A1344" s="40">
        <v>45352</v>
      </c>
      <c r="B1344" s="46">
        <f>MONTH(Table13[[#This Row],[YearMonth]])</f>
        <v>3</v>
      </c>
      <c r="C1344" s="5" t="s">
        <v>76</v>
      </c>
      <c r="D1344" s="6" t="s">
        <v>330</v>
      </c>
      <c r="E1344" s="6">
        <f>IF(Table13[[#This Row],[Quartile]]="TopQuartile", 1,
 IF(Table13[[#This Row],[Quartile]]="SecondQuartile", 2,
 IF(Table13[[#This Row],[Quartile]]="ThirdQuartile", 3,
 IF(Table13[[#This Row],[Quartile]]="FourthQuartile", 4, ""))))</f>
        <v>1</v>
      </c>
      <c r="F1344" s="5" t="s">
        <v>541</v>
      </c>
      <c r="G1344" s="5" t="str" cm="1">
        <f t="array" ref="G1344">IFERROR(
  INDEX(Table13[Quartile],
    MATCH(1,
      (Table13[[#This Row],[OrgName]]=Table13[OrgName]) *
      (Table13[[#This Row],[Month Number]]-1=Table13[Month Number]),
    0)
  ),
"")</f>
        <v>TopQuartile</v>
      </c>
      <c r="H1344" s="5">
        <f>IF(Table13[[#This Row],[Previous Quartile]]="TopQuartile", 1,
 IF(Table13[[#This Row],[Previous Quartile]]="SecondQuartile", 2,
 IF(Table13[[#This Row],[Previous Quartile]]="ThirdQuartile", 3,
 IF(Table13[[#This Row],[Previous Quartile]]="FourthQuartile", 4, ""))))</f>
        <v>1</v>
      </c>
      <c r="I1344" s="5" t="str">
        <f>IF(Table13[[#This Row],[Previous Quartile Value]]="", "",
   IF(Table13[[#This Row],[Quartile Value]] &lt; Table13[[#This Row],[Previous Quartile Value]], "Improved",
   IF(Table13[[#This Row],[Quartile Value]] &gt; Table13[[#This Row],[Previous Quartile Value]], "Dropped", "Same")))</f>
        <v>Same</v>
      </c>
      <c r="J1344" s="5" t="s">
        <v>14</v>
      </c>
      <c r="K1344" s="7" t="str">
        <f>VLOOKUP(J1344,Introduction!$B$6:$C$14,2)</f>
        <v>South West</v>
      </c>
      <c r="L1344" s="13">
        <v>144</v>
      </c>
      <c r="M1344" s="8" t="s">
        <v>530</v>
      </c>
    </row>
    <row r="1345" spans="1:13" ht="19.95" customHeight="1" x14ac:dyDescent="0.25">
      <c r="A1345" s="40">
        <v>45352</v>
      </c>
      <c r="B1345" s="46">
        <f>MONTH(Table13[[#This Row],[YearMonth]])</f>
        <v>3</v>
      </c>
      <c r="C1345" s="5" t="s">
        <v>29</v>
      </c>
      <c r="D1345" s="6" t="s">
        <v>330</v>
      </c>
      <c r="E1345" s="6">
        <f>IF(Table13[[#This Row],[Quartile]]="TopQuartile", 1,
 IF(Table13[[#This Row],[Quartile]]="SecondQuartile", 2,
 IF(Table13[[#This Row],[Quartile]]="ThirdQuartile", 3,
 IF(Table13[[#This Row],[Quartile]]="FourthQuartile", 4, ""))))</f>
        <v>1</v>
      </c>
      <c r="F1345" s="5" t="s">
        <v>531</v>
      </c>
      <c r="G1345" s="5" t="str" cm="1">
        <f t="array" ref="G1345">IFERROR(
  INDEX(Table13[Quartile],
    MATCH(1,
      (Table13[[#This Row],[OrgName]]=Table13[OrgName]) *
      (Table13[[#This Row],[Month Number]]-1=Table13[Month Number]),
    0)
  ),
"")</f>
        <v>TopQuartile</v>
      </c>
      <c r="H1345" s="5">
        <f>IF(Table13[[#This Row],[Previous Quartile]]="TopQuartile", 1,
 IF(Table13[[#This Row],[Previous Quartile]]="SecondQuartile", 2,
 IF(Table13[[#This Row],[Previous Quartile]]="ThirdQuartile", 3,
 IF(Table13[[#This Row],[Previous Quartile]]="FourthQuartile", 4, ""))))</f>
        <v>1</v>
      </c>
      <c r="I1345" s="5" t="str">
        <f>IF(Table13[[#This Row],[Previous Quartile Value]]="", "",
   IF(Table13[[#This Row],[Quartile Value]] &lt; Table13[[#This Row],[Previous Quartile Value]], "Improved",
   IF(Table13[[#This Row],[Quartile Value]] &gt; Table13[[#This Row],[Previous Quartile Value]], "Dropped", "Same")))</f>
        <v>Same</v>
      </c>
      <c r="J1345" s="5" t="s">
        <v>14</v>
      </c>
      <c r="K1345" s="7" t="str">
        <f>VLOOKUP(J1345,Introduction!$B$6:$C$14,2)</f>
        <v>South West</v>
      </c>
      <c r="L1345" s="13">
        <v>843</v>
      </c>
      <c r="M1345" s="8" t="s">
        <v>530</v>
      </c>
    </row>
    <row r="1346" spans="1:13" ht="19.95" customHeight="1" x14ac:dyDescent="0.25">
      <c r="A1346" s="40">
        <v>45352</v>
      </c>
      <c r="B1346" s="46">
        <f>MONTH(Table13[[#This Row],[YearMonth]])</f>
        <v>3</v>
      </c>
      <c r="C1346" s="5" t="s">
        <v>110</v>
      </c>
      <c r="D1346" s="6" t="s">
        <v>330</v>
      </c>
      <c r="E1346" s="6">
        <f>IF(Table13[[#This Row],[Quartile]]="TopQuartile", 1,
 IF(Table13[[#This Row],[Quartile]]="SecondQuartile", 2,
 IF(Table13[[#This Row],[Quartile]]="ThirdQuartile", 3,
 IF(Table13[[#This Row],[Quartile]]="FourthQuartile", 4, ""))))</f>
        <v>1</v>
      </c>
      <c r="F1346" s="5" t="s">
        <v>545</v>
      </c>
      <c r="G1346" s="5" t="str" cm="1">
        <f t="array" ref="G1346">IFERROR(
  INDEX(Table13[Quartile],
    MATCH(1,
      (Table13[[#This Row],[OrgName]]=Table13[OrgName]) *
      (Table13[[#This Row],[Month Number]]-1=Table13[Month Number]),
    0)
  ),
"")</f>
        <v>TopQuartile</v>
      </c>
      <c r="H1346" s="5">
        <f>IF(Table13[[#This Row],[Previous Quartile]]="TopQuartile", 1,
 IF(Table13[[#This Row],[Previous Quartile]]="SecondQuartile", 2,
 IF(Table13[[#This Row],[Previous Quartile]]="ThirdQuartile", 3,
 IF(Table13[[#This Row],[Previous Quartile]]="FourthQuartile", 4, ""))))</f>
        <v>1</v>
      </c>
      <c r="I1346" s="5" t="str">
        <f>IF(Table13[[#This Row],[Previous Quartile Value]]="", "",
   IF(Table13[[#This Row],[Quartile Value]] &lt; Table13[[#This Row],[Previous Quartile Value]], "Improved",
   IF(Table13[[#This Row],[Quartile Value]] &gt; Table13[[#This Row],[Previous Quartile Value]], "Dropped", "Same")))</f>
        <v>Same</v>
      </c>
      <c r="J1346" s="5" t="s">
        <v>16</v>
      </c>
      <c r="K1346" s="7" t="str">
        <f>VLOOKUP(J1346,Introduction!$B$6:$C$14,2)</f>
        <v>South East</v>
      </c>
      <c r="L1346" s="13">
        <v>104</v>
      </c>
      <c r="M1346" s="8" t="s">
        <v>530</v>
      </c>
    </row>
    <row r="1347" spans="1:13" ht="19.95" customHeight="1" x14ac:dyDescent="0.25">
      <c r="A1347" s="40">
        <v>45352</v>
      </c>
      <c r="B1347" s="46">
        <f>MONTH(Table13[[#This Row],[YearMonth]])</f>
        <v>3</v>
      </c>
      <c r="C1347" s="5" t="s">
        <v>159</v>
      </c>
      <c r="D1347" s="6" t="s">
        <v>330</v>
      </c>
      <c r="E1347" s="6">
        <f>IF(Table13[[#This Row],[Quartile]]="TopQuartile", 1,
 IF(Table13[[#This Row],[Quartile]]="SecondQuartile", 2,
 IF(Table13[[#This Row],[Quartile]]="ThirdQuartile", 3,
 IF(Table13[[#This Row],[Quartile]]="FourthQuartile", 4, ""))))</f>
        <v>1</v>
      </c>
      <c r="F1347" s="5" t="s">
        <v>552</v>
      </c>
      <c r="G1347" s="5" t="str" cm="1">
        <f t="array" ref="G1347">IFERROR(
  INDEX(Table13[Quartile],
    MATCH(1,
      (Table13[[#This Row],[OrgName]]=Table13[OrgName]) *
      (Table13[[#This Row],[Month Number]]-1=Table13[Month Number]),
    0)
  ),
"")</f>
        <v>TopQuartile</v>
      </c>
      <c r="H1347" s="5">
        <f>IF(Table13[[#This Row],[Previous Quartile]]="TopQuartile", 1,
 IF(Table13[[#This Row],[Previous Quartile]]="SecondQuartile", 2,
 IF(Table13[[#This Row],[Previous Quartile]]="ThirdQuartile", 3,
 IF(Table13[[#This Row],[Previous Quartile]]="FourthQuartile", 4, ""))))</f>
        <v>1</v>
      </c>
      <c r="I1347" s="5" t="str">
        <f>IF(Table13[[#This Row],[Previous Quartile Value]]="", "",
   IF(Table13[[#This Row],[Quartile Value]] &lt; Table13[[#This Row],[Previous Quartile Value]], "Improved",
   IF(Table13[[#This Row],[Quartile Value]] &gt; Table13[[#This Row],[Previous Quartile Value]], "Dropped", "Same")))</f>
        <v>Same</v>
      </c>
      <c r="J1347" s="5" t="s">
        <v>20</v>
      </c>
      <c r="K1347" s="7" t="str">
        <f>VLOOKUP(J1347,Introduction!$B$6:$C$14,2)</f>
        <v>East of England</v>
      </c>
      <c r="L1347" s="13">
        <v>137</v>
      </c>
      <c r="M1347" s="8" t="s">
        <v>530</v>
      </c>
    </row>
    <row r="1348" spans="1:13" ht="19.95" customHeight="1" x14ac:dyDescent="0.25">
      <c r="A1348" s="40">
        <v>45352</v>
      </c>
      <c r="B1348" s="46">
        <f>MONTH(Table13[[#This Row],[YearMonth]])</f>
        <v>3</v>
      </c>
      <c r="C1348" s="5" t="s">
        <v>124</v>
      </c>
      <c r="D1348" s="6" t="s">
        <v>338</v>
      </c>
      <c r="E1348" s="6">
        <f>IF(Table13[[#This Row],[Quartile]]="TopQuartile", 1,
 IF(Table13[[#This Row],[Quartile]]="SecondQuartile", 2,
 IF(Table13[[#This Row],[Quartile]]="ThirdQuartile", 3,
 IF(Table13[[#This Row],[Quartile]]="FourthQuartile", 4, ""))))</f>
        <v>2</v>
      </c>
      <c r="F1348" s="5" t="s">
        <v>547</v>
      </c>
      <c r="G1348" s="5" t="str" cm="1">
        <f t="array" ref="G1348">IFERROR(
  INDEX(Table13[Quartile],
    MATCH(1,
      (Table13[[#This Row],[OrgName]]=Table13[OrgName]) *
      (Table13[[#This Row],[Month Number]]-1=Table13[Month Number]),
    0)
  ),
"")</f>
        <v>TopQuartile</v>
      </c>
      <c r="H1348" s="5">
        <f>IF(Table13[[#This Row],[Previous Quartile]]="TopQuartile", 1,
 IF(Table13[[#This Row],[Previous Quartile]]="SecondQuartile", 2,
 IF(Table13[[#This Row],[Previous Quartile]]="ThirdQuartile", 3,
 IF(Table13[[#This Row],[Previous Quartile]]="FourthQuartile", 4, ""))))</f>
        <v>1</v>
      </c>
      <c r="I1348" s="5" t="str">
        <f>IF(Table13[[#This Row],[Previous Quartile Value]]="", "",
   IF(Table13[[#This Row],[Quartile Value]] &lt; Table13[[#This Row],[Previous Quartile Value]], "Improved",
   IF(Table13[[#This Row],[Quartile Value]] &gt; Table13[[#This Row],[Previous Quartile Value]], "Dropped", "Same")))</f>
        <v>Dropped</v>
      </c>
      <c r="J1348" s="5" t="s">
        <v>18</v>
      </c>
      <c r="K1348" s="7" t="str">
        <f>VLOOKUP(J1348,Introduction!$B$6:$C$14,2)</f>
        <v>Midlands</v>
      </c>
      <c r="L1348" s="13">
        <v>994</v>
      </c>
      <c r="M1348" s="8" t="s">
        <v>530</v>
      </c>
    </row>
    <row r="1349" spans="1:13" ht="19.95" customHeight="1" x14ac:dyDescent="0.25">
      <c r="A1349" s="40">
        <v>45352</v>
      </c>
      <c r="B1349" s="46">
        <f>MONTH(Table13[[#This Row],[YearMonth]])</f>
        <v>3</v>
      </c>
      <c r="C1349" s="5" t="s">
        <v>64</v>
      </c>
      <c r="D1349" s="6" t="s">
        <v>338</v>
      </c>
      <c r="E1349" s="6">
        <f>IF(Table13[[#This Row],[Quartile]]="TopQuartile", 1,
 IF(Table13[[#This Row],[Quartile]]="SecondQuartile", 2,
 IF(Table13[[#This Row],[Quartile]]="ThirdQuartile", 3,
 IF(Table13[[#This Row],[Quartile]]="FourthQuartile", 4, ""))))</f>
        <v>2</v>
      </c>
      <c r="F1349" s="5" t="s">
        <v>537</v>
      </c>
      <c r="G1349" s="5" t="str" cm="1">
        <f t="array" ref="G1349">IFERROR(
  INDEX(Table13[Quartile],
    MATCH(1,
      (Table13[[#This Row],[OrgName]]=Table13[OrgName]) *
      (Table13[[#This Row],[Month Number]]-1=Table13[Month Number]),
    0)
  ),
"")</f>
        <v>SecondQuartile</v>
      </c>
      <c r="H1349" s="5">
        <f>IF(Table13[[#This Row],[Previous Quartile]]="TopQuartile", 1,
 IF(Table13[[#This Row],[Previous Quartile]]="SecondQuartile", 2,
 IF(Table13[[#This Row],[Previous Quartile]]="ThirdQuartile", 3,
 IF(Table13[[#This Row],[Previous Quartile]]="FourthQuartile", 4, ""))))</f>
        <v>2</v>
      </c>
      <c r="I1349" s="5" t="str">
        <f>IF(Table13[[#This Row],[Previous Quartile Value]]="", "",
   IF(Table13[[#This Row],[Quartile Value]] &lt; Table13[[#This Row],[Previous Quartile Value]], "Improved",
   IF(Table13[[#This Row],[Quartile Value]] &gt; Table13[[#This Row],[Previous Quartile Value]], "Dropped", "Same")))</f>
        <v>Same</v>
      </c>
      <c r="J1349" s="5" t="s">
        <v>20</v>
      </c>
      <c r="K1349" s="7" t="str">
        <f>VLOOKUP(J1349,Introduction!$B$6:$C$14,2)</f>
        <v>East of England</v>
      </c>
      <c r="L1349" s="13">
        <v>465</v>
      </c>
      <c r="M1349" s="8" t="s">
        <v>530</v>
      </c>
    </row>
    <row r="1350" spans="1:13" ht="19.95" customHeight="1" x14ac:dyDescent="0.25">
      <c r="A1350" s="40">
        <v>45352</v>
      </c>
      <c r="B1350" s="46">
        <f>MONTH(Table13[[#This Row],[YearMonth]])</f>
        <v>3</v>
      </c>
      <c r="C1350" s="5" t="s">
        <v>131</v>
      </c>
      <c r="D1350" s="6" t="s">
        <v>338</v>
      </c>
      <c r="E1350" s="6">
        <f>IF(Table13[[#This Row],[Quartile]]="TopQuartile", 1,
 IF(Table13[[#This Row],[Quartile]]="SecondQuartile", 2,
 IF(Table13[[#This Row],[Quartile]]="ThirdQuartile", 3,
 IF(Table13[[#This Row],[Quartile]]="FourthQuartile", 4, ""))))</f>
        <v>2</v>
      </c>
      <c r="F1350" s="5" t="s">
        <v>549</v>
      </c>
      <c r="G1350" s="5" t="str" cm="1">
        <f t="array" ref="G1350">IFERROR(
  INDEX(Table13[Quartile],
    MATCH(1,
      (Table13[[#This Row],[OrgName]]=Table13[OrgName]) *
      (Table13[[#This Row],[Month Number]]-1=Table13[Month Number]),
    0)
  ),
"")</f>
        <v>SecondQuartile</v>
      </c>
      <c r="H1350" s="5">
        <f>IF(Table13[[#This Row],[Previous Quartile]]="TopQuartile", 1,
 IF(Table13[[#This Row],[Previous Quartile]]="SecondQuartile", 2,
 IF(Table13[[#This Row],[Previous Quartile]]="ThirdQuartile", 3,
 IF(Table13[[#This Row],[Previous Quartile]]="FourthQuartile", 4, ""))))</f>
        <v>2</v>
      </c>
      <c r="I1350" s="5" t="str">
        <f>IF(Table13[[#This Row],[Previous Quartile Value]]="", "",
   IF(Table13[[#This Row],[Quartile Value]] &lt; Table13[[#This Row],[Previous Quartile Value]], "Improved",
   IF(Table13[[#This Row],[Quartile Value]] &gt; Table13[[#This Row],[Previous Quartile Value]], "Dropped", "Same")))</f>
        <v>Same</v>
      </c>
      <c r="J1350" s="5" t="s">
        <v>18</v>
      </c>
      <c r="K1350" s="7" t="str">
        <f>VLOOKUP(J1350,Introduction!$B$6:$C$14,2)</f>
        <v>Midlands</v>
      </c>
      <c r="L1350" s="13">
        <v>105</v>
      </c>
      <c r="M1350" s="8" t="s">
        <v>530</v>
      </c>
    </row>
    <row r="1351" spans="1:13" ht="19.95" customHeight="1" x14ac:dyDescent="0.25">
      <c r="A1351" s="40">
        <v>45352</v>
      </c>
      <c r="B1351" s="46">
        <f>MONTH(Table13[[#This Row],[YearMonth]])</f>
        <v>3</v>
      </c>
      <c r="C1351" s="5" t="s">
        <v>126</v>
      </c>
      <c r="D1351" s="6" t="s">
        <v>338</v>
      </c>
      <c r="E1351" s="6">
        <f>IF(Table13[[#This Row],[Quartile]]="TopQuartile", 1,
 IF(Table13[[#This Row],[Quartile]]="SecondQuartile", 2,
 IF(Table13[[#This Row],[Quartile]]="ThirdQuartile", 3,
 IF(Table13[[#This Row],[Quartile]]="FourthQuartile", 4, ""))))</f>
        <v>2</v>
      </c>
      <c r="F1351" s="5" t="s">
        <v>548</v>
      </c>
      <c r="G1351" s="5" t="str" cm="1">
        <f t="array" ref="G1351">IFERROR(
  INDEX(Table13[Quartile],
    MATCH(1,
      (Table13[[#This Row],[OrgName]]=Table13[OrgName]) *
      (Table13[[#This Row],[Month Number]]-1=Table13[Month Number]),
    0)
  ),
"")</f>
        <v>SecondQuartile</v>
      </c>
      <c r="H1351" s="5">
        <f>IF(Table13[[#This Row],[Previous Quartile]]="TopQuartile", 1,
 IF(Table13[[#This Row],[Previous Quartile]]="SecondQuartile", 2,
 IF(Table13[[#This Row],[Previous Quartile]]="ThirdQuartile", 3,
 IF(Table13[[#This Row],[Previous Quartile]]="FourthQuartile", 4, ""))))</f>
        <v>2</v>
      </c>
      <c r="I1351" s="5" t="str">
        <f>IF(Table13[[#This Row],[Previous Quartile Value]]="", "",
   IF(Table13[[#This Row],[Quartile Value]] &lt; Table13[[#This Row],[Previous Quartile Value]], "Improved",
   IF(Table13[[#This Row],[Quartile Value]] &gt; Table13[[#This Row],[Previous Quartile Value]], "Dropped", "Same")))</f>
        <v>Same</v>
      </c>
      <c r="J1351" s="5" t="s">
        <v>12</v>
      </c>
      <c r="K1351" s="7" t="str">
        <f>VLOOKUP(J1351,Introduction!$B$6:$C$14,2)</f>
        <v>London</v>
      </c>
      <c r="L1351" s="13">
        <v>487</v>
      </c>
      <c r="M1351" s="8" t="s">
        <v>530</v>
      </c>
    </row>
    <row r="1352" spans="1:13" ht="19.95" customHeight="1" x14ac:dyDescent="0.25">
      <c r="A1352" s="40">
        <v>45352</v>
      </c>
      <c r="B1352" s="46">
        <f>MONTH(Table13[[#This Row],[YearMonth]])</f>
        <v>3</v>
      </c>
      <c r="C1352" s="5" t="s">
        <v>93</v>
      </c>
      <c r="D1352" s="6" t="s">
        <v>338</v>
      </c>
      <c r="E1352" s="6">
        <f>IF(Table13[[#This Row],[Quartile]]="TopQuartile", 1,
 IF(Table13[[#This Row],[Quartile]]="SecondQuartile", 2,
 IF(Table13[[#This Row],[Quartile]]="ThirdQuartile", 3,
 IF(Table13[[#This Row],[Quartile]]="FourthQuartile", 4, ""))))</f>
        <v>2</v>
      </c>
      <c r="F1352" s="5" t="s">
        <v>543</v>
      </c>
      <c r="G1352" s="5" t="str" cm="1">
        <f t="array" ref="G1352">IFERROR(
  INDEX(Table13[Quartile],
    MATCH(1,
      (Table13[[#This Row],[OrgName]]=Table13[OrgName]) *
      (Table13[[#This Row],[Month Number]]-1=Table13[Month Number]),
    0)
  ),
"")</f>
        <v>SecondQuartile</v>
      </c>
      <c r="H1352" s="5">
        <f>IF(Table13[[#This Row],[Previous Quartile]]="TopQuartile", 1,
 IF(Table13[[#This Row],[Previous Quartile]]="SecondQuartile", 2,
 IF(Table13[[#This Row],[Previous Quartile]]="ThirdQuartile", 3,
 IF(Table13[[#This Row],[Previous Quartile]]="FourthQuartile", 4, ""))))</f>
        <v>2</v>
      </c>
      <c r="I1352" s="5" t="str">
        <f>IF(Table13[[#This Row],[Previous Quartile Value]]="", "",
   IF(Table13[[#This Row],[Quartile Value]] &lt; Table13[[#This Row],[Previous Quartile Value]], "Improved",
   IF(Table13[[#This Row],[Quartile Value]] &gt; Table13[[#This Row],[Previous Quartile Value]], "Dropped", "Same")))</f>
        <v>Same</v>
      </c>
      <c r="J1352" s="5" t="s">
        <v>16</v>
      </c>
      <c r="K1352" s="7" t="str">
        <f>VLOOKUP(J1352,Introduction!$B$6:$C$14,2)</f>
        <v>South East</v>
      </c>
      <c r="L1352" s="13">
        <v>495</v>
      </c>
      <c r="M1352" s="8" t="s">
        <v>530</v>
      </c>
    </row>
    <row r="1353" spans="1:13" ht="19.95" customHeight="1" x14ac:dyDescent="0.25">
      <c r="A1353" s="40">
        <v>45352</v>
      </c>
      <c r="B1353" s="46">
        <f>MONTH(Table13[[#This Row],[YearMonth]])</f>
        <v>3</v>
      </c>
      <c r="C1353" s="5" t="s">
        <v>100</v>
      </c>
      <c r="D1353" s="6" t="s">
        <v>338</v>
      </c>
      <c r="E1353" s="6">
        <f>IF(Table13[[#This Row],[Quartile]]="TopQuartile", 1,
 IF(Table13[[#This Row],[Quartile]]="SecondQuartile", 2,
 IF(Table13[[#This Row],[Quartile]]="ThirdQuartile", 3,
 IF(Table13[[#This Row],[Quartile]]="FourthQuartile", 4, ""))))</f>
        <v>2</v>
      </c>
      <c r="F1353" s="5" t="s">
        <v>544</v>
      </c>
      <c r="G1353" s="5" t="str" cm="1">
        <f t="array" ref="G1353">IFERROR(
  INDEX(Table13[Quartile],
    MATCH(1,
      (Table13[[#This Row],[OrgName]]=Table13[OrgName]) *
      (Table13[[#This Row],[Month Number]]-1=Table13[Month Number]),
    0)
  ),
"")</f>
        <v>SecondQuartile</v>
      </c>
      <c r="H1353" s="5">
        <f>IF(Table13[[#This Row],[Previous Quartile]]="TopQuartile", 1,
 IF(Table13[[#This Row],[Previous Quartile]]="SecondQuartile", 2,
 IF(Table13[[#This Row],[Previous Quartile]]="ThirdQuartile", 3,
 IF(Table13[[#This Row],[Previous Quartile]]="FourthQuartile", 4, ""))))</f>
        <v>2</v>
      </c>
      <c r="I1353" s="5" t="str">
        <f>IF(Table13[[#This Row],[Previous Quartile Value]]="", "",
   IF(Table13[[#This Row],[Quartile Value]] &lt; Table13[[#This Row],[Previous Quartile Value]], "Improved",
   IF(Table13[[#This Row],[Quartile Value]] &gt; Table13[[#This Row],[Previous Quartile Value]], "Dropped", "Same")))</f>
        <v>Same</v>
      </c>
      <c r="J1353" s="5" t="s">
        <v>24</v>
      </c>
      <c r="K1353" s="7" t="str">
        <f>VLOOKUP(J1353,Introduction!$B$6:$C$14,2)</f>
        <v>North East and Yorkshire</v>
      </c>
      <c r="L1353" s="13">
        <v>133</v>
      </c>
      <c r="M1353" s="8" t="s">
        <v>530</v>
      </c>
    </row>
    <row r="1354" spans="1:13" ht="19.95" customHeight="1" x14ac:dyDescent="0.25">
      <c r="A1354" s="40">
        <v>45352</v>
      </c>
      <c r="B1354" s="46">
        <f>MONTH(Table13[[#This Row],[YearMonth]])</f>
        <v>3</v>
      </c>
      <c r="C1354" s="5" t="s">
        <v>162</v>
      </c>
      <c r="D1354" s="6" t="s">
        <v>338</v>
      </c>
      <c r="E1354" s="6">
        <f>IF(Table13[[#This Row],[Quartile]]="TopQuartile", 1,
 IF(Table13[[#This Row],[Quartile]]="SecondQuartile", 2,
 IF(Table13[[#This Row],[Quartile]]="ThirdQuartile", 3,
 IF(Table13[[#This Row],[Quartile]]="FourthQuartile", 4, ""))))</f>
        <v>2</v>
      </c>
      <c r="F1354" s="5" t="s">
        <v>553</v>
      </c>
      <c r="G1354" s="5" t="str" cm="1">
        <f t="array" ref="G1354">IFERROR(
  INDEX(Table13[Quartile],
    MATCH(1,
      (Table13[[#This Row],[OrgName]]=Table13[OrgName]) *
      (Table13[[#This Row],[Month Number]]-1=Table13[Month Number]),
    0)
  ),
"")</f>
        <v>SecondQuartile</v>
      </c>
      <c r="H1354" s="5">
        <f>IF(Table13[[#This Row],[Previous Quartile]]="TopQuartile", 1,
 IF(Table13[[#This Row],[Previous Quartile]]="SecondQuartile", 2,
 IF(Table13[[#This Row],[Previous Quartile]]="ThirdQuartile", 3,
 IF(Table13[[#This Row],[Previous Quartile]]="FourthQuartile", 4, ""))))</f>
        <v>2</v>
      </c>
      <c r="I1354" s="5" t="str">
        <f>IF(Table13[[#This Row],[Previous Quartile Value]]="", "",
   IF(Table13[[#This Row],[Quartile Value]] &lt; Table13[[#This Row],[Previous Quartile Value]], "Improved",
   IF(Table13[[#This Row],[Quartile Value]] &gt; Table13[[#This Row],[Previous Quartile Value]], "Dropped", "Same")))</f>
        <v>Same</v>
      </c>
      <c r="J1354" s="5" t="s">
        <v>14</v>
      </c>
      <c r="K1354" s="7" t="str">
        <f>VLOOKUP(J1354,Introduction!$B$6:$C$14,2)</f>
        <v>South West</v>
      </c>
      <c r="L1354" s="13">
        <v>471</v>
      </c>
      <c r="M1354" s="8" t="s">
        <v>530</v>
      </c>
    </row>
    <row r="1355" spans="1:13" ht="19.95" customHeight="1" x14ac:dyDescent="0.25">
      <c r="A1355" s="40">
        <v>45352</v>
      </c>
      <c r="B1355" s="46">
        <f>MONTH(Table13[[#This Row],[YearMonth]])</f>
        <v>3</v>
      </c>
      <c r="C1355" s="5" t="s">
        <v>139</v>
      </c>
      <c r="D1355" s="6" t="s">
        <v>338</v>
      </c>
      <c r="E1355" s="6">
        <f>IF(Table13[[#This Row],[Quartile]]="TopQuartile", 1,
 IF(Table13[[#This Row],[Quartile]]="SecondQuartile", 2,
 IF(Table13[[#This Row],[Quartile]]="ThirdQuartile", 3,
 IF(Table13[[#This Row],[Quartile]]="FourthQuartile", 4, ""))))</f>
        <v>2</v>
      </c>
      <c r="F1355" s="5" t="s">
        <v>550</v>
      </c>
      <c r="G1355" s="5" t="str" cm="1">
        <f t="array" ref="G1355">IFERROR(
  INDEX(Table13[Quartile],
    MATCH(1,
      (Table13[[#This Row],[OrgName]]=Table13[OrgName]) *
      (Table13[[#This Row],[Month Number]]-1=Table13[Month Number]),
    0)
  ),
"")</f>
        <v>SecondQuartile</v>
      </c>
      <c r="H1355" s="5">
        <f>IF(Table13[[#This Row],[Previous Quartile]]="TopQuartile", 1,
 IF(Table13[[#This Row],[Previous Quartile]]="SecondQuartile", 2,
 IF(Table13[[#This Row],[Previous Quartile]]="ThirdQuartile", 3,
 IF(Table13[[#This Row],[Previous Quartile]]="FourthQuartile", 4, ""))))</f>
        <v>2</v>
      </c>
      <c r="I1355" s="5" t="str">
        <f>IF(Table13[[#This Row],[Previous Quartile Value]]="", "",
   IF(Table13[[#This Row],[Quartile Value]] &lt; Table13[[#This Row],[Previous Quartile Value]], "Improved",
   IF(Table13[[#This Row],[Quartile Value]] &gt; Table13[[#This Row],[Previous Quartile Value]], "Dropped", "Same")))</f>
        <v>Same</v>
      </c>
      <c r="J1355" s="5" t="s">
        <v>18</v>
      </c>
      <c r="K1355" s="7" t="str">
        <f>VLOOKUP(J1355,Introduction!$B$6:$C$14,2)</f>
        <v>Midlands</v>
      </c>
      <c r="L1355" s="13">
        <v>529</v>
      </c>
      <c r="M1355" s="8" t="s">
        <v>530</v>
      </c>
    </row>
    <row r="1356" spans="1:13" ht="19.95" customHeight="1" x14ac:dyDescent="0.25">
      <c r="A1356" s="40">
        <v>45352</v>
      </c>
      <c r="B1356" s="46">
        <f>MONTH(Table13[[#This Row],[YearMonth]])</f>
        <v>3</v>
      </c>
      <c r="C1356" s="5" t="s">
        <v>166</v>
      </c>
      <c r="D1356" s="6" t="s">
        <v>338</v>
      </c>
      <c r="E1356" s="6">
        <f>IF(Table13[[#This Row],[Quartile]]="TopQuartile", 1,
 IF(Table13[[#This Row],[Quartile]]="SecondQuartile", 2,
 IF(Table13[[#This Row],[Quartile]]="ThirdQuartile", 3,
 IF(Table13[[#This Row],[Quartile]]="FourthQuartile", 4, ""))))</f>
        <v>2</v>
      </c>
      <c r="F1356" s="5" t="s">
        <v>554</v>
      </c>
      <c r="G1356" s="5" t="str" cm="1">
        <f t="array" ref="G1356">IFERROR(
  INDEX(Table13[Quartile],
    MATCH(1,
      (Table13[[#This Row],[OrgName]]=Table13[OrgName]) *
      (Table13[[#This Row],[Month Number]]-1=Table13[Month Number]),
    0)
  ),
"")</f>
        <v>SecondQuartile</v>
      </c>
      <c r="H1356" s="5">
        <f>IF(Table13[[#This Row],[Previous Quartile]]="TopQuartile", 1,
 IF(Table13[[#This Row],[Previous Quartile]]="SecondQuartile", 2,
 IF(Table13[[#This Row],[Previous Quartile]]="ThirdQuartile", 3,
 IF(Table13[[#This Row],[Previous Quartile]]="FourthQuartile", 4, ""))))</f>
        <v>2</v>
      </c>
      <c r="I1356" s="5" t="str">
        <f>IF(Table13[[#This Row],[Previous Quartile Value]]="", "",
   IF(Table13[[#This Row],[Quartile Value]] &lt; Table13[[#This Row],[Previous Quartile Value]], "Improved",
   IF(Table13[[#This Row],[Quartile Value]] &gt; Table13[[#This Row],[Previous Quartile Value]], "Dropped", "Same")))</f>
        <v>Same</v>
      </c>
      <c r="J1356" s="5" t="s">
        <v>18</v>
      </c>
      <c r="K1356" s="7" t="str">
        <f>VLOOKUP(J1356,Introduction!$B$6:$C$14,2)</f>
        <v>Midlands</v>
      </c>
      <c r="L1356" s="13">
        <v>996</v>
      </c>
      <c r="M1356" s="8" t="s">
        <v>530</v>
      </c>
    </row>
    <row r="1357" spans="1:13" ht="19.95" customHeight="1" x14ac:dyDescent="0.25">
      <c r="A1357" s="40">
        <v>45352</v>
      </c>
      <c r="B1357" s="46">
        <f>MONTH(Table13[[#This Row],[YearMonth]])</f>
        <v>3</v>
      </c>
      <c r="C1357" s="5" t="s">
        <v>151</v>
      </c>
      <c r="D1357" s="6" t="s">
        <v>338</v>
      </c>
      <c r="E1357" s="6">
        <f>IF(Table13[[#This Row],[Quartile]]="TopQuartile", 1,
 IF(Table13[[#This Row],[Quartile]]="SecondQuartile", 2,
 IF(Table13[[#This Row],[Quartile]]="ThirdQuartile", 3,
 IF(Table13[[#This Row],[Quartile]]="FourthQuartile", 4, ""))))</f>
        <v>2</v>
      </c>
      <c r="F1357" s="5" t="s">
        <v>551</v>
      </c>
      <c r="G1357" s="5" t="str" cm="1">
        <f t="array" ref="G1357">IFERROR(
  INDEX(Table13[Quartile],
    MATCH(1,
      (Table13[[#This Row],[OrgName]]=Table13[OrgName]) *
      (Table13[[#This Row],[Month Number]]-1=Table13[Month Number]),
    0)
  ),
"")</f>
        <v>ThirdQuartile</v>
      </c>
      <c r="H1357" s="5">
        <f>IF(Table13[[#This Row],[Previous Quartile]]="TopQuartile", 1,
 IF(Table13[[#This Row],[Previous Quartile]]="SecondQuartile", 2,
 IF(Table13[[#This Row],[Previous Quartile]]="ThirdQuartile", 3,
 IF(Table13[[#This Row],[Previous Quartile]]="FourthQuartile", 4, ""))))</f>
        <v>3</v>
      </c>
      <c r="I1357" s="5" t="str">
        <f>IF(Table13[[#This Row],[Previous Quartile Value]]="", "",
   IF(Table13[[#This Row],[Quartile Value]] &lt; Table13[[#This Row],[Previous Quartile Value]], "Improved",
   IF(Table13[[#This Row],[Quartile Value]] &gt; Table13[[#This Row],[Previous Quartile Value]], "Dropped", "Same")))</f>
        <v>Improved</v>
      </c>
      <c r="J1357" s="5" t="s">
        <v>18</v>
      </c>
      <c r="K1357" s="7" t="str">
        <f>VLOOKUP(J1357,Introduction!$B$6:$C$14,2)</f>
        <v>Midlands</v>
      </c>
      <c r="L1357" s="13">
        <v>111</v>
      </c>
      <c r="M1357" s="8" t="s">
        <v>530</v>
      </c>
    </row>
    <row r="1358" spans="1:13" ht="19.95" customHeight="1" x14ac:dyDescent="0.25">
      <c r="A1358" s="40">
        <v>45352</v>
      </c>
      <c r="B1358" s="46">
        <f>MONTH(Table13[[#This Row],[YearMonth]])</f>
        <v>3</v>
      </c>
      <c r="C1358" s="5" t="s">
        <v>115</v>
      </c>
      <c r="D1358" s="6" t="s">
        <v>341</v>
      </c>
      <c r="E1358" s="6">
        <f>IF(Table13[[#This Row],[Quartile]]="TopQuartile", 1,
 IF(Table13[[#This Row],[Quartile]]="SecondQuartile", 2,
 IF(Table13[[#This Row],[Quartile]]="ThirdQuartile", 3,
 IF(Table13[[#This Row],[Quartile]]="FourthQuartile", 4, ""))))</f>
        <v>3</v>
      </c>
      <c r="F1358" s="5" t="s">
        <v>546</v>
      </c>
      <c r="G1358" s="5" t="str" cm="1">
        <f t="array" ref="G1358">IFERROR(
  INDEX(Table13[Quartile],
    MATCH(1,
      (Table13[[#This Row],[OrgName]]=Table13[OrgName]) *
      (Table13[[#This Row],[Month Number]]-1=Table13[Month Number]),
    0)
  ),
"")</f>
        <v>ThirdQuartile</v>
      </c>
      <c r="H1358" s="5">
        <f>IF(Table13[[#This Row],[Previous Quartile]]="TopQuartile", 1,
 IF(Table13[[#This Row],[Previous Quartile]]="SecondQuartile", 2,
 IF(Table13[[#This Row],[Previous Quartile]]="ThirdQuartile", 3,
 IF(Table13[[#This Row],[Previous Quartile]]="FourthQuartile", 4, ""))))</f>
        <v>3</v>
      </c>
      <c r="I1358" s="5" t="str">
        <f>IF(Table13[[#This Row],[Previous Quartile Value]]="", "",
   IF(Table13[[#This Row],[Quartile Value]] &lt; Table13[[#This Row],[Previous Quartile Value]], "Improved",
   IF(Table13[[#This Row],[Quartile Value]] &gt; Table13[[#This Row],[Previous Quartile Value]], "Dropped", "Same")))</f>
        <v>Same</v>
      </c>
      <c r="J1358" s="5" t="s">
        <v>18</v>
      </c>
      <c r="K1358" s="7" t="str">
        <f>VLOOKUP(J1358,Introduction!$B$6:$C$14,2)</f>
        <v>Midlands</v>
      </c>
      <c r="L1358" s="13">
        <v>942</v>
      </c>
      <c r="M1358" s="8" t="s">
        <v>530</v>
      </c>
    </row>
    <row r="1359" spans="1:13" ht="19.95" customHeight="1" x14ac:dyDescent="0.25">
      <c r="A1359" s="40">
        <v>45352</v>
      </c>
      <c r="B1359" s="46">
        <f>MONTH(Table13[[#This Row],[YearMonth]])</f>
        <v>3</v>
      </c>
      <c r="C1359" s="5" t="s">
        <v>231</v>
      </c>
      <c r="D1359" s="6" t="s">
        <v>341</v>
      </c>
      <c r="E1359" s="6">
        <f>IF(Table13[[#This Row],[Quartile]]="TopQuartile", 1,
 IF(Table13[[#This Row],[Quartile]]="SecondQuartile", 2,
 IF(Table13[[#This Row],[Quartile]]="ThirdQuartile", 3,
 IF(Table13[[#This Row],[Quartile]]="FourthQuartile", 4, ""))))</f>
        <v>3</v>
      </c>
      <c r="F1359" s="5" t="s">
        <v>558</v>
      </c>
      <c r="G1359" s="5" t="str" cm="1">
        <f t="array" ref="G1359">IFERROR(
  INDEX(Table13[Quartile],
    MATCH(1,
      (Table13[[#This Row],[OrgName]]=Table13[OrgName]) *
      (Table13[[#This Row],[Month Number]]-1=Table13[Month Number]),
    0)
  ),
"")</f>
        <v>ThirdQuartile</v>
      </c>
      <c r="H1359" s="5">
        <f>IF(Table13[[#This Row],[Previous Quartile]]="TopQuartile", 1,
 IF(Table13[[#This Row],[Previous Quartile]]="SecondQuartile", 2,
 IF(Table13[[#This Row],[Previous Quartile]]="ThirdQuartile", 3,
 IF(Table13[[#This Row],[Previous Quartile]]="FourthQuartile", 4, ""))))</f>
        <v>3</v>
      </c>
      <c r="I1359" s="5" t="str">
        <f>IF(Table13[[#This Row],[Previous Quartile Value]]="", "",
   IF(Table13[[#This Row],[Quartile Value]] &lt; Table13[[#This Row],[Previous Quartile Value]], "Improved",
   IF(Table13[[#This Row],[Quartile Value]] &gt; Table13[[#This Row],[Previous Quartile Value]], "Dropped", "Same")))</f>
        <v>Same</v>
      </c>
      <c r="J1359" s="5" t="s">
        <v>12</v>
      </c>
      <c r="K1359" s="7" t="str">
        <f>VLOOKUP(J1359,Introduction!$B$6:$C$14,2)</f>
        <v>London</v>
      </c>
      <c r="L1359" s="13">
        <v>491</v>
      </c>
      <c r="M1359" s="8" t="s">
        <v>530</v>
      </c>
    </row>
    <row r="1360" spans="1:13" ht="19.95" customHeight="1" x14ac:dyDescent="0.25">
      <c r="A1360" s="40">
        <v>45352</v>
      </c>
      <c r="B1360" s="46">
        <f>MONTH(Table13[[#This Row],[YearMonth]])</f>
        <v>3</v>
      </c>
      <c r="C1360" s="5" t="s">
        <v>216</v>
      </c>
      <c r="D1360" s="6" t="s">
        <v>341</v>
      </c>
      <c r="E1360" s="6">
        <f>IF(Table13[[#This Row],[Quartile]]="TopQuartile", 1,
 IF(Table13[[#This Row],[Quartile]]="SecondQuartile", 2,
 IF(Table13[[#This Row],[Quartile]]="ThirdQuartile", 3,
 IF(Table13[[#This Row],[Quartile]]="FourthQuartile", 4, ""))))</f>
        <v>3</v>
      </c>
      <c r="F1360" s="5" t="s">
        <v>556</v>
      </c>
      <c r="G1360" s="5" t="str" cm="1">
        <f t="array" ref="G1360">IFERROR(
  INDEX(Table13[Quartile],
    MATCH(1,
      (Table13[[#This Row],[OrgName]]=Table13[OrgName]) *
      (Table13[[#This Row],[Month Number]]-1=Table13[Month Number]),
    0)
  ),
"")</f>
        <v>ThirdQuartile</v>
      </c>
      <c r="H1360" s="5">
        <f>IF(Table13[[#This Row],[Previous Quartile]]="TopQuartile", 1,
 IF(Table13[[#This Row],[Previous Quartile]]="SecondQuartile", 2,
 IF(Table13[[#This Row],[Previous Quartile]]="ThirdQuartile", 3,
 IF(Table13[[#This Row],[Previous Quartile]]="FourthQuartile", 4, ""))))</f>
        <v>3</v>
      </c>
      <c r="I1360" s="5" t="str">
        <f>IF(Table13[[#This Row],[Previous Quartile Value]]="", "",
   IF(Table13[[#This Row],[Quartile Value]] &lt; Table13[[#This Row],[Previous Quartile Value]], "Improved",
   IF(Table13[[#This Row],[Quartile Value]] &gt; Table13[[#This Row],[Previous Quartile Value]], "Dropped", "Same")))</f>
        <v>Same</v>
      </c>
      <c r="J1360" s="5" t="s">
        <v>12</v>
      </c>
      <c r="K1360" s="7" t="str">
        <f>VLOOKUP(J1360,Introduction!$B$6:$C$14,2)</f>
        <v>London</v>
      </c>
      <c r="L1360" s="13">
        <v>985</v>
      </c>
      <c r="M1360" s="8" t="s">
        <v>530</v>
      </c>
    </row>
    <row r="1361" spans="1:13" ht="19.95" customHeight="1" x14ac:dyDescent="0.25">
      <c r="A1361" s="40">
        <v>45352</v>
      </c>
      <c r="B1361" s="46">
        <f>MONTH(Table13[[#This Row],[YearMonth]])</f>
        <v>3</v>
      </c>
      <c r="C1361" s="5" t="s">
        <v>206</v>
      </c>
      <c r="D1361" s="6" t="s">
        <v>341</v>
      </c>
      <c r="E1361" s="6">
        <f>IF(Table13[[#This Row],[Quartile]]="TopQuartile", 1,
 IF(Table13[[#This Row],[Quartile]]="SecondQuartile", 2,
 IF(Table13[[#This Row],[Quartile]]="ThirdQuartile", 3,
 IF(Table13[[#This Row],[Quartile]]="FourthQuartile", 4, ""))))</f>
        <v>3</v>
      </c>
      <c r="F1361" s="5" t="s">
        <v>555</v>
      </c>
      <c r="G1361" s="5" t="str" cm="1">
        <f t="array" ref="G1361">IFERROR(
  INDEX(Table13[Quartile],
    MATCH(1,
      (Table13[[#This Row],[OrgName]]=Table13[OrgName]) *
      (Table13[[#This Row],[Month Number]]-1=Table13[Month Number]),
    0)
  ),
"")</f>
        <v>ThirdQuartile</v>
      </c>
      <c r="H1361" s="5">
        <f>IF(Table13[[#This Row],[Previous Quartile]]="TopQuartile", 1,
 IF(Table13[[#This Row],[Previous Quartile]]="SecondQuartile", 2,
 IF(Table13[[#This Row],[Previous Quartile]]="ThirdQuartile", 3,
 IF(Table13[[#This Row],[Previous Quartile]]="FourthQuartile", 4, ""))))</f>
        <v>3</v>
      </c>
      <c r="I1361" s="5" t="str">
        <f>IF(Table13[[#This Row],[Previous Quartile Value]]="", "",
   IF(Table13[[#This Row],[Quartile Value]] &lt; Table13[[#This Row],[Previous Quartile Value]], "Improved",
   IF(Table13[[#This Row],[Quartile Value]] &gt; Table13[[#This Row],[Previous Quartile Value]], "Dropped", "Same")))</f>
        <v>Same</v>
      </c>
      <c r="J1361" s="5" t="s">
        <v>12</v>
      </c>
      <c r="K1361" s="7" t="str">
        <f>VLOOKUP(J1361,Introduction!$B$6:$C$14,2)</f>
        <v>London</v>
      </c>
      <c r="L1361" s="13">
        <v>807</v>
      </c>
      <c r="M1361" s="8" t="s">
        <v>530</v>
      </c>
    </row>
    <row r="1362" spans="1:13" ht="19.95" customHeight="1" x14ac:dyDescent="0.25">
      <c r="A1362" s="40">
        <v>45352</v>
      </c>
      <c r="B1362" s="46">
        <f>MONTH(Table13[[#This Row],[YearMonth]])</f>
        <v>3</v>
      </c>
      <c r="C1362" s="5" t="s">
        <v>272</v>
      </c>
      <c r="D1362" s="6" t="s">
        <v>341</v>
      </c>
      <c r="E1362" s="6">
        <f>IF(Table13[[#This Row],[Quartile]]="TopQuartile", 1,
 IF(Table13[[#This Row],[Quartile]]="SecondQuartile", 2,
 IF(Table13[[#This Row],[Quartile]]="ThirdQuartile", 3,
 IF(Table13[[#This Row],[Quartile]]="FourthQuartile", 4, ""))))</f>
        <v>3</v>
      </c>
      <c r="F1362" s="5" t="s">
        <v>564</v>
      </c>
      <c r="G1362" s="5" t="str" cm="1">
        <f t="array" ref="G1362">IFERROR(
  INDEX(Table13[Quartile],
    MATCH(1,
      (Table13[[#This Row],[OrgName]]=Table13[OrgName]) *
      (Table13[[#This Row],[Month Number]]-1=Table13[Month Number]),
    0)
  ),
"")</f>
        <v>ThirdQuartile</v>
      </c>
      <c r="H1362" s="5">
        <f>IF(Table13[[#This Row],[Previous Quartile]]="TopQuartile", 1,
 IF(Table13[[#This Row],[Previous Quartile]]="SecondQuartile", 2,
 IF(Table13[[#This Row],[Previous Quartile]]="ThirdQuartile", 3,
 IF(Table13[[#This Row],[Previous Quartile]]="FourthQuartile", 4, ""))))</f>
        <v>3</v>
      </c>
      <c r="I1362" s="5" t="str">
        <f>IF(Table13[[#This Row],[Previous Quartile Value]]="", "",
   IF(Table13[[#This Row],[Quartile Value]] &lt; Table13[[#This Row],[Previous Quartile Value]], "Improved",
   IF(Table13[[#This Row],[Quartile Value]] &gt; Table13[[#This Row],[Previous Quartile Value]], "Dropped", "Same")))</f>
        <v>Same</v>
      </c>
      <c r="J1362" s="5" t="s">
        <v>20</v>
      </c>
      <c r="K1362" s="7" t="str">
        <f>VLOOKUP(J1362,Introduction!$B$6:$C$14,2)</f>
        <v>East of England</v>
      </c>
      <c r="L1362" s="13">
        <v>708</v>
      </c>
      <c r="M1362" s="8" t="s">
        <v>530</v>
      </c>
    </row>
    <row r="1363" spans="1:13" ht="19.95" customHeight="1" x14ac:dyDescent="0.25">
      <c r="A1363" s="40">
        <v>45352</v>
      </c>
      <c r="B1363" s="46">
        <f>MONTH(Table13[[#This Row],[YearMonth]])</f>
        <v>3</v>
      </c>
      <c r="C1363" s="5" t="s">
        <v>266</v>
      </c>
      <c r="D1363" s="6" t="s">
        <v>350</v>
      </c>
      <c r="E1363" s="6">
        <f>IF(Table13[[#This Row],[Quartile]]="TopQuartile", 1,
 IF(Table13[[#This Row],[Quartile]]="SecondQuartile", 2,
 IF(Table13[[#This Row],[Quartile]]="ThirdQuartile", 3,
 IF(Table13[[#This Row],[Quartile]]="FourthQuartile", 4, ""))))</f>
        <v>4</v>
      </c>
      <c r="F1363" s="5" t="s">
        <v>563</v>
      </c>
      <c r="G1363" s="5" t="str" cm="1">
        <f t="array" ref="G1363">IFERROR(
  INDEX(Table13[Quartile],
    MATCH(1,
      (Table13[[#This Row],[OrgName]]=Table13[OrgName]) *
      (Table13[[#This Row],[Month Number]]-1=Table13[Month Number]),
    0)
  ),
"")</f>
        <v>ThirdQuartile</v>
      </c>
      <c r="H1363" s="5">
        <f>IF(Table13[[#This Row],[Previous Quartile]]="TopQuartile", 1,
 IF(Table13[[#This Row],[Previous Quartile]]="SecondQuartile", 2,
 IF(Table13[[#This Row],[Previous Quartile]]="ThirdQuartile", 3,
 IF(Table13[[#This Row],[Previous Quartile]]="FourthQuartile", 4, ""))))</f>
        <v>3</v>
      </c>
      <c r="I1363" s="5" t="str">
        <f>IF(Table13[[#This Row],[Previous Quartile Value]]="", "",
   IF(Table13[[#This Row],[Quartile Value]] &lt; Table13[[#This Row],[Previous Quartile Value]], "Improved",
   IF(Table13[[#This Row],[Quartile Value]] &gt; Table13[[#This Row],[Previous Quartile Value]], "Dropped", "Same")))</f>
        <v>Dropped</v>
      </c>
      <c r="J1363" s="5" t="s">
        <v>12</v>
      </c>
      <c r="K1363" s="7" t="str">
        <f>VLOOKUP(J1363,Introduction!$B$6:$C$14,2)</f>
        <v>London</v>
      </c>
      <c r="L1363" s="13">
        <v>161</v>
      </c>
      <c r="M1363" s="8" t="s">
        <v>530</v>
      </c>
    </row>
    <row r="1364" spans="1:13" ht="19.95" customHeight="1" x14ac:dyDescent="0.25">
      <c r="A1364" s="40">
        <v>45352</v>
      </c>
      <c r="B1364" s="46">
        <f>MONTH(Table13[[#This Row],[YearMonth]])</f>
        <v>3</v>
      </c>
      <c r="C1364" s="5" t="s">
        <v>234</v>
      </c>
      <c r="D1364" s="6" t="s">
        <v>350</v>
      </c>
      <c r="E1364" s="6">
        <f>IF(Table13[[#This Row],[Quartile]]="TopQuartile", 1,
 IF(Table13[[#This Row],[Quartile]]="SecondQuartile", 2,
 IF(Table13[[#This Row],[Quartile]]="ThirdQuartile", 3,
 IF(Table13[[#This Row],[Quartile]]="FourthQuartile", 4, ""))))</f>
        <v>4</v>
      </c>
      <c r="F1364" s="5" t="s">
        <v>559</v>
      </c>
      <c r="G1364" s="5" t="str" cm="1">
        <f t="array" ref="G1364">IFERROR(
  INDEX(Table13[Quartile],
    MATCH(1,
      (Table13[[#This Row],[OrgName]]=Table13[OrgName]) *
      (Table13[[#This Row],[Month Number]]-1=Table13[Month Number]),
    0)
  ),
"")</f>
        <v>FourthQuartile</v>
      </c>
      <c r="H1364" s="5">
        <f>IF(Table13[[#This Row],[Previous Quartile]]="TopQuartile", 1,
 IF(Table13[[#This Row],[Previous Quartile]]="SecondQuartile", 2,
 IF(Table13[[#This Row],[Previous Quartile]]="ThirdQuartile", 3,
 IF(Table13[[#This Row],[Previous Quartile]]="FourthQuartile", 4, ""))))</f>
        <v>4</v>
      </c>
      <c r="I1364" s="5" t="str">
        <f>IF(Table13[[#This Row],[Previous Quartile Value]]="", "",
   IF(Table13[[#This Row],[Quartile Value]] &lt; Table13[[#This Row],[Previous Quartile Value]], "Improved",
   IF(Table13[[#This Row],[Quartile Value]] &gt; Table13[[#This Row],[Previous Quartile Value]], "Dropped", "Same")))</f>
        <v>Same</v>
      </c>
      <c r="J1364" s="5" t="s">
        <v>22</v>
      </c>
      <c r="K1364" s="7" t="str">
        <f>VLOOKUP(J1364,Introduction!$B$6:$C$14,2)</f>
        <v>North West</v>
      </c>
      <c r="L1364" s="13">
        <v>125</v>
      </c>
      <c r="M1364" s="8" t="s">
        <v>530</v>
      </c>
    </row>
    <row r="1365" spans="1:13" ht="19.95" customHeight="1" x14ac:dyDescent="0.25">
      <c r="A1365" s="40">
        <v>45352</v>
      </c>
      <c r="B1365" s="46">
        <f>MONTH(Table13[[#This Row],[YearMonth]])</f>
        <v>3</v>
      </c>
      <c r="C1365" s="5" t="s">
        <v>265</v>
      </c>
      <c r="D1365" s="6" t="s">
        <v>350</v>
      </c>
      <c r="E1365" s="6">
        <f>IF(Table13[[#This Row],[Quartile]]="TopQuartile", 1,
 IF(Table13[[#This Row],[Quartile]]="SecondQuartile", 2,
 IF(Table13[[#This Row],[Quartile]]="ThirdQuartile", 3,
 IF(Table13[[#This Row],[Quartile]]="FourthQuartile", 4, ""))))</f>
        <v>4</v>
      </c>
      <c r="F1365" s="5" t="s">
        <v>562</v>
      </c>
      <c r="G1365" s="5" t="str" cm="1">
        <f t="array" ref="G1365">IFERROR(
  INDEX(Table13[Quartile],
    MATCH(1,
      (Table13[[#This Row],[OrgName]]=Table13[OrgName]) *
      (Table13[[#This Row],[Month Number]]-1=Table13[Month Number]),
    0)
  ),
"")</f>
        <v>FourthQuartile</v>
      </c>
      <c r="H1365" s="5">
        <f>IF(Table13[[#This Row],[Previous Quartile]]="TopQuartile", 1,
 IF(Table13[[#This Row],[Previous Quartile]]="SecondQuartile", 2,
 IF(Table13[[#This Row],[Previous Quartile]]="ThirdQuartile", 3,
 IF(Table13[[#This Row],[Previous Quartile]]="FourthQuartile", 4, ""))))</f>
        <v>4</v>
      </c>
      <c r="I1365" s="5" t="str">
        <f>IF(Table13[[#This Row],[Previous Quartile Value]]="", "",
   IF(Table13[[#This Row],[Quartile Value]] &lt; Table13[[#This Row],[Previous Quartile Value]], "Improved",
   IF(Table13[[#This Row],[Quartile Value]] &gt; Table13[[#This Row],[Previous Quartile Value]], "Dropped", "Same")))</f>
        <v>Same</v>
      </c>
      <c r="J1365" s="5" t="s">
        <v>16</v>
      </c>
      <c r="K1365" s="7" t="str">
        <f>VLOOKUP(J1365,Introduction!$B$6:$C$14,2)</f>
        <v>South East</v>
      </c>
      <c r="L1365" s="13">
        <v>256</v>
      </c>
      <c r="M1365" s="8" t="s">
        <v>530</v>
      </c>
    </row>
    <row r="1366" spans="1:13" ht="19.95" customHeight="1" x14ac:dyDescent="0.25">
      <c r="A1366" s="40">
        <v>45352</v>
      </c>
      <c r="B1366" s="46">
        <f>MONTH(Table13[[#This Row],[YearMonth]])</f>
        <v>3</v>
      </c>
      <c r="C1366" s="5" t="s">
        <v>275</v>
      </c>
      <c r="D1366" s="6" t="s">
        <v>350</v>
      </c>
      <c r="E1366" s="6">
        <f>IF(Table13[[#This Row],[Quartile]]="TopQuartile", 1,
 IF(Table13[[#This Row],[Quartile]]="SecondQuartile", 2,
 IF(Table13[[#This Row],[Quartile]]="ThirdQuartile", 3,
 IF(Table13[[#This Row],[Quartile]]="FourthQuartile", 4, ""))))</f>
        <v>4</v>
      </c>
      <c r="F1366" s="5" t="s">
        <v>565</v>
      </c>
      <c r="G1366" s="5" t="str" cm="1">
        <f t="array" ref="G1366">IFERROR(
  INDEX(Table13[Quartile],
    MATCH(1,
      (Table13[[#This Row],[OrgName]]=Table13[OrgName]) *
      (Table13[[#This Row],[Month Number]]-1=Table13[Month Number]),
    0)
  ),
"")</f>
        <v>FourthQuartile</v>
      </c>
      <c r="H1366" s="5">
        <f>IF(Table13[[#This Row],[Previous Quartile]]="TopQuartile", 1,
 IF(Table13[[#This Row],[Previous Quartile]]="SecondQuartile", 2,
 IF(Table13[[#This Row],[Previous Quartile]]="ThirdQuartile", 3,
 IF(Table13[[#This Row],[Previous Quartile]]="FourthQuartile", 4, ""))))</f>
        <v>4</v>
      </c>
      <c r="I1366" s="5" t="str">
        <f>IF(Table13[[#This Row],[Previous Quartile Value]]="", "",
   IF(Table13[[#This Row],[Quartile Value]] &lt; Table13[[#This Row],[Previous Quartile Value]], "Improved",
   IF(Table13[[#This Row],[Quartile Value]] &gt; Table13[[#This Row],[Previous Quartile Value]], "Dropped", "Same")))</f>
        <v>Same</v>
      </c>
      <c r="J1366" s="5" t="s">
        <v>18</v>
      </c>
      <c r="K1366" s="7" t="str">
        <f>VLOOKUP(J1366,Introduction!$B$6:$C$14,2)</f>
        <v>Midlands</v>
      </c>
      <c r="L1366" s="13">
        <v>118</v>
      </c>
      <c r="M1366" s="8" t="s">
        <v>530</v>
      </c>
    </row>
    <row r="1367" spans="1:13" ht="19.95" customHeight="1" x14ac:dyDescent="0.25">
      <c r="A1367" s="40">
        <v>45352</v>
      </c>
      <c r="B1367" s="46">
        <f>MONTH(Table13[[#This Row],[YearMonth]])</f>
        <v>3</v>
      </c>
      <c r="C1367" s="5" t="s">
        <v>284</v>
      </c>
      <c r="D1367" s="6" t="s">
        <v>350</v>
      </c>
      <c r="E1367" s="6">
        <f>IF(Table13[[#This Row],[Quartile]]="TopQuartile", 1,
 IF(Table13[[#This Row],[Quartile]]="SecondQuartile", 2,
 IF(Table13[[#This Row],[Quartile]]="ThirdQuartile", 3,
 IF(Table13[[#This Row],[Quartile]]="FourthQuartile", 4, ""))))</f>
        <v>4</v>
      </c>
      <c r="F1367" s="5" t="s">
        <v>566</v>
      </c>
      <c r="G1367" s="5" t="str" cm="1">
        <f t="array" ref="G1367">IFERROR(
  INDEX(Table13[Quartile],
    MATCH(1,
      (Table13[[#This Row],[OrgName]]=Table13[OrgName]) *
      (Table13[[#This Row],[Month Number]]-1=Table13[Month Number]),
    0)
  ),
"")</f>
        <v>FourthQuartile</v>
      </c>
      <c r="H1367" s="5">
        <f>IF(Table13[[#This Row],[Previous Quartile]]="TopQuartile", 1,
 IF(Table13[[#This Row],[Previous Quartile]]="SecondQuartile", 2,
 IF(Table13[[#This Row],[Previous Quartile]]="ThirdQuartile", 3,
 IF(Table13[[#This Row],[Previous Quartile]]="FourthQuartile", 4, ""))))</f>
        <v>4</v>
      </c>
      <c r="I1367" s="5" t="str">
        <f>IF(Table13[[#This Row],[Previous Quartile Value]]="", "",
   IF(Table13[[#This Row],[Quartile Value]] &lt; Table13[[#This Row],[Previous Quartile Value]], "Improved",
   IF(Table13[[#This Row],[Quartile Value]] &gt; Table13[[#This Row],[Previous Quartile Value]], "Dropped", "Same")))</f>
        <v>Same</v>
      </c>
      <c r="J1367" s="5" t="s">
        <v>20</v>
      </c>
      <c r="K1367" s="7" t="str">
        <f>VLOOKUP(J1367,Introduction!$B$6:$C$14,2)</f>
        <v>East of England</v>
      </c>
      <c r="L1367" s="13">
        <v>468</v>
      </c>
      <c r="M1367" s="8" t="s">
        <v>530</v>
      </c>
    </row>
    <row r="1368" spans="1:13" ht="19.95" customHeight="1" x14ac:dyDescent="0.25">
      <c r="A1368" s="40">
        <v>45352</v>
      </c>
      <c r="B1368" s="46">
        <f>MONTH(Table13[[#This Row],[YearMonth]])</f>
        <v>3</v>
      </c>
      <c r="C1368" s="5" t="s">
        <v>247</v>
      </c>
      <c r="D1368" s="6" t="s">
        <v>350</v>
      </c>
      <c r="E1368" s="6">
        <f>IF(Table13[[#This Row],[Quartile]]="TopQuartile", 1,
 IF(Table13[[#This Row],[Quartile]]="SecondQuartile", 2,
 IF(Table13[[#This Row],[Quartile]]="ThirdQuartile", 3,
 IF(Table13[[#This Row],[Quartile]]="FourthQuartile", 4, ""))))</f>
        <v>4</v>
      </c>
      <c r="F1368" s="5" t="s">
        <v>560</v>
      </c>
      <c r="G1368" s="5" t="str" cm="1">
        <f t="array" ref="G1368">IFERROR(
  INDEX(Table13[Quartile],
    MATCH(1,
      (Table13[[#This Row],[OrgName]]=Table13[OrgName]) *
      (Table13[[#This Row],[Month Number]]-1=Table13[Month Number]),
    0)
  ),
"")</f>
        <v>FourthQuartile</v>
      </c>
      <c r="H1368" s="5">
        <f>IF(Table13[[#This Row],[Previous Quartile]]="TopQuartile", 1,
 IF(Table13[[#This Row],[Previous Quartile]]="SecondQuartile", 2,
 IF(Table13[[#This Row],[Previous Quartile]]="ThirdQuartile", 3,
 IF(Table13[[#This Row],[Previous Quartile]]="FourthQuartile", 4, ""))))</f>
        <v>4</v>
      </c>
      <c r="I1368" s="5" t="str">
        <f>IF(Table13[[#This Row],[Previous Quartile Value]]="", "",
   IF(Table13[[#This Row],[Quartile Value]] &lt; Table13[[#This Row],[Previous Quartile Value]], "Improved",
   IF(Table13[[#This Row],[Quartile Value]] &gt; Table13[[#This Row],[Previous Quartile Value]], "Dropped", "Same")))</f>
        <v>Same</v>
      </c>
      <c r="J1368" s="5" t="s">
        <v>24</v>
      </c>
      <c r="K1368" s="7" t="str">
        <f>VLOOKUP(J1368,Introduction!$B$6:$C$14,2)</f>
        <v>North East and Yorkshire</v>
      </c>
      <c r="L1368" s="13">
        <v>134</v>
      </c>
      <c r="M1368" s="8" t="s">
        <v>530</v>
      </c>
    </row>
    <row r="1369" spans="1:13" ht="19.95" customHeight="1" x14ac:dyDescent="0.25">
      <c r="A1369" s="40">
        <v>45352</v>
      </c>
      <c r="B1369" s="46">
        <f>MONTH(Table13[[#This Row],[YearMonth]])</f>
        <v>3</v>
      </c>
      <c r="C1369" s="5" t="s">
        <v>262</v>
      </c>
      <c r="D1369" s="6" t="s">
        <v>350</v>
      </c>
      <c r="E1369" s="6">
        <f>IF(Table13[[#This Row],[Quartile]]="TopQuartile", 1,
 IF(Table13[[#This Row],[Quartile]]="SecondQuartile", 2,
 IF(Table13[[#This Row],[Quartile]]="ThirdQuartile", 3,
 IF(Table13[[#This Row],[Quartile]]="FourthQuartile", 4, ""))))</f>
        <v>4</v>
      </c>
      <c r="F1369" s="5" t="s">
        <v>561</v>
      </c>
      <c r="G1369" s="5" t="str" cm="1">
        <f t="array" ref="G1369">IFERROR(
  INDEX(Table13[Quartile],
    MATCH(1,
      (Table13[[#This Row],[OrgName]]=Table13[OrgName]) *
      (Table13[[#This Row],[Month Number]]-1=Table13[Month Number]),
    0)
  ),
"")</f>
        <v>FourthQuartile</v>
      </c>
      <c r="H1369" s="5">
        <f>IF(Table13[[#This Row],[Previous Quartile]]="TopQuartile", 1,
 IF(Table13[[#This Row],[Previous Quartile]]="SecondQuartile", 2,
 IF(Table13[[#This Row],[Previous Quartile]]="ThirdQuartile", 3,
 IF(Table13[[#This Row],[Previous Quartile]]="FourthQuartile", 4, ""))))</f>
        <v>4</v>
      </c>
      <c r="I1369" s="5" t="str">
        <f>IF(Table13[[#This Row],[Previous Quartile Value]]="", "",
   IF(Table13[[#This Row],[Quartile Value]] &lt; Table13[[#This Row],[Previous Quartile Value]], "Improved",
   IF(Table13[[#This Row],[Quartile Value]] &gt; Table13[[#This Row],[Previous Quartile Value]], "Dropped", "Same")))</f>
        <v>Same</v>
      </c>
      <c r="J1369" s="5" t="s">
        <v>22</v>
      </c>
      <c r="K1369" s="7" t="str">
        <f>VLOOKUP(J1369,Introduction!$B$6:$C$14,2)</f>
        <v>North West</v>
      </c>
      <c r="L1369" s="13">
        <v>896</v>
      </c>
      <c r="M1369" s="8" t="s">
        <v>530</v>
      </c>
    </row>
    <row r="1370" spans="1:13" ht="19.95" customHeight="1" x14ac:dyDescent="0.25">
      <c r="A1370" s="40">
        <v>45352</v>
      </c>
      <c r="B1370" s="46">
        <f>MONTH(Table13[[#This Row],[YearMonth]])</f>
        <v>3</v>
      </c>
      <c r="C1370" s="5" t="s">
        <v>304</v>
      </c>
      <c r="D1370" s="6" t="s">
        <v>350</v>
      </c>
      <c r="E1370" s="6">
        <f>IF(Table13[[#This Row],[Quartile]]="TopQuartile", 1,
 IF(Table13[[#This Row],[Quartile]]="SecondQuartile", 2,
 IF(Table13[[#This Row],[Quartile]]="ThirdQuartile", 3,
 IF(Table13[[#This Row],[Quartile]]="FourthQuartile", 4, ""))))</f>
        <v>4</v>
      </c>
      <c r="F1370" s="5" t="s">
        <v>569</v>
      </c>
      <c r="G1370" s="5" t="str" cm="1">
        <f t="array" ref="G1370">IFERROR(
  INDEX(Table13[Quartile],
    MATCH(1,
      (Table13[[#This Row],[OrgName]]=Table13[OrgName]) *
      (Table13[[#This Row],[Month Number]]-1=Table13[Month Number]),
    0)
  ),
"")</f>
        <v>FourthQuartile</v>
      </c>
      <c r="H1370" s="5">
        <f>IF(Table13[[#This Row],[Previous Quartile]]="TopQuartile", 1,
 IF(Table13[[#This Row],[Previous Quartile]]="SecondQuartile", 2,
 IF(Table13[[#This Row],[Previous Quartile]]="ThirdQuartile", 3,
 IF(Table13[[#This Row],[Previous Quartile]]="FourthQuartile", 4, ""))))</f>
        <v>4</v>
      </c>
      <c r="I1370" s="5" t="str">
        <f>IF(Table13[[#This Row],[Previous Quartile Value]]="", "",
   IF(Table13[[#This Row],[Quartile Value]] &lt; Table13[[#This Row],[Previous Quartile Value]], "Improved",
   IF(Table13[[#This Row],[Quartile Value]] &gt; Table13[[#This Row],[Previous Quartile Value]], "Dropped", "Same")))</f>
        <v>Same</v>
      </c>
      <c r="J1370" s="5" t="s">
        <v>20</v>
      </c>
      <c r="K1370" s="7" t="str">
        <f>VLOOKUP(J1370,Introduction!$B$6:$C$14,2)</f>
        <v>East of England</v>
      </c>
      <c r="L1370" s="13">
        <v>710</v>
      </c>
      <c r="M1370" s="8" t="s">
        <v>530</v>
      </c>
    </row>
    <row r="1371" spans="1:13" ht="19.95" customHeight="1" x14ac:dyDescent="0.25">
      <c r="A1371" s="40">
        <v>45352</v>
      </c>
      <c r="B1371" s="46">
        <f>MONTH(Table13[[#This Row],[YearMonth]])</f>
        <v>3</v>
      </c>
      <c r="C1371" s="5" t="s">
        <v>303</v>
      </c>
      <c r="D1371" s="6" t="s">
        <v>350</v>
      </c>
      <c r="E1371" s="6">
        <f>IF(Table13[[#This Row],[Quartile]]="TopQuartile", 1,
 IF(Table13[[#This Row],[Quartile]]="SecondQuartile", 2,
 IF(Table13[[#This Row],[Quartile]]="ThirdQuartile", 3,
 IF(Table13[[#This Row],[Quartile]]="FourthQuartile", 4, ""))))</f>
        <v>4</v>
      </c>
      <c r="F1371" s="5" t="s">
        <v>568</v>
      </c>
      <c r="G1371" s="5" t="str" cm="1">
        <f t="array" ref="G1371">IFERROR(
  INDEX(Table13[Quartile],
    MATCH(1,
      (Table13[[#This Row],[OrgName]]=Table13[OrgName]) *
      (Table13[[#This Row],[Month Number]]-1=Table13[Month Number]),
    0)
  ),
"")</f>
        <v>FourthQuartile</v>
      </c>
      <c r="H1371" s="5">
        <f>IF(Table13[[#This Row],[Previous Quartile]]="TopQuartile", 1,
 IF(Table13[[#This Row],[Previous Quartile]]="SecondQuartile", 2,
 IF(Table13[[#This Row],[Previous Quartile]]="ThirdQuartile", 3,
 IF(Table13[[#This Row],[Previous Quartile]]="FourthQuartile", 4, ""))))</f>
        <v>4</v>
      </c>
      <c r="I1371" s="5" t="str">
        <f>IF(Table13[[#This Row],[Previous Quartile Value]]="", "",
   IF(Table13[[#This Row],[Quartile Value]] &lt; Table13[[#This Row],[Previous Quartile Value]], "Improved",
   IF(Table13[[#This Row],[Quartile Value]] &gt; Table13[[#This Row],[Previous Quartile Value]], "Dropped", "Same")))</f>
        <v>Same</v>
      </c>
      <c r="J1371" s="5" t="s">
        <v>14</v>
      </c>
      <c r="K1371" s="7" t="str">
        <f>VLOOKUP(J1371,Introduction!$B$6:$C$14,2)</f>
        <v>South West</v>
      </c>
      <c r="L1371" s="13">
        <v>467</v>
      </c>
      <c r="M1371" s="8" t="s">
        <v>530</v>
      </c>
    </row>
    <row r="1372" spans="1:13" ht="19.95" customHeight="1" x14ac:dyDescent="0.25">
      <c r="A1372" s="40">
        <v>45352</v>
      </c>
      <c r="B1372" s="46">
        <f>MONTH(Table13[[#This Row],[YearMonth]])</f>
        <v>3</v>
      </c>
      <c r="C1372" s="5" t="s">
        <v>302</v>
      </c>
      <c r="D1372" s="6" t="s">
        <v>350</v>
      </c>
      <c r="E1372" s="6">
        <f>IF(Table13[[#This Row],[Quartile]]="TopQuartile", 1,
 IF(Table13[[#This Row],[Quartile]]="SecondQuartile", 2,
 IF(Table13[[#This Row],[Quartile]]="ThirdQuartile", 3,
 IF(Table13[[#This Row],[Quartile]]="FourthQuartile", 4, ""))))</f>
        <v>4</v>
      </c>
      <c r="F1372" s="5" t="s">
        <v>567</v>
      </c>
      <c r="G1372" s="5" t="str" cm="1">
        <f t="array" ref="G1372">IFERROR(
  INDEX(Table13[Quartile],
    MATCH(1,
      (Table13[[#This Row],[OrgName]]=Table13[OrgName]) *
      (Table13[[#This Row],[Month Number]]-1=Table13[Month Number]),
    0)
  ),
"")</f>
        <v>FourthQuartile</v>
      </c>
      <c r="H1372" s="5">
        <f>IF(Table13[[#This Row],[Previous Quartile]]="TopQuartile", 1,
 IF(Table13[[#This Row],[Previous Quartile]]="SecondQuartile", 2,
 IF(Table13[[#This Row],[Previous Quartile]]="ThirdQuartile", 3,
 IF(Table13[[#This Row],[Previous Quartile]]="FourthQuartile", 4, ""))))</f>
        <v>4</v>
      </c>
      <c r="I1372" s="5" t="str">
        <f>IF(Table13[[#This Row],[Previous Quartile Value]]="", "",
   IF(Table13[[#This Row],[Quartile Value]] &lt; Table13[[#This Row],[Previous Quartile Value]], "Improved",
   IF(Table13[[#This Row],[Quartile Value]] &gt; Table13[[#This Row],[Previous Quartile Value]], "Dropped", "Same")))</f>
        <v>Same</v>
      </c>
      <c r="J1372" s="5" t="s">
        <v>24</v>
      </c>
      <c r="K1372" s="7" t="str">
        <f>VLOOKUP(J1372,Introduction!$B$6:$C$14,2)</f>
        <v>North East and Yorkshire</v>
      </c>
      <c r="L1372" s="13">
        <v>475</v>
      </c>
      <c r="M1372" s="8" t="s">
        <v>530</v>
      </c>
    </row>
    <row r="1373" spans="1:13" ht="19.95" customHeight="1" x14ac:dyDescent="0.25">
      <c r="A1373" s="40">
        <v>45352</v>
      </c>
      <c r="B1373" s="46">
        <f>MONTH(Table13[[#This Row],[YearMonth]])</f>
        <v>3</v>
      </c>
      <c r="C1373" s="5" t="s">
        <v>221</v>
      </c>
      <c r="D1373" s="6" t="s">
        <v>350</v>
      </c>
      <c r="E1373" s="6">
        <f>IF(Table13[[#This Row],[Quartile]]="TopQuartile", 1,
 IF(Table13[[#This Row],[Quartile]]="SecondQuartile", 2,
 IF(Table13[[#This Row],[Quartile]]="ThirdQuartile", 3,
 IF(Table13[[#This Row],[Quartile]]="FourthQuartile", 4, ""))))</f>
        <v>4</v>
      </c>
      <c r="F1373" s="5" t="s">
        <v>557</v>
      </c>
      <c r="G1373" s="5" t="str" cm="1">
        <f t="array" ref="G1373">IFERROR(
  INDEX(Table13[Quartile],
    MATCH(1,
      (Table13[[#This Row],[OrgName]]=Table13[OrgName]) *
      (Table13[[#This Row],[Month Number]]-1=Table13[Month Number]),
    0)
  ),
"")</f>
        <v>FourthQuartile</v>
      </c>
      <c r="H1373" s="5">
        <f>IF(Table13[[#This Row],[Previous Quartile]]="TopQuartile", 1,
 IF(Table13[[#This Row],[Previous Quartile]]="SecondQuartile", 2,
 IF(Table13[[#This Row],[Previous Quartile]]="ThirdQuartile", 3,
 IF(Table13[[#This Row],[Previous Quartile]]="FourthQuartile", 4, ""))))</f>
        <v>4</v>
      </c>
      <c r="I1373" s="5" t="str">
        <f>IF(Table13[[#This Row],[Previous Quartile Value]]="", "",
   IF(Table13[[#This Row],[Quartile Value]] &lt; Table13[[#This Row],[Previous Quartile Value]], "Improved",
   IF(Table13[[#This Row],[Quartile Value]] &gt; Table13[[#This Row],[Previous Quartile Value]], "Dropped", "Same")))</f>
        <v>Same</v>
      </c>
      <c r="J1373" s="5" t="s">
        <v>16</v>
      </c>
      <c r="K1373" s="7" t="str">
        <f>VLOOKUP(J1373,Introduction!$B$6:$C$14,2)</f>
        <v>South East</v>
      </c>
      <c r="L1373" s="13">
        <v>95</v>
      </c>
      <c r="M1373" s="8" t="s">
        <v>530</v>
      </c>
    </row>
    <row r="1374" spans="1:13" ht="19.95" customHeight="1" x14ac:dyDescent="0.25">
      <c r="A1374" s="40">
        <v>45352</v>
      </c>
      <c r="B1374" s="46">
        <f>MONTH(Table13[[#This Row],[YearMonth]])</f>
        <v>3</v>
      </c>
      <c r="C1374" s="5" t="s">
        <v>311</v>
      </c>
      <c r="D1374" s="6" t="s">
        <v>350</v>
      </c>
      <c r="E1374" s="6">
        <f>IF(Table13[[#This Row],[Quartile]]="TopQuartile", 1,
 IF(Table13[[#This Row],[Quartile]]="SecondQuartile", 2,
 IF(Table13[[#This Row],[Quartile]]="ThirdQuartile", 3,
 IF(Table13[[#This Row],[Quartile]]="FourthQuartile", 4, ""))))</f>
        <v>4</v>
      </c>
      <c r="F1374" s="5" t="s">
        <v>570</v>
      </c>
      <c r="G1374" s="5" t="str" cm="1">
        <f t="array" ref="G1374">IFERROR(
  INDEX(Table13[Quartile],
    MATCH(1,
      (Table13[[#This Row],[OrgName]]=Table13[OrgName]) *
      (Table13[[#This Row],[Month Number]]-1=Table13[Month Number]),
    0)
  ),
"")</f>
        <v>FourthQuartile</v>
      </c>
      <c r="H1374" s="5">
        <f>IF(Table13[[#This Row],[Previous Quartile]]="TopQuartile", 1,
 IF(Table13[[#This Row],[Previous Quartile]]="SecondQuartile", 2,
 IF(Table13[[#This Row],[Previous Quartile]]="ThirdQuartile", 3,
 IF(Table13[[#This Row],[Previous Quartile]]="FourthQuartile", 4, ""))))</f>
        <v>4</v>
      </c>
      <c r="I1374" s="5" t="str">
        <f>IF(Table13[[#This Row],[Previous Quartile Value]]="", "",
   IF(Table13[[#This Row],[Quartile Value]] &lt; Table13[[#This Row],[Previous Quartile Value]], "Improved",
   IF(Table13[[#This Row],[Quartile Value]] &gt; Table13[[#This Row],[Previous Quartile Value]], "Dropped", "Same")))</f>
        <v>Same</v>
      </c>
      <c r="J1374" s="5" t="s">
        <v>24</v>
      </c>
      <c r="K1374" s="7" t="str">
        <f>VLOOKUP(J1374,Introduction!$B$6:$C$14,2)</f>
        <v>North East and Yorkshire</v>
      </c>
      <c r="L1374" s="13">
        <v>857</v>
      </c>
      <c r="M1374" s="8" t="s">
        <v>530</v>
      </c>
    </row>
    <row r="1375" spans="1:13" ht="19.95" customHeight="1" x14ac:dyDescent="0.25">
      <c r="A1375" s="40">
        <v>45352</v>
      </c>
      <c r="B1375" s="46">
        <f>MONTH(Table13[[#This Row],[YearMonth]])</f>
        <v>3</v>
      </c>
      <c r="C1375" s="5" t="s">
        <v>312</v>
      </c>
      <c r="D1375" s="6" t="s">
        <v>350</v>
      </c>
      <c r="E1375" s="6">
        <f>IF(Table13[[#This Row],[Quartile]]="TopQuartile", 1,
 IF(Table13[[#This Row],[Quartile]]="SecondQuartile", 2,
 IF(Table13[[#This Row],[Quartile]]="ThirdQuartile", 3,
 IF(Table13[[#This Row],[Quartile]]="FourthQuartile", 4, ""))))</f>
        <v>4</v>
      </c>
      <c r="F1375" s="5" t="s">
        <v>571</v>
      </c>
      <c r="G1375" s="5" t="str" cm="1">
        <f t="array" ref="G1375">IFERROR(
  INDEX(Table13[Quartile],
    MATCH(1,
      (Table13[[#This Row],[OrgName]]=Table13[OrgName]) *
      (Table13[[#This Row],[Month Number]]-1=Table13[Month Number]),
    0)
  ),
"")</f>
        <v>FourthQuartile</v>
      </c>
      <c r="H1375" s="5">
        <f>IF(Table13[[#This Row],[Previous Quartile]]="TopQuartile", 1,
 IF(Table13[[#This Row],[Previous Quartile]]="SecondQuartile", 2,
 IF(Table13[[#This Row],[Previous Quartile]]="ThirdQuartile", 3,
 IF(Table13[[#This Row],[Previous Quartile]]="FourthQuartile", 4, ""))))</f>
        <v>4</v>
      </c>
      <c r="I1375" s="5" t="str">
        <f>IF(Table13[[#This Row],[Previous Quartile Value]]="", "",
   IF(Table13[[#This Row],[Quartile Value]] &lt; Table13[[#This Row],[Previous Quartile Value]], "Improved",
   IF(Table13[[#This Row],[Quartile Value]] &gt; Table13[[#This Row],[Previous Quartile Value]], "Dropped", "Same")))</f>
        <v>Same</v>
      </c>
      <c r="J1375" s="5" t="s">
        <v>20</v>
      </c>
      <c r="K1375" s="7" t="str">
        <f>VLOOKUP(J1375,Introduction!$B$6:$C$14,2)</f>
        <v>East of England</v>
      </c>
      <c r="L1375" s="13">
        <v>644</v>
      </c>
      <c r="M1375" s="8" t="s">
        <v>530</v>
      </c>
    </row>
    <row r="1376" spans="1:13" ht="19.95" customHeight="1" x14ac:dyDescent="0.25">
      <c r="A1376" s="40">
        <v>45352</v>
      </c>
      <c r="B1376" s="46">
        <f>MONTH(Table13[[#This Row],[YearMonth]])</f>
        <v>3</v>
      </c>
      <c r="C1376" s="5" t="s">
        <v>34</v>
      </c>
      <c r="D1376" s="6" t="s">
        <v>330</v>
      </c>
      <c r="E1376" s="6">
        <f>IF(Table13[[#This Row],[Quartile]]="TopQuartile", 1,
 IF(Table13[[#This Row],[Quartile]]="SecondQuartile", 2,
 IF(Table13[[#This Row],[Quartile]]="ThirdQuartile", 3,
 IF(Table13[[#This Row],[Quartile]]="FourthQuartile", 4, ""))))</f>
        <v>1</v>
      </c>
      <c r="F1376" s="5" t="s">
        <v>572</v>
      </c>
      <c r="G1376" s="5" t="str" cm="1">
        <f t="array" ref="G1376">IFERROR(
  INDEX(Table13[Quartile],
    MATCH(1,
      (Table13[[#This Row],[OrgName]]=Table13[OrgName]) *
      (Table13[[#This Row],[Month Number]]-1=Table13[Month Number]),
    0)
  ),
"")</f>
        <v>TopQuartile</v>
      </c>
      <c r="H1376" s="5">
        <f>IF(Table13[[#This Row],[Previous Quartile]]="TopQuartile", 1,
 IF(Table13[[#This Row],[Previous Quartile]]="SecondQuartile", 2,
 IF(Table13[[#This Row],[Previous Quartile]]="ThirdQuartile", 3,
 IF(Table13[[#This Row],[Previous Quartile]]="FourthQuartile", 4, ""))))</f>
        <v>1</v>
      </c>
      <c r="I1376" s="5" t="str">
        <f>IF(Table13[[#This Row],[Previous Quartile Value]]="", "",
   IF(Table13[[#This Row],[Quartile Value]] &lt; Table13[[#This Row],[Previous Quartile Value]], "Improved",
   IF(Table13[[#This Row],[Quartile Value]] &gt; Table13[[#This Row],[Previous Quartile Value]], "Dropped", "Same")))</f>
        <v>Same</v>
      </c>
      <c r="J1376" s="5" t="s">
        <v>14</v>
      </c>
      <c r="K1376" s="7" t="str">
        <f>VLOOKUP(J1376,Introduction!$B$6:$C$14,2)</f>
        <v>South West</v>
      </c>
      <c r="L1376" s="13">
        <v>201</v>
      </c>
      <c r="M1376" s="8" t="s">
        <v>573</v>
      </c>
    </row>
    <row r="1377" spans="1:13" ht="19.95" customHeight="1" x14ac:dyDescent="0.25">
      <c r="A1377" s="40">
        <v>45352</v>
      </c>
      <c r="B1377" s="46">
        <f>MONTH(Table13[[#This Row],[YearMonth]])</f>
        <v>3</v>
      </c>
      <c r="C1377" s="5" t="s">
        <v>36</v>
      </c>
      <c r="D1377" s="6" t="s">
        <v>330</v>
      </c>
      <c r="E1377" s="6">
        <f>IF(Table13[[#This Row],[Quartile]]="TopQuartile", 1,
 IF(Table13[[#This Row],[Quartile]]="SecondQuartile", 2,
 IF(Table13[[#This Row],[Quartile]]="ThirdQuartile", 3,
 IF(Table13[[#This Row],[Quartile]]="FourthQuartile", 4, ""))))</f>
        <v>1</v>
      </c>
      <c r="F1377" s="5" t="s">
        <v>574</v>
      </c>
      <c r="G1377" s="5" t="str" cm="1">
        <f t="array" ref="G1377">IFERROR(
  INDEX(Table13[Quartile],
    MATCH(1,
      (Table13[[#This Row],[OrgName]]=Table13[OrgName]) *
      (Table13[[#This Row],[Month Number]]-1=Table13[Month Number]),
    0)
  ),
"")</f>
        <v>TopQuartile</v>
      </c>
      <c r="H1377" s="5">
        <f>IF(Table13[[#This Row],[Previous Quartile]]="TopQuartile", 1,
 IF(Table13[[#This Row],[Previous Quartile]]="SecondQuartile", 2,
 IF(Table13[[#This Row],[Previous Quartile]]="ThirdQuartile", 3,
 IF(Table13[[#This Row],[Previous Quartile]]="FourthQuartile", 4, ""))))</f>
        <v>1</v>
      </c>
      <c r="I1377" s="5" t="str">
        <f>IF(Table13[[#This Row],[Previous Quartile Value]]="", "",
   IF(Table13[[#This Row],[Quartile Value]] &lt; Table13[[#This Row],[Previous Quartile Value]], "Improved",
   IF(Table13[[#This Row],[Quartile Value]] &gt; Table13[[#This Row],[Previous Quartile Value]], "Dropped", "Same")))</f>
        <v>Same</v>
      </c>
      <c r="J1377" s="5" t="s">
        <v>18</v>
      </c>
      <c r="K1377" s="7" t="str">
        <f>VLOOKUP(J1377,Introduction!$B$6:$C$14,2)</f>
        <v>Midlands</v>
      </c>
      <c r="L1377" s="13">
        <v>274</v>
      </c>
      <c r="M1377" s="8" t="s">
        <v>573</v>
      </c>
    </row>
    <row r="1378" spans="1:13" ht="19.95" customHeight="1" x14ac:dyDescent="0.25">
      <c r="A1378" s="40">
        <v>45352</v>
      </c>
      <c r="B1378" s="46">
        <f>MONTH(Table13[[#This Row],[YearMonth]])</f>
        <v>3</v>
      </c>
      <c r="C1378" s="5" t="s">
        <v>44</v>
      </c>
      <c r="D1378" s="6" t="s">
        <v>330</v>
      </c>
      <c r="E1378" s="6">
        <f>IF(Table13[[#This Row],[Quartile]]="TopQuartile", 1,
 IF(Table13[[#This Row],[Quartile]]="SecondQuartile", 2,
 IF(Table13[[#This Row],[Quartile]]="ThirdQuartile", 3,
 IF(Table13[[#This Row],[Quartile]]="FourthQuartile", 4, ""))))</f>
        <v>1</v>
      </c>
      <c r="F1378" s="5" t="s">
        <v>576</v>
      </c>
      <c r="G1378" s="5" t="str" cm="1">
        <f t="array" ref="G1378">IFERROR(
  INDEX(Table13[Quartile],
    MATCH(1,
      (Table13[[#This Row],[OrgName]]=Table13[OrgName]) *
      (Table13[[#This Row],[Month Number]]-1=Table13[Month Number]),
    0)
  ),
"")</f>
        <v>TopQuartile</v>
      </c>
      <c r="H1378" s="5">
        <f>IF(Table13[[#This Row],[Previous Quartile]]="TopQuartile", 1,
 IF(Table13[[#This Row],[Previous Quartile]]="SecondQuartile", 2,
 IF(Table13[[#This Row],[Previous Quartile]]="ThirdQuartile", 3,
 IF(Table13[[#This Row],[Previous Quartile]]="FourthQuartile", 4, ""))))</f>
        <v>1</v>
      </c>
      <c r="I1378" s="5" t="str">
        <f>IF(Table13[[#This Row],[Previous Quartile Value]]="", "",
   IF(Table13[[#This Row],[Quartile Value]] &lt; Table13[[#This Row],[Previous Quartile Value]], "Improved",
   IF(Table13[[#This Row],[Quartile Value]] &gt; Table13[[#This Row],[Previous Quartile Value]], "Dropped", "Same")))</f>
        <v>Same</v>
      </c>
      <c r="J1378" s="5" t="s">
        <v>24</v>
      </c>
      <c r="K1378" s="7" t="str">
        <f>VLOOKUP(J1378,Introduction!$B$6:$C$14,2)</f>
        <v>North East and Yorkshire</v>
      </c>
      <c r="L1378" s="13">
        <v>173</v>
      </c>
      <c r="M1378" s="8" t="s">
        <v>573</v>
      </c>
    </row>
    <row r="1379" spans="1:13" ht="19.95" customHeight="1" x14ac:dyDescent="0.25">
      <c r="A1379" s="40">
        <v>45352</v>
      </c>
      <c r="B1379" s="46">
        <f>MONTH(Table13[[#This Row],[YearMonth]])</f>
        <v>3</v>
      </c>
      <c r="C1379" s="5" t="s">
        <v>49</v>
      </c>
      <c r="D1379" s="6" t="s">
        <v>330</v>
      </c>
      <c r="E1379" s="6">
        <f>IF(Table13[[#This Row],[Quartile]]="TopQuartile", 1,
 IF(Table13[[#This Row],[Quartile]]="SecondQuartile", 2,
 IF(Table13[[#This Row],[Quartile]]="ThirdQuartile", 3,
 IF(Table13[[#This Row],[Quartile]]="FourthQuartile", 4, ""))))</f>
        <v>1</v>
      </c>
      <c r="F1379" s="5" t="s">
        <v>577</v>
      </c>
      <c r="G1379" s="5" t="str" cm="1">
        <f t="array" ref="G1379">IFERROR(
  INDEX(Table13[Quartile],
    MATCH(1,
      (Table13[[#This Row],[OrgName]]=Table13[OrgName]) *
      (Table13[[#This Row],[Month Number]]-1=Table13[Month Number]),
    0)
  ),
"")</f>
        <v>TopQuartile</v>
      </c>
      <c r="H1379" s="5">
        <f>IF(Table13[[#This Row],[Previous Quartile]]="TopQuartile", 1,
 IF(Table13[[#This Row],[Previous Quartile]]="SecondQuartile", 2,
 IF(Table13[[#This Row],[Previous Quartile]]="ThirdQuartile", 3,
 IF(Table13[[#This Row],[Previous Quartile]]="FourthQuartile", 4, ""))))</f>
        <v>1</v>
      </c>
      <c r="I1379" s="5" t="str">
        <f>IF(Table13[[#This Row],[Previous Quartile Value]]="", "",
   IF(Table13[[#This Row],[Quartile Value]] &lt; Table13[[#This Row],[Previous Quartile Value]], "Improved",
   IF(Table13[[#This Row],[Quartile Value]] &gt; Table13[[#This Row],[Previous Quartile Value]], "Dropped", "Same")))</f>
        <v>Same</v>
      </c>
      <c r="J1379" s="5" t="s">
        <v>24</v>
      </c>
      <c r="K1379" s="7" t="str">
        <f>VLOOKUP(J1379,Introduction!$B$6:$C$14,2)</f>
        <v>North East and Yorkshire</v>
      </c>
      <c r="L1379" s="13">
        <v>263</v>
      </c>
      <c r="M1379" s="8" t="s">
        <v>573</v>
      </c>
    </row>
    <row r="1380" spans="1:13" ht="19.95" customHeight="1" x14ac:dyDescent="0.25">
      <c r="A1380" s="40">
        <v>45352</v>
      </c>
      <c r="B1380" s="46">
        <f>MONTH(Table13[[#This Row],[YearMonth]])</f>
        <v>3</v>
      </c>
      <c r="C1380" s="5" t="s">
        <v>38</v>
      </c>
      <c r="D1380" s="6" t="s">
        <v>330</v>
      </c>
      <c r="E1380" s="6">
        <f>IF(Table13[[#This Row],[Quartile]]="TopQuartile", 1,
 IF(Table13[[#This Row],[Quartile]]="SecondQuartile", 2,
 IF(Table13[[#This Row],[Quartile]]="ThirdQuartile", 3,
 IF(Table13[[#This Row],[Quartile]]="FourthQuartile", 4, ""))))</f>
        <v>1</v>
      </c>
      <c r="F1380" s="5" t="s">
        <v>575</v>
      </c>
      <c r="G1380" s="5" t="str" cm="1">
        <f t="array" ref="G1380">IFERROR(
  INDEX(Table13[Quartile],
    MATCH(1,
      (Table13[[#This Row],[OrgName]]=Table13[OrgName]) *
      (Table13[[#This Row],[Month Number]]-1=Table13[Month Number]),
    0)
  ),
"")</f>
        <v>TopQuartile</v>
      </c>
      <c r="H1380" s="5">
        <f>IF(Table13[[#This Row],[Previous Quartile]]="TopQuartile", 1,
 IF(Table13[[#This Row],[Previous Quartile]]="SecondQuartile", 2,
 IF(Table13[[#This Row],[Previous Quartile]]="ThirdQuartile", 3,
 IF(Table13[[#This Row],[Previous Quartile]]="FourthQuartile", 4, ""))))</f>
        <v>1</v>
      </c>
      <c r="I1380" s="5" t="str">
        <f>IF(Table13[[#This Row],[Previous Quartile Value]]="", "",
   IF(Table13[[#This Row],[Quartile Value]] &lt; Table13[[#This Row],[Previous Quartile Value]], "Improved",
   IF(Table13[[#This Row],[Quartile Value]] &gt; Table13[[#This Row],[Previous Quartile Value]], "Dropped", "Same")))</f>
        <v>Same</v>
      </c>
      <c r="J1380" s="5" t="s">
        <v>16</v>
      </c>
      <c r="K1380" s="7" t="str">
        <f>VLOOKUP(J1380,Introduction!$B$6:$C$14,2)</f>
        <v>South East</v>
      </c>
      <c r="L1380" s="13">
        <v>354</v>
      </c>
      <c r="M1380" s="8" t="s">
        <v>573</v>
      </c>
    </row>
    <row r="1381" spans="1:13" ht="19.95" customHeight="1" x14ac:dyDescent="0.25">
      <c r="A1381" s="40">
        <v>45352</v>
      </c>
      <c r="B1381" s="46">
        <f>MONTH(Table13[[#This Row],[YearMonth]])</f>
        <v>3</v>
      </c>
      <c r="C1381" s="5" t="s">
        <v>71</v>
      </c>
      <c r="D1381" s="6" t="s">
        <v>330</v>
      </c>
      <c r="E1381" s="6">
        <f>IF(Table13[[#This Row],[Quartile]]="TopQuartile", 1,
 IF(Table13[[#This Row],[Quartile]]="SecondQuartile", 2,
 IF(Table13[[#This Row],[Quartile]]="ThirdQuartile", 3,
 IF(Table13[[#This Row],[Quartile]]="FourthQuartile", 4, ""))))</f>
        <v>1</v>
      </c>
      <c r="F1381" s="5" t="s">
        <v>582</v>
      </c>
      <c r="G1381" s="5" t="str" cm="1">
        <f t="array" ref="G1381">IFERROR(
  INDEX(Table13[Quartile],
    MATCH(1,
      (Table13[[#This Row],[OrgName]]=Table13[OrgName]) *
      (Table13[[#This Row],[Month Number]]-1=Table13[Month Number]),
    0)
  ),
"")</f>
        <v>TopQuartile</v>
      </c>
      <c r="H1381" s="5">
        <f>IF(Table13[[#This Row],[Previous Quartile]]="TopQuartile", 1,
 IF(Table13[[#This Row],[Previous Quartile]]="SecondQuartile", 2,
 IF(Table13[[#This Row],[Previous Quartile]]="ThirdQuartile", 3,
 IF(Table13[[#This Row],[Previous Quartile]]="FourthQuartile", 4, ""))))</f>
        <v>1</v>
      </c>
      <c r="I1381" s="5" t="str">
        <f>IF(Table13[[#This Row],[Previous Quartile Value]]="", "",
   IF(Table13[[#This Row],[Quartile Value]] &lt; Table13[[#This Row],[Previous Quartile Value]], "Improved",
   IF(Table13[[#This Row],[Quartile Value]] &gt; Table13[[#This Row],[Previous Quartile Value]], "Dropped", "Same")))</f>
        <v>Same</v>
      </c>
      <c r="J1381" s="5" t="s">
        <v>14</v>
      </c>
      <c r="K1381" s="7" t="str">
        <f>VLOOKUP(J1381,Introduction!$B$6:$C$14,2)</f>
        <v>South West</v>
      </c>
      <c r="L1381" s="13">
        <v>342</v>
      </c>
      <c r="M1381" s="8" t="s">
        <v>573</v>
      </c>
    </row>
    <row r="1382" spans="1:13" ht="19.95" customHeight="1" x14ac:dyDescent="0.25">
      <c r="A1382" s="40">
        <v>45352</v>
      </c>
      <c r="B1382" s="46">
        <f>MONTH(Table13[[#This Row],[YearMonth]])</f>
        <v>3</v>
      </c>
      <c r="C1382" s="5" t="s">
        <v>70</v>
      </c>
      <c r="D1382" s="6" t="s">
        <v>330</v>
      </c>
      <c r="E1382" s="6">
        <f>IF(Table13[[#This Row],[Quartile]]="TopQuartile", 1,
 IF(Table13[[#This Row],[Quartile]]="SecondQuartile", 2,
 IF(Table13[[#This Row],[Quartile]]="ThirdQuartile", 3,
 IF(Table13[[#This Row],[Quartile]]="FourthQuartile", 4, ""))))</f>
        <v>1</v>
      </c>
      <c r="F1382" s="5" t="s">
        <v>581</v>
      </c>
      <c r="G1382" s="5" t="str" cm="1">
        <f t="array" ref="G1382">IFERROR(
  INDEX(Table13[Quartile],
    MATCH(1,
      (Table13[[#This Row],[OrgName]]=Table13[OrgName]) *
      (Table13[[#This Row],[Month Number]]-1=Table13[Month Number]),
    0)
  ),
"")</f>
        <v>TopQuartile</v>
      </c>
      <c r="H1382" s="5">
        <f>IF(Table13[[#This Row],[Previous Quartile]]="TopQuartile", 1,
 IF(Table13[[#This Row],[Previous Quartile]]="SecondQuartile", 2,
 IF(Table13[[#This Row],[Previous Quartile]]="ThirdQuartile", 3,
 IF(Table13[[#This Row],[Previous Quartile]]="FourthQuartile", 4, ""))))</f>
        <v>1</v>
      </c>
      <c r="I1382" s="5" t="str">
        <f>IF(Table13[[#This Row],[Previous Quartile Value]]="", "",
   IF(Table13[[#This Row],[Quartile Value]] &lt; Table13[[#This Row],[Previous Quartile Value]], "Improved",
   IF(Table13[[#This Row],[Quartile Value]] &gt; Table13[[#This Row],[Previous Quartile Value]], "Dropped", "Same")))</f>
        <v>Same</v>
      </c>
      <c r="J1382" s="5" t="s">
        <v>14</v>
      </c>
      <c r="K1382" s="7" t="str">
        <f>VLOOKUP(J1382,Introduction!$B$6:$C$14,2)</f>
        <v>South West</v>
      </c>
      <c r="L1382" s="13">
        <v>369</v>
      </c>
      <c r="M1382" s="8" t="s">
        <v>573</v>
      </c>
    </row>
    <row r="1383" spans="1:13" ht="19.95" customHeight="1" x14ac:dyDescent="0.25">
      <c r="A1383" s="40">
        <v>45352</v>
      </c>
      <c r="B1383" s="46">
        <f>MONTH(Table13[[#This Row],[YearMonth]])</f>
        <v>3</v>
      </c>
      <c r="C1383" s="5" t="s">
        <v>62</v>
      </c>
      <c r="D1383" s="6" t="s">
        <v>330</v>
      </c>
      <c r="E1383" s="6">
        <f>IF(Table13[[#This Row],[Quartile]]="TopQuartile", 1,
 IF(Table13[[#This Row],[Quartile]]="SecondQuartile", 2,
 IF(Table13[[#This Row],[Quartile]]="ThirdQuartile", 3,
 IF(Table13[[#This Row],[Quartile]]="FourthQuartile", 4, ""))))</f>
        <v>1</v>
      </c>
      <c r="F1383" s="5" t="s">
        <v>579</v>
      </c>
      <c r="G1383" s="5" t="str" cm="1">
        <f t="array" ref="G1383">IFERROR(
  INDEX(Table13[Quartile],
    MATCH(1,
      (Table13[[#This Row],[OrgName]]=Table13[OrgName]) *
      (Table13[[#This Row],[Month Number]]-1=Table13[Month Number]),
    0)
  ),
"")</f>
        <v>TopQuartile</v>
      </c>
      <c r="H1383" s="5">
        <f>IF(Table13[[#This Row],[Previous Quartile]]="TopQuartile", 1,
 IF(Table13[[#This Row],[Previous Quartile]]="SecondQuartile", 2,
 IF(Table13[[#This Row],[Previous Quartile]]="ThirdQuartile", 3,
 IF(Table13[[#This Row],[Previous Quartile]]="FourthQuartile", 4, ""))))</f>
        <v>1</v>
      </c>
      <c r="I1383" s="5" t="str">
        <f>IF(Table13[[#This Row],[Previous Quartile Value]]="", "",
   IF(Table13[[#This Row],[Quartile Value]] &lt; Table13[[#This Row],[Previous Quartile Value]], "Improved",
   IF(Table13[[#This Row],[Quartile Value]] &gt; Table13[[#This Row],[Previous Quartile Value]], "Dropped", "Same")))</f>
        <v>Same</v>
      </c>
      <c r="J1383" s="5" t="s">
        <v>22</v>
      </c>
      <c r="K1383" s="7" t="str">
        <f>VLOOKUP(J1383,Introduction!$B$6:$C$14,2)</f>
        <v>North West</v>
      </c>
      <c r="L1383" s="13">
        <v>373</v>
      </c>
      <c r="M1383" s="8" t="s">
        <v>573</v>
      </c>
    </row>
    <row r="1384" spans="1:13" ht="19.95" customHeight="1" x14ac:dyDescent="0.25">
      <c r="A1384" s="40">
        <v>45352</v>
      </c>
      <c r="B1384" s="46">
        <f>MONTH(Table13[[#This Row],[YearMonth]])</f>
        <v>3</v>
      </c>
      <c r="C1384" s="5" t="s">
        <v>109</v>
      </c>
      <c r="D1384" s="6" t="s">
        <v>330</v>
      </c>
      <c r="E1384" s="6">
        <f>IF(Table13[[#This Row],[Quartile]]="TopQuartile", 1,
 IF(Table13[[#This Row],[Quartile]]="SecondQuartile", 2,
 IF(Table13[[#This Row],[Quartile]]="ThirdQuartile", 3,
 IF(Table13[[#This Row],[Quartile]]="FourthQuartile", 4, ""))))</f>
        <v>1</v>
      </c>
      <c r="F1384" s="5" t="s">
        <v>589</v>
      </c>
      <c r="G1384" s="5" t="str" cm="1">
        <f t="array" ref="G1384">IFERROR(
  INDEX(Table13[Quartile],
    MATCH(1,
      (Table13[[#This Row],[OrgName]]=Table13[OrgName]) *
      (Table13[[#This Row],[Month Number]]-1=Table13[Month Number]),
    0)
  ),
"")</f>
        <v>TopQuartile</v>
      </c>
      <c r="H1384" s="5">
        <f>IF(Table13[[#This Row],[Previous Quartile]]="TopQuartile", 1,
 IF(Table13[[#This Row],[Previous Quartile]]="SecondQuartile", 2,
 IF(Table13[[#This Row],[Previous Quartile]]="ThirdQuartile", 3,
 IF(Table13[[#This Row],[Previous Quartile]]="FourthQuartile", 4, ""))))</f>
        <v>1</v>
      </c>
      <c r="I1384" s="5" t="str">
        <f>IF(Table13[[#This Row],[Previous Quartile Value]]="", "",
   IF(Table13[[#This Row],[Quartile Value]] &lt; Table13[[#This Row],[Previous Quartile Value]], "Improved",
   IF(Table13[[#This Row],[Quartile Value]] &gt; Table13[[#This Row],[Previous Quartile Value]], "Dropped", "Same")))</f>
        <v>Same</v>
      </c>
      <c r="J1384" s="5" t="s">
        <v>12</v>
      </c>
      <c r="K1384" s="7" t="str">
        <f>VLOOKUP(J1384,Introduction!$B$6:$C$14,2)</f>
        <v>London</v>
      </c>
      <c r="L1384" s="13">
        <v>333</v>
      </c>
      <c r="M1384" s="8" t="s">
        <v>573</v>
      </c>
    </row>
    <row r="1385" spans="1:13" ht="19.95" customHeight="1" x14ac:dyDescent="0.25">
      <c r="A1385" s="40">
        <v>45352</v>
      </c>
      <c r="B1385" s="46">
        <f>MONTH(Table13[[#This Row],[YearMonth]])</f>
        <v>3</v>
      </c>
      <c r="C1385" s="5" t="s">
        <v>74</v>
      </c>
      <c r="D1385" s="6" t="s">
        <v>330</v>
      </c>
      <c r="E1385" s="6">
        <f>IF(Table13[[#This Row],[Quartile]]="TopQuartile", 1,
 IF(Table13[[#This Row],[Quartile]]="SecondQuartile", 2,
 IF(Table13[[#This Row],[Quartile]]="ThirdQuartile", 3,
 IF(Table13[[#This Row],[Quartile]]="FourthQuartile", 4, ""))))</f>
        <v>1</v>
      </c>
      <c r="F1385" s="5" t="s">
        <v>583</v>
      </c>
      <c r="G1385" s="5" t="str" cm="1">
        <f t="array" ref="G1385">IFERROR(
  INDEX(Table13[Quartile],
    MATCH(1,
      (Table13[[#This Row],[OrgName]]=Table13[OrgName]) *
      (Table13[[#This Row],[Month Number]]-1=Table13[Month Number]),
    0)
  ),
"")</f>
        <v>TopQuartile</v>
      </c>
      <c r="H1385" s="5">
        <f>IF(Table13[[#This Row],[Previous Quartile]]="TopQuartile", 1,
 IF(Table13[[#This Row],[Previous Quartile]]="SecondQuartile", 2,
 IF(Table13[[#This Row],[Previous Quartile]]="ThirdQuartile", 3,
 IF(Table13[[#This Row],[Previous Quartile]]="FourthQuartile", 4, ""))))</f>
        <v>1</v>
      </c>
      <c r="I1385" s="5" t="str">
        <f>IF(Table13[[#This Row],[Previous Quartile Value]]="", "",
   IF(Table13[[#This Row],[Quartile Value]] &lt; Table13[[#This Row],[Previous Quartile Value]], "Improved",
   IF(Table13[[#This Row],[Quartile Value]] &gt; Table13[[#This Row],[Previous Quartile Value]], "Dropped", "Same")))</f>
        <v>Same</v>
      </c>
      <c r="J1385" s="5" t="s">
        <v>24</v>
      </c>
      <c r="K1385" s="7" t="str">
        <f>VLOOKUP(J1385,Introduction!$B$6:$C$14,2)</f>
        <v>North East and Yorkshire</v>
      </c>
      <c r="L1385" s="13">
        <v>378</v>
      </c>
      <c r="M1385" s="8" t="s">
        <v>573</v>
      </c>
    </row>
    <row r="1386" spans="1:13" ht="19.95" customHeight="1" x14ac:dyDescent="0.25">
      <c r="A1386" s="40">
        <v>45352</v>
      </c>
      <c r="B1386" s="46">
        <f>MONTH(Table13[[#This Row],[YearMonth]])</f>
        <v>3</v>
      </c>
      <c r="C1386" s="5" t="s">
        <v>92</v>
      </c>
      <c r="D1386" s="6" t="s">
        <v>330</v>
      </c>
      <c r="E1386" s="6">
        <f>IF(Table13[[#This Row],[Quartile]]="TopQuartile", 1,
 IF(Table13[[#This Row],[Quartile]]="SecondQuartile", 2,
 IF(Table13[[#This Row],[Quartile]]="ThirdQuartile", 3,
 IF(Table13[[#This Row],[Quartile]]="FourthQuartile", 4, ""))))</f>
        <v>1</v>
      </c>
      <c r="F1386" s="5" t="s">
        <v>586</v>
      </c>
      <c r="G1386" s="5" t="str" cm="1">
        <f t="array" ref="G1386">IFERROR(
  INDEX(Table13[Quartile],
    MATCH(1,
      (Table13[[#This Row],[OrgName]]=Table13[OrgName]) *
      (Table13[[#This Row],[Month Number]]-1=Table13[Month Number]),
    0)
  ),
"")</f>
        <v>TopQuartile</v>
      </c>
      <c r="H1386" s="5">
        <f>IF(Table13[[#This Row],[Previous Quartile]]="TopQuartile", 1,
 IF(Table13[[#This Row],[Previous Quartile]]="SecondQuartile", 2,
 IF(Table13[[#This Row],[Previous Quartile]]="ThirdQuartile", 3,
 IF(Table13[[#This Row],[Previous Quartile]]="FourthQuartile", 4, ""))))</f>
        <v>1</v>
      </c>
      <c r="I1386" s="5" t="str">
        <f>IF(Table13[[#This Row],[Previous Quartile Value]]="", "",
   IF(Table13[[#This Row],[Quartile Value]] &lt; Table13[[#This Row],[Previous Quartile Value]], "Improved",
   IF(Table13[[#This Row],[Quartile Value]] &gt; Table13[[#This Row],[Previous Quartile Value]], "Dropped", "Same")))</f>
        <v>Same</v>
      </c>
      <c r="J1386" s="5" t="s">
        <v>24</v>
      </c>
      <c r="K1386" s="7" t="str">
        <f>VLOOKUP(J1386,Introduction!$B$6:$C$14,2)</f>
        <v>North East and Yorkshire</v>
      </c>
      <c r="L1386" s="13">
        <v>338</v>
      </c>
      <c r="M1386" s="8" t="s">
        <v>573</v>
      </c>
    </row>
    <row r="1387" spans="1:13" ht="19.95" customHeight="1" x14ac:dyDescent="0.25">
      <c r="A1387" s="40">
        <v>45352</v>
      </c>
      <c r="B1387" s="46">
        <f>MONTH(Table13[[#This Row],[YearMonth]])</f>
        <v>3</v>
      </c>
      <c r="C1387" s="5" t="s">
        <v>107</v>
      </c>
      <c r="D1387" s="6" t="s">
        <v>330</v>
      </c>
      <c r="E1387" s="6">
        <f>IF(Table13[[#This Row],[Quartile]]="TopQuartile", 1,
 IF(Table13[[#This Row],[Quartile]]="SecondQuartile", 2,
 IF(Table13[[#This Row],[Quartile]]="ThirdQuartile", 3,
 IF(Table13[[#This Row],[Quartile]]="FourthQuartile", 4, ""))))</f>
        <v>1</v>
      </c>
      <c r="F1387" s="5" t="s">
        <v>588</v>
      </c>
      <c r="G1387" s="5" t="str" cm="1">
        <f t="array" ref="G1387">IFERROR(
  INDEX(Table13[Quartile],
    MATCH(1,
      (Table13[[#This Row],[OrgName]]=Table13[OrgName]) *
      (Table13[[#This Row],[Month Number]]-1=Table13[Month Number]),
    0)
  ),
"")</f>
        <v>TopQuartile</v>
      </c>
      <c r="H1387" s="5">
        <f>IF(Table13[[#This Row],[Previous Quartile]]="TopQuartile", 1,
 IF(Table13[[#This Row],[Previous Quartile]]="SecondQuartile", 2,
 IF(Table13[[#This Row],[Previous Quartile]]="ThirdQuartile", 3,
 IF(Table13[[#This Row],[Previous Quartile]]="FourthQuartile", 4, ""))))</f>
        <v>1</v>
      </c>
      <c r="I1387" s="5" t="str">
        <f>IF(Table13[[#This Row],[Previous Quartile Value]]="", "",
   IF(Table13[[#This Row],[Quartile Value]] &lt; Table13[[#This Row],[Previous Quartile Value]], "Improved",
   IF(Table13[[#This Row],[Quartile Value]] &gt; Table13[[#This Row],[Previous Quartile Value]], "Dropped", "Same")))</f>
        <v>Same</v>
      </c>
      <c r="J1387" s="5" t="s">
        <v>12</v>
      </c>
      <c r="K1387" s="7" t="str">
        <f>VLOOKUP(J1387,Introduction!$B$6:$C$14,2)</f>
        <v>London</v>
      </c>
      <c r="L1387" s="13">
        <v>294</v>
      </c>
      <c r="M1387" s="8" t="s">
        <v>573</v>
      </c>
    </row>
    <row r="1388" spans="1:13" ht="19.95" customHeight="1" x14ac:dyDescent="0.25">
      <c r="A1388" s="40">
        <v>45352</v>
      </c>
      <c r="B1388" s="46">
        <f>MONTH(Table13[[#This Row],[YearMonth]])</f>
        <v>3</v>
      </c>
      <c r="C1388" s="5" t="s">
        <v>101</v>
      </c>
      <c r="D1388" s="6" t="s">
        <v>330</v>
      </c>
      <c r="E1388" s="6">
        <f>IF(Table13[[#This Row],[Quartile]]="TopQuartile", 1,
 IF(Table13[[#This Row],[Quartile]]="SecondQuartile", 2,
 IF(Table13[[#This Row],[Quartile]]="ThirdQuartile", 3,
 IF(Table13[[#This Row],[Quartile]]="FourthQuartile", 4, ""))))</f>
        <v>1</v>
      </c>
      <c r="F1388" s="5" t="s">
        <v>587</v>
      </c>
      <c r="G1388" s="5" t="str" cm="1">
        <f t="array" ref="G1388">IFERROR(
  INDEX(Table13[Quartile],
    MATCH(1,
      (Table13[[#This Row],[OrgName]]=Table13[OrgName]) *
      (Table13[[#This Row],[Month Number]]-1=Table13[Month Number]),
    0)
  ),
"")</f>
        <v>TopQuartile</v>
      </c>
      <c r="H1388" s="5">
        <f>IF(Table13[[#This Row],[Previous Quartile]]="TopQuartile", 1,
 IF(Table13[[#This Row],[Previous Quartile]]="SecondQuartile", 2,
 IF(Table13[[#This Row],[Previous Quartile]]="ThirdQuartile", 3,
 IF(Table13[[#This Row],[Previous Quartile]]="FourthQuartile", 4, ""))))</f>
        <v>1</v>
      </c>
      <c r="I1388" s="5" t="str">
        <f>IF(Table13[[#This Row],[Previous Quartile Value]]="", "",
   IF(Table13[[#This Row],[Quartile Value]] &lt; Table13[[#This Row],[Previous Quartile Value]], "Improved",
   IF(Table13[[#This Row],[Quartile Value]] &gt; Table13[[#This Row],[Previous Quartile Value]], "Dropped", "Same")))</f>
        <v>Same</v>
      </c>
      <c r="J1388" s="5" t="s">
        <v>22</v>
      </c>
      <c r="K1388" s="7" t="str">
        <f>VLOOKUP(J1388,Introduction!$B$6:$C$14,2)</f>
        <v>North West</v>
      </c>
      <c r="L1388" s="13">
        <v>350</v>
      </c>
      <c r="M1388" s="8" t="s">
        <v>573</v>
      </c>
    </row>
    <row r="1389" spans="1:13" ht="19.95" customHeight="1" x14ac:dyDescent="0.25">
      <c r="A1389" s="40">
        <v>45352</v>
      </c>
      <c r="B1389" s="46">
        <f>MONTH(Table13[[#This Row],[YearMonth]])</f>
        <v>3</v>
      </c>
      <c r="C1389" s="5" t="s">
        <v>116</v>
      </c>
      <c r="D1389" s="6" t="s">
        <v>330</v>
      </c>
      <c r="E1389" s="6">
        <f>IF(Table13[[#This Row],[Quartile]]="TopQuartile", 1,
 IF(Table13[[#This Row],[Quartile]]="SecondQuartile", 2,
 IF(Table13[[#This Row],[Quartile]]="ThirdQuartile", 3,
 IF(Table13[[#This Row],[Quartile]]="FourthQuartile", 4, ""))))</f>
        <v>1</v>
      </c>
      <c r="F1389" s="5" t="s">
        <v>591</v>
      </c>
      <c r="G1389" s="5" t="str" cm="1">
        <f t="array" ref="G1389">IFERROR(
  INDEX(Table13[Quartile],
    MATCH(1,
      (Table13[[#This Row],[OrgName]]=Table13[OrgName]) *
      (Table13[[#This Row],[Month Number]]-1=Table13[Month Number]),
    0)
  ),
"")</f>
        <v>TopQuartile</v>
      </c>
      <c r="H1389" s="5">
        <f>IF(Table13[[#This Row],[Previous Quartile]]="TopQuartile", 1,
 IF(Table13[[#This Row],[Previous Quartile]]="SecondQuartile", 2,
 IF(Table13[[#This Row],[Previous Quartile]]="ThirdQuartile", 3,
 IF(Table13[[#This Row],[Previous Quartile]]="FourthQuartile", 4, ""))))</f>
        <v>1</v>
      </c>
      <c r="I1389" s="5" t="str">
        <f>IF(Table13[[#This Row],[Previous Quartile Value]]="", "",
   IF(Table13[[#This Row],[Quartile Value]] &lt; Table13[[#This Row],[Previous Quartile Value]], "Improved",
   IF(Table13[[#This Row],[Quartile Value]] &gt; Table13[[#This Row],[Previous Quartile Value]], "Dropped", "Same")))</f>
        <v>Same</v>
      </c>
      <c r="J1389" s="5" t="s">
        <v>14</v>
      </c>
      <c r="K1389" s="7" t="str">
        <f>VLOOKUP(J1389,Introduction!$B$6:$C$14,2)</f>
        <v>South West</v>
      </c>
      <c r="L1389" s="13">
        <v>152</v>
      </c>
      <c r="M1389" s="8" t="s">
        <v>573</v>
      </c>
    </row>
    <row r="1390" spans="1:13" ht="19.95" customHeight="1" x14ac:dyDescent="0.25">
      <c r="A1390" s="40">
        <v>45352</v>
      </c>
      <c r="B1390" s="46">
        <f>MONTH(Table13[[#This Row],[YearMonth]])</f>
        <v>3</v>
      </c>
      <c r="C1390" s="5" t="s">
        <v>213</v>
      </c>
      <c r="D1390" s="6" t="s">
        <v>338</v>
      </c>
      <c r="E1390" s="6">
        <f>IF(Table13[[#This Row],[Quartile]]="TopQuartile", 1,
 IF(Table13[[#This Row],[Quartile]]="SecondQuartile", 2,
 IF(Table13[[#This Row],[Quartile]]="ThirdQuartile", 3,
 IF(Table13[[#This Row],[Quartile]]="FourthQuartile", 4, ""))))</f>
        <v>2</v>
      </c>
      <c r="F1390" s="5" t="s">
        <v>604</v>
      </c>
      <c r="G1390" s="5" t="str" cm="1">
        <f t="array" ref="G1390">IFERROR(
  INDEX(Table13[Quartile],
    MATCH(1,
      (Table13[[#This Row],[OrgName]]=Table13[OrgName]) *
      (Table13[[#This Row],[Month Number]]-1=Table13[Month Number]),
    0)
  ),
"")</f>
        <v>SecondQuartile</v>
      </c>
      <c r="H1390" s="5">
        <f>IF(Table13[[#This Row],[Previous Quartile]]="TopQuartile", 1,
 IF(Table13[[#This Row],[Previous Quartile]]="SecondQuartile", 2,
 IF(Table13[[#This Row],[Previous Quartile]]="ThirdQuartile", 3,
 IF(Table13[[#This Row],[Previous Quartile]]="FourthQuartile", 4, ""))))</f>
        <v>2</v>
      </c>
      <c r="I1390" s="5" t="str">
        <f>IF(Table13[[#This Row],[Previous Quartile Value]]="", "",
   IF(Table13[[#This Row],[Quartile Value]] &lt; Table13[[#This Row],[Previous Quartile Value]], "Improved",
   IF(Table13[[#This Row],[Quartile Value]] &gt; Table13[[#This Row],[Previous Quartile Value]], "Dropped", "Same")))</f>
        <v>Same</v>
      </c>
      <c r="J1390" s="5" t="s">
        <v>12</v>
      </c>
      <c r="K1390" s="7" t="str">
        <f>VLOOKUP(J1390,Introduction!$B$6:$C$14,2)</f>
        <v>London</v>
      </c>
      <c r="L1390" s="13">
        <v>363</v>
      </c>
      <c r="M1390" s="8" t="s">
        <v>573</v>
      </c>
    </row>
    <row r="1391" spans="1:13" ht="19.95" customHeight="1" x14ac:dyDescent="0.25">
      <c r="A1391" s="40">
        <v>45352</v>
      </c>
      <c r="B1391" s="46">
        <f>MONTH(Table13[[#This Row],[YearMonth]])</f>
        <v>3</v>
      </c>
      <c r="C1391" s="5" t="s">
        <v>178</v>
      </c>
      <c r="D1391" s="6" t="s">
        <v>338</v>
      </c>
      <c r="E1391" s="6">
        <f>IF(Table13[[#This Row],[Quartile]]="TopQuartile", 1,
 IF(Table13[[#This Row],[Quartile]]="SecondQuartile", 2,
 IF(Table13[[#This Row],[Quartile]]="ThirdQuartile", 3,
 IF(Table13[[#This Row],[Quartile]]="FourthQuartile", 4, ""))))</f>
        <v>2</v>
      </c>
      <c r="F1391" s="5" t="s">
        <v>599</v>
      </c>
      <c r="G1391" s="5" t="str" cm="1">
        <f t="array" ref="G1391">IFERROR(
  INDEX(Table13[Quartile],
    MATCH(1,
      (Table13[[#This Row],[OrgName]]=Table13[OrgName]) *
      (Table13[[#This Row],[Month Number]]-1=Table13[Month Number]),
    0)
  ),
"")</f>
        <v>SecondQuartile</v>
      </c>
      <c r="H1391" s="5">
        <f>IF(Table13[[#This Row],[Previous Quartile]]="TopQuartile", 1,
 IF(Table13[[#This Row],[Previous Quartile]]="SecondQuartile", 2,
 IF(Table13[[#This Row],[Previous Quartile]]="ThirdQuartile", 3,
 IF(Table13[[#This Row],[Previous Quartile]]="FourthQuartile", 4, ""))))</f>
        <v>2</v>
      </c>
      <c r="I1391" s="5" t="str">
        <f>IF(Table13[[#This Row],[Previous Quartile Value]]="", "",
   IF(Table13[[#This Row],[Quartile Value]] &lt; Table13[[#This Row],[Previous Quartile Value]], "Improved",
   IF(Table13[[#This Row],[Quartile Value]] &gt; Table13[[#This Row],[Previous Quartile Value]], "Dropped", "Same")))</f>
        <v>Same</v>
      </c>
      <c r="J1391" s="5" t="s">
        <v>16</v>
      </c>
      <c r="K1391" s="7" t="str">
        <f>VLOOKUP(J1391,Introduction!$B$6:$C$14,2)</f>
        <v>South East</v>
      </c>
      <c r="L1391" s="13">
        <v>348</v>
      </c>
      <c r="M1391" s="8" t="s">
        <v>573</v>
      </c>
    </row>
    <row r="1392" spans="1:13" ht="19.95" customHeight="1" x14ac:dyDescent="0.25">
      <c r="A1392" s="40">
        <v>45352</v>
      </c>
      <c r="B1392" s="46">
        <f>MONTH(Table13[[#This Row],[YearMonth]])</f>
        <v>3</v>
      </c>
      <c r="C1392" s="5" t="s">
        <v>208</v>
      </c>
      <c r="D1392" s="6" t="s">
        <v>338</v>
      </c>
      <c r="E1392" s="6">
        <f>IF(Table13[[#This Row],[Quartile]]="TopQuartile", 1,
 IF(Table13[[#This Row],[Quartile]]="SecondQuartile", 2,
 IF(Table13[[#This Row],[Quartile]]="ThirdQuartile", 3,
 IF(Table13[[#This Row],[Quartile]]="FourthQuartile", 4, ""))))</f>
        <v>2</v>
      </c>
      <c r="F1392" s="5" t="s">
        <v>603</v>
      </c>
      <c r="G1392" s="5" t="str" cm="1">
        <f t="array" ref="G1392">IFERROR(
  INDEX(Table13[Quartile],
    MATCH(1,
      (Table13[[#This Row],[OrgName]]=Table13[OrgName]) *
      (Table13[[#This Row],[Month Number]]-1=Table13[Month Number]),
    0)
  ),
"")</f>
        <v>SecondQuartile</v>
      </c>
      <c r="H1392" s="5">
        <f>IF(Table13[[#This Row],[Previous Quartile]]="TopQuartile", 1,
 IF(Table13[[#This Row],[Previous Quartile]]="SecondQuartile", 2,
 IF(Table13[[#This Row],[Previous Quartile]]="ThirdQuartile", 3,
 IF(Table13[[#This Row],[Previous Quartile]]="FourthQuartile", 4, ""))))</f>
        <v>2</v>
      </c>
      <c r="I1392" s="5" t="str">
        <f>IF(Table13[[#This Row],[Previous Quartile Value]]="", "",
   IF(Table13[[#This Row],[Quartile Value]] &lt; Table13[[#This Row],[Previous Quartile Value]], "Improved",
   IF(Table13[[#This Row],[Quartile Value]] &gt; Table13[[#This Row],[Previous Quartile Value]], "Dropped", "Same")))</f>
        <v>Same</v>
      </c>
      <c r="J1392" s="5" t="s">
        <v>20</v>
      </c>
      <c r="K1392" s="7" t="str">
        <f>VLOOKUP(J1392,Introduction!$B$6:$C$14,2)</f>
        <v>East of England</v>
      </c>
      <c r="L1392" s="13">
        <v>246</v>
      </c>
      <c r="M1392" s="8" t="s">
        <v>573</v>
      </c>
    </row>
    <row r="1393" spans="1:13" ht="19.95" customHeight="1" x14ac:dyDescent="0.25">
      <c r="A1393" s="40">
        <v>45352</v>
      </c>
      <c r="B1393" s="46">
        <f>MONTH(Table13[[#This Row],[YearMonth]])</f>
        <v>3</v>
      </c>
      <c r="C1393" s="5" t="s">
        <v>78</v>
      </c>
      <c r="D1393" s="6" t="s">
        <v>338</v>
      </c>
      <c r="E1393" s="6">
        <f>IF(Table13[[#This Row],[Quartile]]="TopQuartile", 1,
 IF(Table13[[#This Row],[Quartile]]="SecondQuartile", 2,
 IF(Table13[[#This Row],[Quartile]]="ThirdQuartile", 3,
 IF(Table13[[#This Row],[Quartile]]="FourthQuartile", 4, ""))))</f>
        <v>2</v>
      </c>
      <c r="F1393" s="5" t="s">
        <v>585</v>
      </c>
      <c r="G1393" s="5" t="str" cm="1">
        <f t="array" ref="G1393">IFERROR(
  INDEX(Table13[Quartile],
    MATCH(1,
      (Table13[[#This Row],[OrgName]]=Table13[OrgName]) *
      (Table13[[#This Row],[Month Number]]-1=Table13[Month Number]),
    0)
  ),
"")</f>
        <v>SecondQuartile</v>
      </c>
      <c r="H1393" s="5">
        <f>IF(Table13[[#This Row],[Previous Quartile]]="TopQuartile", 1,
 IF(Table13[[#This Row],[Previous Quartile]]="SecondQuartile", 2,
 IF(Table13[[#This Row],[Previous Quartile]]="ThirdQuartile", 3,
 IF(Table13[[#This Row],[Previous Quartile]]="FourthQuartile", 4, ""))))</f>
        <v>2</v>
      </c>
      <c r="I1393" s="5" t="str">
        <f>IF(Table13[[#This Row],[Previous Quartile Value]]="", "",
   IF(Table13[[#This Row],[Quartile Value]] &lt; Table13[[#This Row],[Previous Quartile Value]], "Improved",
   IF(Table13[[#This Row],[Quartile Value]] &gt; Table13[[#This Row],[Previous Quartile Value]], "Dropped", "Same")))</f>
        <v>Same</v>
      </c>
      <c r="J1393" s="5" t="s">
        <v>24</v>
      </c>
      <c r="K1393" s="7" t="str">
        <f>VLOOKUP(J1393,Introduction!$B$6:$C$14,2)</f>
        <v>North East and Yorkshire</v>
      </c>
      <c r="L1393" s="13">
        <v>346</v>
      </c>
      <c r="M1393" s="8" t="s">
        <v>573</v>
      </c>
    </row>
    <row r="1394" spans="1:13" ht="19.95" customHeight="1" x14ac:dyDescent="0.25">
      <c r="A1394" s="40">
        <v>45352</v>
      </c>
      <c r="B1394" s="46">
        <f>MONTH(Table13[[#This Row],[YearMonth]])</f>
        <v>3</v>
      </c>
      <c r="C1394" s="5" t="s">
        <v>141</v>
      </c>
      <c r="D1394" s="6" t="s">
        <v>338</v>
      </c>
      <c r="E1394" s="6">
        <f>IF(Table13[[#This Row],[Quartile]]="TopQuartile", 1,
 IF(Table13[[#This Row],[Quartile]]="SecondQuartile", 2,
 IF(Table13[[#This Row],[Quartile]]="ThirdQuartile", 3,
 IF(Table13[[#This Row],[Quartile]]="FourthQuartile", 4, ""))))</f>
        <v>2</v>
      </c>
      <c r="F1394" s="5" t="s">
        <v>594</v>
      </c>
      <c r="G1394" s="5" t="str" cm="1">
        <f t="array" ref="G1394">IFERROR(
  INDEX(Table13[Quartile],
    MATCH(1,
      (Table13[[#This Row],[OrgName]]=Table13[OrgName]) *
      (Table13[[#This Row],[Month Number]]-1=Table13[Month Number]),
    0)
  ),
"")</f>
        <v>SecondQuartile</v>
      </c>
      <c r="H1394" s="5">
        <f>IF(Table13[[#This Row],[Previous Quartile]]="TopQuartile", 1,
 IF(Table13[[#This Row],[Previous Quartile]]="SecondQuartile", 2,
 IF(Table13[[#This Row],[Previous Quartile]]="ThirdQuartile", 3,
 IF(Table13[[#This Row],[Previous Quartile]]="FourthQuartile", 4, ""))))</f>
        <v>2</v>
      </c>
      <c r="I1394" s="5" t="str">
        <f>IF(Table13[[#This Row],[Previous Quartile Value]]="", "",
   IF(Table13[[#This Row],[Quartile Value]] &lt; Table13[[#This Row],[Previous Quartile Value]], "Improved",
   IF(Table13[[#This Row],[Quartile Value]] &gt; Table13[[#This Row],[Previous Quartile Value]], "Dropped", "Same")))</f>
        <v>Same</v>
      </c>
      <c r="J1394" s="5" t="s">
        <v>12</v>
      </c>
      <c r="K1394" s="7" t="str">
        <f>VLOOKUP(J1394,Introduction!$B$6:$C$14,2)</f>
        <v>London</v>
      </c>
      <c r="L1394" s="13">
        <v>306</v>
      </c>
      <c r="M1394" s="8" t="s">
        <v>573</v>
      </c>
    </row>
    <row r="1395" spans="1:13" ht="19.95" customHeight="1" x14ac:dyDescent="0.25">
      <c r="A1395" s="40">
        <v>45352</v>
      </c>
      <c r="B1395" s="46">
        <f>MONTH(Table13[[#This Row],[YearMonth]])</f>
        <v>3</v>
      </c>
      <c r="C1395" s="5" t="s">
        <v>77</v>
      </c>
      <c r="D1395" s="6" t="s">
        <v>338</v>
      </c>
      <c r="E1395" s="6">
        <f>IF(Table13[[#This Row],[Quartile]]="TopQuartile", 1,
 IF(Table13[[#This Row],[Quartile]]="SecondQuartile", 2,
 IF(Table13[[#This Row],[Quartile]]="ThirdQuartile", 3,
 IF(Table13[[#This Row],[Quartile]]="FourthQuartile", 4, ""))))</f>
        <v>2</v>
      </c>
      <c r="F1395" s="5" t="s">
        <v>584</v>
      </c>
      <c r="G1395" s="5" t="str" cm="1">
        <f t="array" ref="G1395">IFERROR(
  INDEX(Table13[Quartile],
    MATCH(1,
      (Table13[[#This Row],[OrgName]]=Table13[OrgName]) *
      (Table13[[#This Row],[Month Number]]-1=Table13[Month Number]),
    0)
  ),
"")</f>
        <v>SecondQuartile</v>
      </c>
      <c r="H1395" s="5">
        <f>IF(Table13[[#This Row],[Previous Quartile]]="TopQuartile", 1,
 IF(Table13[[#This Row],[Previous Quartile]]="SecondQuartile", 2,
 IF(Table13[[#This Row],[Previous Quartile]]="ThirdQuartile", 3,
 IF(Table13[[#This Row],[Previous Quartile]]="FourthQuartile", 4, ""))))</f>
        <v>2</v>
      </c>
      <c r="I1395" s="5" t="str">
        <f>IF(Table13[[#This Row],[Previous Quartile Value]]="", "",
   IF(Table13[[#This Row],[Quartile Value]] &lt; Table13[[#This Row],[Previous Quartile Value]], "Improved",
   IF(Table13[[#This Row],[Quartile Value]] &gt; Table13[[#This Row],[Previous Quartile Value]], "Dropped", "Same")))</f>
        <v>Same</v>
      </c>
      <c r="J1395" s="5" t="s">
        <v>14</v>
      </c>
      <c r="K1395" s="7" t="str">
        <f>VLOOKUP(J1395,Introduction!$B$6:$C$14,2)</f>
        <v>South West</v>
      </c>
      <c r="L1395" s="13">
        <v>327</v>
      </c>
      <c r="M1395" s="8" t="s">
        <v>573</v>
      </c>
    </row>
    <row r="1396" spans="1:13" ht="19.95" customHeight="1" x14ac:dyDescent="0.25">
      <c r="A1396" s="40">
        <v>45352</v>
      </c>
      <c r="B1396" s="46">
        <f>MONTH(Table13[[#This Row],[YearMonth]])</f>
        <v>3</v>
      </c>
      <c r="C1396" s="5" t="s">
        <v>146</v>
      </c>
      <c r="D1396" s="6" t="s">
        <v>338</v>
      </c>
      <c r="E1396" s="6">
        <f>IF(Table13[[#This Row],[Quartile]]="TopQuartile", 1,
 IF(Table13[[#This Row],[Quartile]]="SecondQuartile", 2,
 IF(Table13[[#This Row],[Quartile]]="ThirdQuartile", 3,
 IF(Table13[[#This Row],[Quartile]]="FourthQuartile", 4, ""))))</f>
        <v>2</v>
      </c>
      <c r="F1396" s="5" t="s">
        <v>595</v>
      </c>
      <c r="G1396" s="5" t="str" cm="1">
        <f t="array" ref="G1396">IFERROR(
  INDEX(Table13[Quartile],
    MATCH(1,
      (Table13[[#This Row],[OrgName]]=Table13[OrgName]) *
      (Table13[[#This Row],[Month Number]]-1=Table13[Month Number]),
    0)
  ),
"")</f>
        <v>SecondQuartile</v>
      </c>
      <c r="H1396" s="5">
        <f>IF(Table13[[#This Row],[Previous Quartile]]="TopQuartile", 1,
 IF(Table13[[#This Row],[Previous Quartile]]="SecondQuartile", 2,
 IF(Table13[[#This Row],[Previous Quartile]]="ThirdQuartile", 3,
 IF(Table13[[#This Row],[Previous Quartile]]="FourthQuartile", 4, ""))))</f>
        <v>2</v>
      </c>
      <c r="I1396" s="5" t="str">
        <f>IF(Table13[[#This Row],[Previous Quartile Value]]="", "",
   IF(Table13[[#This Row],[Quartile Value]] &lt; Table13[[#This Row],[Previous Quartile Value]], "Improved",
   IF(Table13[[#This Row],[Quartile Value]] &gt; Table13[[#This Row],[Previous Quartile Value]], "Dropped", "Same")))</f>
        <v>Same</v>
      </c>
      <c r="J1396" s="5" t="s">
        <v>22</v>
      </c>
      <c r="K1396" s="7" t="str">
        <f>VLOOKUP(J1396,Introduction!$B$6:$C$14,2)</f>
        <v>North West</v>
      </c>
      <c r="L1396" s="13">
        <v>437</v>
      </c>
      <c r="M1396" s="8" t="s">
        <v>573</v>
      </c>
    </row>
    <row r="1397" spans="1:13" ht="19.95" customHeight="1" x14ac:dyDescent="0.25">
      <c r="A1397" s="40">
        <v>45352</v>
      </c>
      <c r="B1397" s="46">
        <f>MONTH(Table13[[#This Row],[YearMonth]])</f>
        <v>3</v>
      </c>
      <c r="C1397" s="5" t="s">
        <v>152</v>
      </c>
      <c r="D1397" s="6" t="s">
        <v>338</v>
      </c>
      <c r="E1397" s="6">
        <f>IF(Table13[[#This Row],[Quartile]]="TopQuartile", 1,
 IF(Table13[[#This Row],[Quartile]]="SecondQuartile", 2,
 IF(Table13[[#This Row],[Quartile]]="ThirdQuartile", 3,
 IF(Table13[[#This Row],[Quartile]]="FourthQuartile", 4, ""))))</f>
        <v>2</v>
      </c>
      <c r="F1397" s="5" t="s">
        <v>596</v>
      </c>
      <c r="G1397" s="5" t="str" cm="1">
        <f t="array" ref="G1397">IFERROR(
  INDEX(Table13[Quartile],
    MATCH(1,
      (Table13[[#This Row],[OrgName]]=Table13[OrgName]) *
      (Table13[[#This Row],[Month Number]]-1=Table13[Month Number]),
    0)
  ),
"")</f>
        <v>SecondQuartile</v>
      </c>
      <c r="H1397" s="5">
        <f>IF(Table13[[#This Row],[Previous Quartile]]="TopQuartile", 1,
 IF(Table13[[#This Row],[Previous Quartile]]="SecondQuartile", 2,
 IF(Table13[[#This Row],[Previous Quartile]]="ThirdQuartile", 3,
 IF(Table13[[#This Row],[Previous Quartile]]="FourthQuartile", 4, ""))))</f>
        <v>2</v>
      </c>
      <c r="I1397" s="5" t="str">
        <f>IF(Table13[[#This Row],[Previous Quartile Value]]="", "",
   IF(Table13[[#This Row],[Quartile Value]] &lt; Table13[[#This Row],[Previous Quartile Value]], "Improved",
   IF(Table13[[#This Row],[Quartile Value]] &gt; Table13[[#This Row],[Previous Quartile Value]], "Dropped", "Same")))</f>
        <v>Same</v>
      </c>
      <c r="J1397" s="5" t="s">
        <v>12</v>
      </c>
      <c r="K1397" s="7" t="str">
        <f>VLOOKUP(J1397,Introduction!$B$6:$C$14,2)</f>
        <v>London</v>
      </c>
      <c r="L1397" s="13">
        <v>222</v>
      </c>
      <c r="M1397" s="8" t="s">
        <v>573</v>
      </c>
    </row>
    <row r="1398" spans="1:13" ht="19.95" customHeight="1" x14ac:dyDescent="0.25">
      <c r="A1398" s="40">
        <v>45352</v>
      </c>
      <c r="B1398" s="46">
        <f>MONTH(Table13[[#This Row],[YearMonth]])</f>
        <v>3</v>
      </c>
      <c r="C1398" s="5" t="s">
        <v>114</v>
      </c>
      <c r="D1398" s="6" t="s">
        <v>338</v>
      </c>
      <c r="E1398" s="6">
        <f>IF(Table13[[#This Row],[Quartile]]="TopQuartile", 1,
 IF(Table13[[#This Row],[Quartile]]="SecondQuartile", 2,
 IF(Table13[[#This Row],[Quartile]]="ThirdQuartile", 3,
 IF(Table13[[#This Row],[Quartile]]="FourthQuartile", 4, ""))))</f>
        <v>2</v>
      </c>
      <c r="F1398" s="5" t="s">
        <v>590</v>
      </c>
      <c r="G1398" s="5" t="str" cm="1">
        <f t="array" ref="G1398">IFERROR(
  INDEX(Table13[Quartile],
    MATCH(1,
      (Table13[[#This Row],[OrgName]]=Table13[OrgName]) *
      (Table13[[#This Row],[Month Number]]-1=Table13[Month Number]),
    0)
  ),
"")</f>
        <v>SecondQuartile</v>
      </c>
      <c r="H1398" s="5">
        <f>IF(Table13[[#This Row],[Previous Quartile]]="TopQuartile", 1,
 IF(Table13[[#This Row],[Previous Quartile]]="SecondQuartile", 2,
 IF(Table13[[#This Row],[Previous Quartile]]="ThirdQuartile", 3,
 IF(Table13[[#This Row],[Previous Quartile]]="FourthQuartile", 4, ""))))</f>
        <v>2</v>
      </c>
      <c r="I1398" s="5" t="str">
        <f>IF(Table13[[#This Row],[Previous Quartile Value]]="", "",
   IF(Table13[[#This Row],[Quartile Value]] &lt; Table13[[#This Row],[Previous Quartile Value]], "Improved",
   IF(Table13[[#This Row],[Quartile Value]] &gt; Table13[[#This Row],[Previous Quartile Value]], "Dropped", "Same")))</f>
        <v>Same</v>
      </c>
      <c r="J1398" s="5" t="s">
        <v>20</v>
      </c>
      <c r="K1398" s="7" t="str">
        <f>VLOOKUP(J1398,Introduction!$B$6:$C$14,2)</f>
        <v>East of England</v>
      </c>
      <c r="L1398" s="13">
        <v>367</v>
      </c>
      <c r="M1398" s="8" t="s">
        <v>573</v>
      </c>
    </row>
    <row r="1399" spans="1:13" ht="19.95" customHeight="1" x14ac:dyDescent="0.25">
      <c r="A1399" s="40">
        <v>45352</v>
      </c>
      <c r="B1399" s="46">
        <f>MONTH(Table13[[#This Row],[YearMonth]])</f>
        <v>3</v>
      </c>
      <c r="C1399" s="5" t="s">
        <v>182</v>
      </c>
      <c r="D1399" s="6" t="s">
        <v>338</v>
      </c>
      <c r="E1399" s="6">
        <f>IF(Table13[[#This Row],[Quartile]]="TopQuartile", 1,
 IF(Table13[[#This Row],[Quartile]]="SecondQuartile", 2,
 IF(Table13[[#This Row],[Quartile]]="ThirdQuartile", 3,
 IF(Table13[[#This Row],[Quartile]]="FourthQuartile", 4, ""))))</f>
        <v>2</v>
      </c>
      <c r="F1399" s="5" t="s">
        <v>600</v>
      </c>
      <c r="G1399" s="5" t="str" cm="1">
        <f t="array" ref="G1399">IFERROR(
  INDEX(Table13[Quartile],
    MATCH(1,
      (Table13[[#This Row],[OrgName]]=Table13[OrgName]) *
      (Table13[[#This Row],[Month Number]]-1=Table13[Month Number]),
    0)
  ),
"")</f>
        <v>SecondQuartile</v>
      </c>
      <c r="H1399" s="5">
        <f>IF(Table13[[#This Row],[Previous Quartile]]="TopQuartile", 1,
 IF(Table13[[#This Row],[Previous Quartile]]="SecondQuartile", 2,
 IF(Table13[[#This Row],[Previous Quartile]]="ThirdQuartile", 3,
 IF(Table13[[#This Row],[Previous Quartile]]="FourthQuartile", 4, ""))))</f>
        <v>2</v>
      </c>
      <c r="I1399" s="5" t="str">
        <f>IF(Table13[[#This Row],[Previous Quartile Value]]="", "",
   IF(Table13[[#This Row],[Quartile Value]] &lt; Table13[[#This Row],[Previous Quartile Value]], "Improved",
   IF(Table13[[#This Row],[Quartile Value]] &gt; Table13[[#This Row],[Previous Quartile Value]], "Dropped", "Same")))</f>
        <v>Same</v>
      </c>
      <c r="J1399" s="5" t="s">
        <v>18</v>
      </c>
      <c r="K1399" s="7" t="str">
        <f>VLOOKUP(J1399,Introduction!$B$6:$C$14,2)</f>
        <v>Midlands</v>
      </c>
      <c r="L1399" s="13">
        <v>270</v>
      </c>
      <c r="M1399" s="8" t="s">
        <v>573</v>
      </c>
    </row>
    <row r="1400" spans="1:13" ht="19.95" customHeight="1" x14ac:dyDescent="0.25">
      <c r="A1400" s="40">
        <v>45352</v>
      </c>
      <c r="B1400" s="46">
        <f>MONTH(Table13[[#This Row],[YearMonth]])</f>
        <v>3</v>
      </c>
      <c r="C1400" s="5" t="s">
        <v>244</v>
      </c>
      <c r="D1400" s="6" t="s">
        <v>338</v>
      </c>
      <c r="E1400" s="6">
        <f>IF(Table13[[#This Row],[Quartile]]="TopQuartile", 1,
 IF(Table13[[#This Row],[Quartile]]="SecondQuartile", 2,
 IF(Table13[[#This Row],[Quartile]]="ThirdQuartile", 3,
 IF(Table13[[#This Row],[Quartile]]="FourthQuartile", 4, ""))))</f>
        <v>2</v>
      </c>
      <c r="F1400" s="5" t="s">
        <v>606</v>
      </c>
      <c r="G1400" s="5" t="str" cm="1">
        <f t="array" ref="G1400">IFERROR(
  INDEX(Table13[Quartile],
    MATCH(1,
      (Table13[[#This Row],[OrgName]]=Table13[OrgName]) *
      (Table13[[#This Row],[Month Number]]-1=Table13[Month Number]),
    0)
  ),
"")</f>
        <v>SecondQuartile</v>
      </c>
      <c r="H1400" s="5">
        <f>IF(Table13[[#This Row],[Previous Quartile]]="TopQuartile", 1,
 IF(Table13[[#This Row],[Previous Quartile]]="SecondQuartile", 2,
 IF(Table13[[#This Row],[Previous Quartile]]="ThirdQuartile", 3,
 IF(Table13[[#This Row],[Previous Quartile]]="FourthQuartile", 4, ""))))</f>
        <v>2</v>
      </c>
      <c r="I1400" s="5" t="str">
        <f>IF(Table13[[#This Row],[Previous Quartile Value]]="", "",
   IF(Table13[[#This Row],[Quartile Value]] &lt; Table13[[#This Row],[Previous Quartile Value]], "Improved",
   IF(Table13[[#This Row],[Quartile Value]] &gt; Table13[[#This Row],[Previous Quartile Value]], "Dropped", "Same")))</f>
        <v>Same</v>
      </c>
      <c r="J1400" s="5" t="s">
        <v>18</v>
      </c>
      <c r="K1400" s="7" t="str">
        <f>VLOOKUP(J1400,Introduction!$B$6:$C$14,2)</f>
        <v>Midlands</v>
      </c>
      <c r="L1400" s="13">
        <v>313</v>
      </c>
      <c r="M1400" s="8" t="s">
        <v>573</v>
      </c>
    </row>
    <row r="1401" spans="1:13" ht="19.95" customHeight="1" x14ac:dyDescent="0.25">
      <c r="A1401" s="40">
        <v>45352</v>
      </c>
      <c r="B1401" s="46">
        <f>MONTH(Table13[[#This Row],[YearMonth]])</f>
        <v>3</v>
      </c>
      <c r="C1401" s="5" t="s">
        <v>172</v>
      </c>
      <c r="D1401" s="6" t="s">
        <v>338</v>
      </c>
      <c r="E1401" s="6">
        <f>IF(Table13[[#This Row],[Quartile]]="TopQuartile", 1,
 IF(Table13[[#This Row],[Quartile]]="SecondQuartile", 2,
 IF(Table13[[#This Row],[Quartile]]="ThirdQuartile", 3,
 IF(Table13[[#This Row],[Quartile]]="FourthQuartile", 4, ""))))</f>
        <v>2</v>
      </c>
      <c r="F1401" s="5" t="s">
        <v>598</v>
      </c>
      <c r="G1401" s="5" t="str" cm="1">
        <f t="array" ref="G1401">IFERROR(
  INDEX(Table13[Quartile],
    MATCH(1,
      (Table13[[#This Row],[OrgName]]=Table13[OrgName]) *
      (Table13[[#This Row],[Month Number]]-1=Table13[Month Number]),
    0)
  ),
"")</f>
        <v>SecondQuartile</v>
      </c>
      <c r="H1401" s="5">
        <f>IF(Table13[[#This Row],[Previous Quartile]]="TopQuartile", 1,
 IF(Table13[[#This Row],[Previous Quartile]]="SecondQuartile", 2,
 IF(Table13[[#This Row],[Previous Quartile]]="ThirdQuartile", 3,
 IF(Table13[[#This Row],[Previous Quartile]]="FourthQuartile", 4, ""))))</f>
        <v>2</v>
      </c>
      <c r="I1401" s="5" t="str">
        <f>IF(Table13[[#This Row],[Previous Quartile Value]]="", "",
   IF(Table13[[#This Row],[Quartile Value]] &lt; Table13[[#This Row],[Previous Quartile Value]], "Improved",
   IF(Table13[[#This Row],[Quartile Value]] &gt; Table13[[#This Row],[Previous Quartile Value]], "Dropped", "Same")))</f>
        <v>Same</v>
      </c>
      <c r="J1401" s="5" t="s">
        <v>18</v>
      </c>
      <c r="K1401" s="7" t="str">
        <f>VLOOKUP(J1401,Introduction!$B$6:$C$14,2)</f>
        <v>Midlands</v>
      </c>
      <c r="L1401" s="13">
        <v>232</v>
      </c>
      <c r="M1401" s="8" t="s">
        <v>573</v>
      </c>
    </row>
    <row r="1402" spans="1:13" ht="19.95" customHeight="1" x14ac:dyDescent="0.25">
      <c r="A1402" s="40">
        <v>45352</v>
      </c>
      <c r="B1402" s="46">
        <f>MONTH(Table13[[#This Row],[YearMonth]])</f>
        <v>3</v>
      </c>
      <c r="C1402" s="5" t="s">
        <v>67</v>
      </c>
      <c r="D1402" s="6" t="s">
        <v>338</v>
      </c>
      <c r="E1402" s="6">
        <f>IF(Table13[[#This Row],[Quartile]]="TopQuartile", 1,
 IF(Table13[[#This Row],[Quartile]]="SecondQuartile", 2,
 IF(Table13[[#This Row],[Quartile]]="ThirdQuartile", 3,
 IF(Table13[[#This Row],[Quartile]]="FourthQuartile", 4, ""))))</f>
        <v>2</v>
      </c>
      <c r="F1402" s="5" t="s">
        <v>580</v>
      </c>
      <c r="G1402" s="5" t="str" cm="1">
        <f t="array" ref="G1402">IFERROR(
  INDEX(Table13[Quartile],
    MATCH(1,
      (Table13[[#This Row],[OrgName]]=Table13[OrgName]) *
      (Table13[[#This Row],[Month Number]]-1=Table13[Month Number]),
    0)
  ),
"")</f>
        <v>SecondQuartile</v>
      </c>
      <c r="H1402" s="5">
        <f>IF(Table13[[#This Row],[Previous Quartile]]="TopQuartile", 1,
 IF(Table13[[#This Row],[Previous Quartile]]="SecondQuartile", 2,
 IF(Table13[[#This Row],[Previous Quartile]]="ThirdQuartile", 3,
 IF(Table13[[#This Row],[Previous Quartile]]="FourthQuartile", 4, ""))))</f>
        <v>2</v>
      </c>
      <c r="I1402" s="5" t="str">
        <f>IF(Table13[[#This Row],[Previous Quartile Value]]="", "",
   IF(Table13[[#This Row],[Quartile Value]] &lt; Table13[[#This Row],[Previous Quartile Value]], "Improved",
   IF(Table13[[#This Row],[Quartile Value]] &gt; Table13[[#This Row],[Previous Quartile Value]], "Dropped", "Same")))</f>
        <v>Same</v>
      </c>
      <c r="J1402" s="5" t="s">
        <v>22</v>
      </c>
      <c r="K1402" s="7" t="str">
        <f>VLOOKUP(J1402,Introduction!$B$6:$C$14,2)</f>
        <v>North West</v>
      </c>
      <c r="L1402" s="13">
        <v>311</v>
      </c>
      <c r="M1402" s="8" t="s">
        <v>573</v>
      </c>
    </row>
    <row r="1403" spans="1:13" ht="19.95" customHeight="1" x14ac:dyDescent="0.25">
      <c r="A1403" s="40">
        <v>45352</v>
      </c>
      <c r="B1403" s="46">
        <f>MONTH(Table13[[#This Row],[YearMonth]])</f>
        <v>3</v>
      </c>
      <c r="C1403" s="5" t="s">
        <v>187</v>
      </c>
      <c r="D1403" s="6" t="s">
        <v>341</v>
      </c>
      <c r="E1403" s="6">
        <f>IF(Table13[[#This Row],[Quartile]]="TopQuartile", 1,
 IF(Table13[[#This Row],[Quartile]]="SecondQuartile", 2,
 IF(Table13[[#This Row],[Quartile]]="ThirdQuartile", 3,
 IF(Table13[[#This Row],[Quartile]]="FourthQuartile", 4, ""))))</f>
        <v>3</v>
      </c>
      <c r="F1403" s="5" t="s">
        <v>602</v>
      </c>
      <c r="G1403" s="5" t="str" cm="1">
        <f t="array" ref="G1403">IFERROR(
  INDEX(Table13[Quartile],
    MATCH(1,
      (Table13[[#This Row],[OrgName]]=Table13[OrgName]) *
      (Table13[[#This Row],[Month Number]]-1=Table13[Month Number]),
    0)
  ),
"")</f>
        <v>ThirdQuartile</v>
      </c>
      <c r="H1403" s="5">
        <f>IF(Table13[[#This Row],[Previous Quartile]]="TopQuartile", 1,
 IF(Table13[[#This Row],[Previous Quartile]]="SecondQuartile", 2,
 IF(Table13[[#This Row],[Previous Quartile]]="ThirdQuartile", 3,
 IF(Table13[[#This Row],[Previous Quartile]]="FourthQuartile", 4, ""))))</f>
        <v>3</v>
      </c>
      <c r="I1403" s="5" t="str">
        <f>IF(Table13[[#This Row],[Previous Quartile Value]]="", "",
   IF(Table13[[#This Row],[Quartile Value]] &lt; Table13[[#This Row],[Previous Quartile Value]], "Improved",
   IF(Table13[[#This Row],[Quartile Value]] &gt; Table13[[#This Row],[Previous Quartile Value]], "Dropped", "Same")))</f>
        <v>Same</v>
      </c>
      <c r="J1403" s="5" t="s">
        <v>18</v>
      </c>
      <c r="K1403" s="7" t="str">
        <f>VLOOKUP(J1403,Introduction!$B$6:$C$14,2)</f>
        <v>Midlands</v>
      </c>
      <c r="L1403" s="13">
        <v>383</v>
      </c>
      <c r="M1403" s="8" t="s">
        <v>573</v>
      </c>
    </row>
    <row r="1404" spans="1:13" ht="19.95" customHeight="1" x14ac:dyDescent="0.25">
      <c r="A1404" s="40">
        <v>45352</v>
      </c>
      <c r="B1404" s="46">
        <f>MONTH(Table13[[#This Row],[YearMonth]])</f>
        <v>3</v>
      </c>
      <c r="C1404" s="5" t="s">
        <v>58</v>
      </c>
      <c r="D1404" s="6" t="s">
        <v>341</v>
      </c>
      <c r="E1404" s="6">
        <f>IF(Table13[[#This Row],[Quartile]]="TopQuartile", 1,
 IF(Table13[[#This Row],[Quartile]]="SecondQuartile", 2,
 IF(Table13[[#This Row],[Quartile]]="ThirdQuartile", 3,
 IF(Table13[[#This Row],[Quartile]]="FourthQuartile", 4, ""))))</f>
        <v>3</v>
      </c>
      <c r="F1404" s="5" t="s">
        <v>578</v>
      </c>
      <c r="G1404" s="5" t="str" cm="1">
        <f t="array" ref="G1404">IFERROR(
  INDEX(Table13[Quartile],
    MATCH(1,
      (Table13[[#This Row],[OrgName]]=Table13[OrgName]) *
      (Table13[[#This Row],[Month Number]]-1=Table13[Month Number]),
    0)
  ),
"")</f>
        <v>ThirdQuartile</v>
      </c>
      <c r="H1404" s="5">
        <f>IF(Table13[[#This Row],[Previous Quartile]]="TopQuartile", 1,
 IF(Table13[[#This Row],[Previous Quartile]]="SecondQuartile", 2,
 IF(Table13[[#This Row],[Previous Quartile]]="ThirdQuartile", 3,
 IF(Table13[[#This Row],[Previous Quartile]]="FourthQuartile", 4, ""))))</f>
        <v>3</v>
      </c>
      <c r="I1404" s="5" t="str">
        <f>IF(Table13[[#This Row],[Previous Quartile Value]]="", "",
   IF(Table13[[#This Row],[Quartile Value]] &lt; Table13[[#This Row],[Previous Quartile Value]], "Improved",
   IF(Table13[[#This Row],[Quartile Value]] &gt; Table13[[#This Row],[Previous Quartile Value]], "Dropped", "Same")))</f>
        <v>Same</v>
      </c>
      <c r="J1404" s="5" t="s">
        <v>24</v>
      </c>
      <c r="K1404" s="7" t="str">
        <f>VLOOKUP(J1404,Introduction!$B$6:$C$14,2)</f>
        <v>North East and Yorkshire</v>
      </c>
      <c r="L1404" s="13">
        <v>376</v>
      </c>
      <c r="M1404" s="8" t="s">
        <v>573</v>
      </c>
    </row>
    <row r="1405" spans="1:13" ht="19.95" customHeight="1" x14ac:dyDescent="0.25">
      <c r="A1405" s="40">
        <v>45352</v>
      </c>
      <c r="B1405" s="46">
        <f>MONTH(Table13[[#This Row],[YearMonth]])</f>
        <v>3</v>
      </c>
      <c r="C1405" s="5" t="s">
        <v>167</v>
      </c>
      <c r="D1405" s="6" t="s">
        <v>341</v>
      </c>
      <c r="E1405" s="6">
        <f>IF(Table13[[#This Row],[Quartile]]="TopQuartile", 1,
 IF(Table13[[#This Row],[Quartile]]="SecondQuartile", 2,
 IF(Table13[[#This Row],[Quartile]]="ThirdQuartile", 3,
 IF(Table13[[#This Row],[Quartile]]="FourthQuartile", 4, ""))))</f>
        <v>3</v>
      </c>
      <c r="F1405" s="5" t="s">
        <v>597</v>
      </c>
      <c r="G1405" s="5" t="str" cm="1">
        <f t="array" ref="G1405">IFERROR(
  INDEX(Table13[Quartile],
    MATCH(1,
      (Table13[[#This Row],[OrgName]]=Table13[OrgName]) *
      (Table13[[#This Row],[Month Number]]-1=Table13[Month Number]),
    0)
  ),
"")</f>
        <v>ThirdQuartile</v>
      </c>
      <c r="H1405" s="5">
        <f>IF(Table13[[#This Row],[Previous Quartile]]="TopQuartile", 1,
 IF(Table13[[#This Row],[Previous Quartile]]="SecondQuartile", 2,
 IF(Table13[[#This Row],[Previous Quartile]]="ThirdQuartile", 3,
 IF(Table13[[#This Row],[Previous Quartile]]="FourthQuartile", 4, ""))))</f>
        <v>3</v>
      </c>
      <c r="I1405" s="5" t="str">
        <f>IF(Table13[[#This Row],[Previous Quartile Value]]="", "",
   IF(Table13[[#This Row],[Quartile Value]] &lt; Table13[[#This Row],[Previous Quartile Value]], "Improved",
   IF(Table13[[#This Row],[Quartile Value]] &gt; Table13[[#This Row],[Previous Quartile Value]], "Dropped", "Same")))</f>
        <v>Same</v>
      </c>
      <c r="J1405" s="5" t="s">
        <v>18</v>
      </c>
      <c r="K1405" s="7" t="str">
        <f>VLOOKUP(J1405,Introduction!$B$6:$C$14,2)</f>
        <v>Midlands</v>
      </c>
      <c r="L1405" s="13">
        <v>301</v>
      </c>
      <c r="M1405" s="8" t="s">
        <v>573</v>
      </c>
    </row>
    <row r="1406" spans="1:13" ht="19.95" customHeight="1" x14ac:dyDescent="0.25">
      <c r="A1406" s="40">
        <v>45352</v>
      </c>
      <c r="B1406" s="46">
        <f>MONTH(Table13[[#This Row],[YearMonth]])</f>
        <v>3</v>
      </c>
      <c r="C1406" s="5" t="s">
        <v>240</v>
      </c>
      <c r="D1406" s="6" t="s">
        <v>341</v>
      </c>
      <c r="E1406" s="6">
        <f>IF(Table13[[#This Row],[Quartile]]="TopQuartile", 1,
 IF(Table13[[#This Row],[Quartile]]="SecondQuartile", 2,
 IF(Table13[[#This Row],[Quartile]]="ThirdQuartile", 3,
 IF(Table13[[#This Row],[Quartile]]="FourthQuartile", 4, ""))))</f>
        <v>3</v>
      </c>
      <c r="F1406" s="5" t="s">
        <v>605</v>
      </c>
      <c r="G1406" s="5" t="str" cm="1">
        <f t="array" ref="G1406">IFERROR(
  INDEX(Table13[Quartile],
    MATCH(1,
      (Table13[[#This Row],[OrgName]]=Table13[OrgName]) *
      (Table13[[#This Row],[Month Number]]-1=Table13[Month Number]),
    0)
  ),
"")</f>
        <v>ThirdQuartile</v>
      </c>
      <c r="H1406" s="5">
        <f>IF(Table13[[#This Row],[Previous Quartile]]="TopQuartile", 1,
 IF(Table13[[#This Row],[Previous Quartile]]="SecondQuartile", 2,
 IF(Table13[[#This Row],[Previous Quartile]]="ThirdQuartile", 3,
 IF(Table13[[#This Row],[Previous Quartile]]="FourthQuartile", 4, ""))))</f>
        <v>3</v>
      </c>
      <c r="I1406" s="5" t="str">
        <f>IF(Table13[[#This Row],[Previous Quartile Value]]="", "",
   IF(Table13[[#This Row],[Quartile Value]] &lt; Table13[[#This Row],[Previous Quartile Value]], "Improved",
   IF(Table13[[#This Row],[Quartile Value]] &gt; Table13[[#This Row],[Previous Quartile Value]], "Dropped", "Same")))</f>
        <v>Same</v>
      </c>
      <c r="J1406" s="5" t="s">
        <v>12</v>
      </c>
      <c r="K1406" s="7" t="str">
        <f>VLOOKUP(J1406,Introduction!$B$6:$C$14,2)</f>
        <v>London</v>
      </c>
      <c r="L1406" s="13">
        <v>277</v>
      </c>
      <c r="M1406" s="8" t="s">
        <v>573</v>
      </c>
    </row>
    <row r="1407" spans="1:13" ht="19.95" customHeight="1" x14ac:dyDescent="0.25">
      <c r="A1407" s="40">
        <v>45352</v>
      </c>
      <c r="B1407" s="46">
        <f>MONTH(Table13[[#This Row],[YearMonth]])</f>
        <v>3</v>
      </c>
      <c r="C1407" s="5" t="s">
        <v>118</v>
      </c>
      <c r="D1407" s="6" t="s">
        <v>341</v>
      </c>
      <c r="E1407" s="6">
        <f>IF(Table13[[#This Row],[Quartile]]="TopQuartile", 1,
 IF(Table13[[#This Row],[Quartile]]="SecondQuartile", 2,
 IF(Table13[[#This Row],[Quartile]]="ThirdQuartile", 3,
 IF(Table13[[#This Row],[Quartile]]="FourthQuartile", 4, ""))))</f>
        <v>3</v>
      </c>
      <c r="F1407" s="5" t="s">
        <v>592</v>
      </c>
      <c r="G1407" s="5" t="str" cm="1">
        <f t="array" ref="G1407">IFERROR(
  INDEX(Table13[Quartile],
    MATCH(1,
      (Table13[[#This Row],[OrgName]]=Table13[OrgName]) *
      (Table13[[#This Row],[Month Number]]-1=Table13[Month Number]),
    0)
  ),
"")</f>
        <v>ThirdQuartile</v>
      </c>
      <c r="H1407" s="5">
        <f>IF(Table13[[#This Row],[Previous Quartile]]="TopQuartile", 1,
 IF(Table13[[#This Row],[Previous Quartile]]="SecondQuartile", 2,
 IF(Table13[[#This Row],[Previous Quartile]]="ThirdQuartile", 3,
 IF(Table13[[#This Row],[Previous Quartile]]="FourthQuartile", 4, ""))))</f>
        <v>3</v>
      </c>
      <c r="I1407" s="5" t="str">
        <f>IF(Table13[[#This Row],[Previous Quartile Value]]="", "",
   IF(Table13[[#This Row],[Quartile Value]] &lt; Table13[[#This Row],[Previous Quartile Value]], "Improved",
   IF(Table13[[#This Row],[Quartile Value]] &gt; Table13[[#This Row],[Previous Quartile Value]], "Dropped", "Same")))</f>
        <v>Same</v>
      </c>
      <c r="J1407" s="5" t="s">
        <v>18</v>
      </c>
      <c r="K1407" s="7" t="str">
        <f>VLOOKUP(J1407,Introduction!$B$6:$C$14,2)</f>
        <v>Midlands</v>
      </c>
      <c r="L1407" s="13">
        <v>186</v>
      </c>
      <c r="M1407" s="8" t="s">
        <v>573</v>
      </c>
    </row>
    <row r="1408" spans="1:13" ht="19.95" customHeight="1" x14ac:dyDescent="0.25">
      <c r="A1408" s="40">
        <v>45352</v>
      </c>
      <c r="B1408" s="46">
        <f>MONTH(Table13[[#This Row],[YearMonth]])</f>
        <v>3</v>
      </c>
      <c r="C1408" s="5" t="s">
        <v>123</v>
      </c>
      <c r="D1408" s="6" t="s">
        <v>341</v>
      </c>
      <c r="E1408" s="6">
        <f>IF(Table13[[#This Row],[Quartile]]="TopQuartile", 1,
 IF(Table13[[#This Row],[Quartile]]="SecondQuartile", 2,
 IF(Table13[[#This Row],[Quartile]]="ThirdQuartile", 3,
 IF(Table13[[#This Row],[Quartile]]="FourthQuartile", 4, ""))))</f>
        <v>3</v>
      </c>
      <c r="F1408" s="5" t="s">
        <v>593</v>
      </c>
      <c r="G1408" s="5" t="str" cm="1">
        <f t="array" ref="G1408">IFERROR(
  INDEX(Table13[Quartile],
    MATCH(1,
      (Table13[[#This Row],[OrgName]]=Table13[OrgName]) *
      (Table13[[#This Row],[Month Number]]-1=Table13[Month Number]),
    0)
  ),
"")</f>
        <v>ThirdQuartile</v>
      </c>
      <c r="H1408" s="5">
        <f>IF(Table13[[#This Row],[Previous Quartile]]="TopQuartile", 1,
 IF(Table13[[#This Row],[Previous Quartile]]="SecondQuartile", 2,
 IF(Table13[[#This Row],[Previous Quartile]]="ThirdQuartile", 3,
 IF(Table13[[#This Row],[Previous Quartile]]="FourthQuartile", 4, ""))))</f>
        <v>3</v>
      </c>
      <c r="I1408" s="5" t="str">
        <f>IF(Table13[[#This Row],[Previous Quartile Value]]="", "",
   IF(Table13[[#This Row],[Quartile Value]] &lt; Table13[[#This Row],[Previous Quartile Value]], "Improved",
   IF(Table13[[#This Row],[Quartile Value]] &gt; Table13[[#This Row],[Previous Quartile Value]], "Dropped", "Same")))</f>
        <v>Same</v>
      </c>
      <c r="J1408" s="5" t="s">
        <v>20</v>
      </c>
      <c r="K1408" s="7" t="str">
        <f>VLOOKUP(J1408,Introduction!$B$6:$C$14,2)</f>
        <v>East of England</v>
      </c>
      <c r="L1408" s="13">
        <v>364</v>
      </c>
      <c r="M1408" s="8" t="s">
        <v>573</v>
      </c>
    </row>
    <row r="1409" spans="1:13" ht="19.95" customHeight="1" x14ac:dyDescent="0.25">
      <c r="A1409" s="40">
        <v>45352</v>
      </c>
      <c r="B1409" s="46">
        <f>MONTH(Table13[[#This Row],[YearMonth]])</f>
        <v>3</v>
      </c>
      <c r="C1409" s="5" t="s">
        <v>280</v>
      </c>
      <c r="D1409" s="6" t="s">
        <v>341</v>
      </c>
      <c r="E1409" s="6">
        <f>IF(Table13[[#This Row],[Quartile]]="TopQuartile", 1,
 IF(Table13[[#This Row],[Quartile]]="SecondQuartile", 2,
 IF(Table13[[#This Row],[Quartile]]="ThirdQuartile", 3,
 IF(Table13[[#This Row],[Quartile]]="FourthQuartile", 4, ""))))</f>
        <v>3</v>
      </c>
      <c r="F1409" s="5" t="s">
        <v>612</v>
      </c>
      <c r="G1409" s="5" t="str" cm="1">
        <f t="array" ref="G1409">IFERROR(
  INDEX(Table13[Quartile],
    MATCH(1,
      (Table13[[#This Row],[OrgName]]=Table13[OrgName]) *
      (Table13[[#This Row],[Month Number]]-1=Table13[Month Number]),
    0)
  ),
"")</f>
        <v>ThirdQuartile</v>
      </c>
      <c r="H1409" s="5">
        <f>IF(Table13[[#This Row],[Previous Quartile]]="TopQuartile", 1,
 IF(Table13[[#This Row],[Previous Quartile]]="SecondQuartile", 2,
 IF(Table13[[#This Row],[Previous Quartile]]="ThirdQuartile", 3,
 IF(Table13[[#This Row],[Previous Quartile]]="FourthQuartile", 4, ""))))</f>
        <v>3</v>
      </c>
      <c r="I1409" s="5" t="str">
        <f>IF(Table13[[#This Row],[Previous Quartile Value]]="", "",
   IF(Table13[[#This Row],[Quartile Value]] &lt; Table13[[#This Row],[Previous Quartile Value]], "Improved",
   IF(Table13[[#This Row],[Quartile Value]] &gt; Table13[[#This Row],[Previous Quartile Value]], "Dropped", "Same")))</f>
        <v>Same</v>
      </c>
      <c r="J1409" s="5" t="s">
        <v>12</v>
      </c>
      <c r="K1409" s="7" t="str">
        <f>VLOOKUP(J1409,Introduction!$B$6:$C$14,2)</f>
        <v>London</v>
      </c>
      <c r="L1409" s="13">
        <v>260</v>
      </c>
      <c r="M1409" s="8" t="s">
        <v>573</v>
      </c>
    </row>
    <row r="1410" spans="1:13" ht="19.95" customHeight="1" x14ac:dyDescent="0.25">
      <c r="A1410" s="40">
        <v>45352</v>
      </c>
      <c r="B1410" s="46">
        <f>MONTH(Table13[[#This Row],[YearMonth]])</f>
        <v>3</v>
      </c>
      <c r="C1410" s="5" t="s">
        <v>186</v>
      </c>
      <c r="D1410" s="6" t="s">
        <v>341</v>
      </c>
      <c r="E1410" s="6">
        <f>IF(Table13[[#This Row],[Quartile]]="TopQuartile", 1,
 IF(Table13[[#This Row],[Quartile]]="SecondQuartile", 2,
 IF(Table13[[#This Row],[Quartile]]="ThirdQuartile", 3,
 IF(Table13[[#This Row],[Quartile]]="FourthQuartile", 4, ""))))</f>
        <v>3</v>
      </c>
      <c r="F1410" s="5" t="s">
        <v>601</v>
      </c>
      <c r="G1410" s="5" t="str" cm="1">
        <f t="array" ref="G1410">IFERROR(
  INDEX(Table13[Quartile],
    MATCH(1,
      (Table13[[#This Row],[OrgName]]=Table13[OrgName]) *
      (Table13[[#This Row],[Month Number]]-1=Table13[Month Number]),
    0)
  ),
"")</f>
        <v>ThirdQuartile</v>
      </c>
      <c r="H1410" s="5">
        <f>IF(Table13[[#This Row],[Previous Quartile]]="TopQuartile", 1,
 IF(Table13[[#This Row],[Previous Quartile]]="SecondQuartile", 2,
 IF(Table13[[#This Row],[Previous Quartile]]="ThirdQuartile", 3,
 IF(Table13[[#This Row],[Previous Quartile]]="FourthQuartile", 4, ""))))</f>
        <v>3</v>
      </c>
      <c r="I1410" s="5" t="str">
        <f>IF(Table13[[#This Row],[Previous Quartile Value]]="", "",
   IF(Table13[[#This Row],[Quartile Value]] &lt; Table13[[#This Row],[Previous Quartile Value]], "Improved",
   IF(Table13[[#This Row],[Quartile Value]] &gt; Table13[[#This Row],[Previous Quartile Value]], "Dropped", "Same")))</f>
        <v>Same</v>
      </c>
      <c r="J1410" s="5" t="s">
        <v>16</v>
      </c>
      <c r="K1410" s="7" t="str">
        <f>VLOOKUP(J1410,Introduction!$B$6:$C$14,2)</f>
        <v>South East</v>
      </c>
      <c r="L1410" s="13">
        <v>371</v>
      </c>
      <c r="M1410" s="8" t="s">
        <v>573</v>
      </c>
    </row>
    <row r="1411" spans="1:13" ht="19.95" customHeight="1" x14ac:dyDescent="0.25">
      <c r="A1411" s="40">
        <v>45352</v>
      </c>
      <c r="B1411" s="46">
        <f>MONTH(Table13[[#This Row],[YearMonth]])</f>
        <v>3</v>
      </c>
      <c r="C1411" s="5" t="s">
        <v>250</v>
      </c>
      <c r="D1411" s="6" t="s">
        <v>350</v>
      </c>
      <c r="E1411" s="6">
        <f>IF(Table13[[#This Row],[Quartile]]="TopQuartile", 1,
 IF(Table13[[#This Row],[Quartile]]="SecondQuartile", 2,
 IF(Table13[[#This Row],[Quartile]]="ThirdQuartile", 3,
 IF(Table13[[#This Row],[Quartile]]="FourthQuartile", 4, ""))))</f>
        <v>4</v>
      </c>
      <c r="F1411" s="5" t="s">
        <v>607</v>
      </c>
      <c r="G1411" s="5" t="str" cm="1">
        <f t="array" ref="G1411">IFERROR(
  INDEX(Table13[Quartile],
    MATCH(1,
      (Table13[[#This Row],[OrgName]]=Table13[OrgName]) *
      (Table13[[#This Row],[Month Number]]-1=Table13[Month Number]),
    0)
  ),
"")</f>
        <v>FourthQuartile</v>
      </c>
      <c r="H1411" s="5">
        <f>IF(Table13[[#This Row],[Previous Quartile]]="TopQuartile", 1,
 IF(Table13[[#This Row],[Previous Quartile]]="SecondQuartile", 2,
 IF(Table13[[#This Row],[Previous Quartile]]="ThirdQuartile", 3,
 IF(Table13[[#This Row],[Previous Quartile]]="FourthQuartile", 4, ""))))</f>
        <v>4</v>
      </c>
      <c r="I1411" s="5" t="str">
        <f>IF(Table13[[#This Row],[Previous Quartile Value]]="", "",
   IF(Table13[[#This Row],[Quartile Value]] &lt; Table13[[#This Row],[Previous Quartile Value]], "Improved",
   IF(Table13[[#This Row],[Quartile Value]] &gt; Table13[[#This Row],[Previous Quartile Value]], "Dropped", "Same")))</f>
        <v>Same</v>
      </c>
      <c r="J1411" s="5" t="s">
        <v>16</v>
      </c>
      <c r="K1411" s="7" t="str">
        <f>VLOOKUP(J1411,Introduction!$B$6:$C$14,2)</f>
        <v>South East</v>
      </c>
      <c r="L1411" s="13">
        <v>380</v>
      </c>
      <c r="M1411" s="8" t="s">
        <v>573</v>
      </c>
    </row>
    <row r="1412" spans="1:13" ht="19.95" customHeight="1" x14ac:dyDescent="0.25">
      <c r="A1412" s="40">
        <v>45352</v>
      </c>
      <c r="B1412" s="46">
        <f>MONTH(Table13[[#This Row],[YearMonth]])</f>
        <v>3</v>
      </c>
      <c r="C1412" s="5" t="s">
        <v>268</v>
      </c>
      <c r="D1412" s="6" t="s">
        <v>350</v>
      </c>
      <c r="E1412" s="6">
        <f>IF(Table13[[#This Row],[Quartile]]="TopQuartile", 1,
 IF(Table13[[#This Row],[Quartile]]="SecondQuartile", 2,
 IF(Table13[[#This Row],[Quartile]]="ThirdQuartile", 3,
 IF(Table13[[#This Row],[Quartile]]="FourthQuartile", 4, ""))))</f>
        <v>4</v>
      </c>
      <c r="F1412" s="5" t="s">
        <v>610</v>
      </c>
      <c r="G1412" s="5" t="str" cm="1">
        <f t="array" ref="G1412">IFERROR(
  INDEX(Table13[Quartile],
    MATCH(1,
      (Table13[[#This Row],[OrgName]]=Table13[OrgName]) *
      (Table13[[#This Row],[Month Number]]-1=Table13[Month Number]),
    0)
  ),
"")</f>
        <v>FourthQuartile</v>
      </c>
      <c r="H1412" s="5">
        <f>IF(Table13[[#This Row],[Previous Quartile]]="TopQuartile", 1,
 IF(Table13[[#This Row],[Previous Quartile]]="SecondQuartile", 2,
 IF(Table13[[#This Row],[Previous Quartile]]="ThirdQuartile", 3,
 IF(Table13[[#This Row],[Previous Quartile]]="FourthQuartile", 4, ""))))</f>
        <v>4</v>
      </c>
      <c r="I1412" s="5" t="str">
        <f>IF(Table13[[#This Row],[Previous Quartile Value]]="", "",
   IF(Table13[[#This Row],[Quartile Value]] &lt; Table13[[#This Row],[Previous Quartile Value]], "Improved",
   IF(Table13[[#This Row],[Quartile Value]] &gt; Table13[[#This Row],[Previous Quartile Value]], "Dropped", "Same")))</f>
        <v>Same</v>
      </c>
      <c r="J1412" s="5" t="s">
        <v>16</v>
      </c>
      <c r="K1412" s="7" t="str">
        <f>VLOOKUP(J1412,Introduction!$B$6:$C$14,2)</f>
        <v>South East</v>
      </c>
      <c r="L1412" s="13">
        <v>325</v>
      </c>
      <c r="M1412" s="8" t="s">
        <v>573</v>
      </c>
    </row>
    <row r="1413" spans="1:13" ht="19.95" customHeight="1" x14ac:dyDescent="0.25">
      <c r="A1413" s="40">
        <v>45352</v>
      </c>
      <c r="B1413" s="46">
        <f>MONTH(Table13[[#This Row],[YearMonth]])</f>
        <v>3</v>
      </c>
      <c r="C1413" s="5" t="s">
        <v>264</v>
      </c>
      <c r="D1413" s="6" t="s">
        <v>350</v>
      </c>
      <c r="E1413" s="6">
        <f>IF(Table13[[#This Row],[Quartile]]="TopQuartile", 1,
 IF(Table13[[#This Row],[Quartile]]="SecondQuartile", 2,
 IF(Table13[[#This Row],[Quartile]]="ThirdQuartile", 3,
 IF(Table13[[#This Row],[Quartile]]="FourthQuartile", 4, ""))))</f>
        <v>4</v>
      </c>
      <c r="F1413" s="5" t="s">
        <v>609</v>
      </c>
      <c r="G1413" s="5" t="str" cm="1">
        <f t="array" ref="G1413">IFERROR(
  INDEX(Table13[Quartile],
    MATCH(1,
      (Table13[[#This Row],[OrgName]]=Table13[OrgName]) *
      (Table13[[#This Row],[Month Number]]-1=Table13[Month Number]),
    0)
  ),
"")</f>
        <v>FourthQuartile</v>
      </c>
      <c r="H1413" s="5">
        <f>IF(Table13[[#This Row],[Previous Quartile]]="TopQuartile", 1,
 IF(Table13[[#This Row],[Previous Quartile]]="SecondQuartile", 2,
 IF(Table13[[#This Row],[Previous Quartile]]="ThirdQuartile", 3,
 IF(Table13[[#This Row],[Previous Quartile]]="FourthQuartile", 4, ""))))</f>
        <v>4</v>
      </c>
      <c r="I1413" s="5" t="str">
        <f>IF(Table13[[#This Row],[Previous Quartile Value]]="", "",
   IF(Table13[[#This Row],[Quartile Value]] &lt; Table13[[#This Row],[Previous Quartile Value]], "Improved",
   IF(Table13[[#This Row],[Quartile Value]] &gt; Table13[[#This Row],[Previous Quartile Value]], "Dropped", "Same")))</f>
        <v>Same</v>
      </c>
      <c r="J1413" s="5" t="s">
        <v>16</v>
      </c>
      <c r="K1413" s="7" t="str">
        <f>VLOOKUP(J1413,Introduction!$B$6:$C$14,2)</f>
        <v>South East</v>
      </c>
      <c r="L1413" s="13">
        <v>267</v>
      </c>
      <c r="M1413" s="8" t="s">
        <v>573</v>
      </c>
    </row>
    <row r="1414" spans="1:13" ht="19.95" customHeight="1" x14ac:dyDescent="0.25">
      <c r="A1414" s="40">
        <v>45352</v>
      </c>
      <c r="B1414" s="46">
        <f>MONTH(Table13[[#This Row],[YearMonth]])</f>
        <v>3</v>
      </c>
      <c r="C1414" s="5" t="s">
        <v>271</v>
      </c>
      <c r="D1414" s="6" t="s">
        <v>350</v>
      </c>
      <c r="E1414" s="6">
        <f>IF(Table13[[#This Row],[Quartile]]="TopQuartile", 1,
 IF(Table13[[#This Row],[Quartile]]="SecondQuartile", 2,
 IF(Table13[[#This Row],[Quartile]]="ThirdQuartile", 3,
 IF(Table13[[#This Row],[Quartile]]="FourthQuartile", 4, ""))))</f>
        <v>4</v>
      </c>
      <c r="F1414" s="5" t="s">
        <v>611</v>
      </c>
      <c r="G1414" s="5" t="str" cm="1">
        <f t="array" ref="G1414">IFERROR(
  INDEX(Table13[Quartile],
    MATCH(1,
      (Table13[[#This Row],[OrgName]]=Table13[OrgName]) *
      (Table13[[#This Row],[Month Number]]-1=Table13[Month Number]),
    0)
  ),
"")</f>
        <v>FourthQuartile</v>
      </c>
      <c r="H1414" s="5">
        <f>IF(Table13[[#This Row],[Previous Quartile]]="TopQuartile", 1,
 IF(Table13[[#This Row],[Previous Quartile]]="SecondQuartile", 2,
 IF(Table13[[#This Row],[Previous Quartile]]="ThirdQuartile", 3,
 IF(Table13[[#This Row],[Previous Quartile]]="FourthQuartile", 4, ""))))</f>
        <v>4</v>
      </c>
      <c r="I1414" s="5" t="str">
        <f>IF(Table13[[#This Row],[Previous Quartile Value]]="", "",
   IF(Table13[[#This Row],[Quartile Value]] &lt; Table13[[#This Row],[Previous Quartile Value]], "Improved",
   IF(Table13[[#This Row],[Quartile Value]] &gt; Table13[[#This Row],[Previous Quartile Value]], "Dropped", "Same")))</f>
        <v>Same</v>
      </c>
      <c r="J1414" s="5" t="s">
        <v>12</v>
      </c>
      <c r="K1414" s="7" t="str">
        <f>VLOOKUP(J1414,Introduction!$B$6:$C$14,2)</f>
        <v>London</v>
      </c>
      <c r="L1414" s="13">
        <v>334</v>
      </c>
      <c r="M1414" s="8" t="s">
        <v>573</v>
      </c>
    </row>
    <row r="1415" spans="1:13" ht="19.95" customHeight="1" x14ac:dyDescent="0.25">
      <c r="A1415" s="40">
        <v>45352</v>
      </c>
      <c r="B1415" s="46">
        <f>MONTH(Table13[[#This Row],[YearMonth]])</f>
        <v>3</v>
      </c>
      <c r="C1415" s="5" t="s">
        <v>255</v>
      </c>
      <c r="D1415" s="6" t="s">
        <v>350</v>
      </c>
      <c r="E1415" s="6">
        <f>IF(Table13[[#This Row],[Quartile]]="TopQuartile", 1,
 IF(Table13[[#This Row],[Quartile]]="SecondQuartile", 2,
 IF(Table13[[#This Row],[Quartile]]="ThirdQuartile", 3,
 IF(Table13[[#This Row],[Quartile]]="FourthQuartile", 4, ""))))</f>
        <v>4</v>
      </c>
      <c r="F1415" s="5" t="s">
        <v>608</v>
      </c>
      <c r="G1415" s="5" t="str" cm="1">
        <f t="array" ref="G1415">IFERROR(
  INDEX(Table13[Quartile],
    MATCH(1,
      (Table13[[#This Row],[OrgName]]=Table13[OrgName]) *
      (Table13[[#This Row],[Month Number]]-1=Table13[Month Number]),
    0)
  ),
"")</f>
        <v>FourthQuartile</v>
      </c>
      <c r="H1415" s="5">
        <f>IF(Table13[[#This Row],[Previous Quartile]]="TopQuartile", 1,
 IF(Table13[[#This Row],[Previous Quartile]]="SecondQuartile", 2,
 IF(Table13[[#This Row],[Previous Quartile]]="ThirdQuartile", 3,
 IF(Table13[[#This Row],[Previous Quartile]]="FourthQuartile", 4, ""))))</f>
        <v>4</v>
      </c>
      <c r="I1415" s="5" t="str">
        <f>IF(Table13[[#This Row],[Previous Quartile Value]]="", "",
   IF(Table13[[#This Row],[Quartile Value]] &lt; Table13[[#This Row],[Previous Quartile Value]], "Improved",
   IF(Table13[[#This Row],[Quartile Value]] &gt; Table13[[#This Row],[Previous Quartile Value]], "Dropped", "Same")))</f>
        <v>Same</v>
      </c>
      <c r="J1415" s="5" t="s">
        <v>20</v>
      </c>
      <c r="K1415" s="7" t="str">
        <f>VLOOKUP(J1415,Introduction!$B$6:$C$14,2)</f>
        <v>East of England</v>
      </c>
      <c r="L1415" s="13">
        <v>310</v>
      </c>
      <c r="M1415" s="8" t="s">
        <v>573</v>
      </c>
    </row>
    <row r="1416" spans="1:13" ht="19.95" customHeight="1" x14ac:dyDescent="0.25">
      <c r="A1416" s="40">
        <v>45352</v>
      </c>
      <c r="B1416" s="46">
        <f>MONTH(Table13[[#This Row],[YearMonth]])</f>
        <v>3</v>
      </c>
      <c r="C1416" s="5" t="s">
        <v>286</v>
      </c>
      <c r="D1416" s="6" t="s">
        <v>350</v>
      </c>
      <c r="E1416" s="6">
        <f>IF(Table13[[#This Row],[Quartile]]="TopQuartile", 1,
 IF(Table13[[#This Row],[Quartile]]="SecondQuartile", 2,
 IF(Table13[[#This Row],[Quartile]]="ThirdQuartile", 3,
 IF(Table13[[#This Row],[Quartile]]="FourthQuartile", 4, ""))))</f>
        <v>4</v>
      </c>
      <c r="F1416" s="5" t="s">
        <v>613</v>
      </c>
      <c r="G1416" s="5" t="str" cm="1">
        <f t="array" ref="G1416">IFERROR(
  INDEX(Table13[Quartile],
    MATCH(1,
      (Table13[[#This Row],[OrgName]]=Table13[OrgName]) *
      (Table13[[#This Row],[Month Number]]-1=Table13[Month Number]),
    0)
  ),
"")</f>
        <v>FourthQuartile</v>
      </c>
      <c r="H1416" s="5">
        <f>IF(Table13[[#This Row],[Previous Quartile]]="TopQuartile", 1,
 IF(Table13[[#This Row],[Previous Quartile]]="SecondQuartile", 2,
 IF(Table13[[#This Row],[Previous Quartile]]="ThirdQuartile", 3,
 IF(Table13[[#This Row],[Previous Quartile]]="FourthQuartile", 4, ""))))</f>
        <v>4</v>
      </c>
      <c r="I1416" s="5" t="str">
        <f>IF(Table13[[#This Row],[Previous Quartile Value]]="", "",
   IF(Table13[[#This Row],[Quartile Value]] &lt; Table13[[#This Row],[Previous Quartile Value]], "Improved",
   IF(Table13[[#This Row],[Quartile Value]] &gt; Table13[[#This Row],[Previous Quartile Value]], "Dropped", "Same")))</f>
        <v>Same</v>
      </c>
      <c r="J1416" s="5" t="s">
        <v>12</v>
      </c>
      <c r="K1416" s="7" t="str">
        <f>VLOOKUP(J1416,Introduction!$B$6:$C$14,2)</f>
        <v>London</v>
      </c>
      <c r="L1416" s="13">
        <v>395</v>
      </c>
      <c r="M1416" s="8" t="s">
        <v>573</v>
      </c>
    </row>
    <row r="1417" spans="1:13" ht="19.95" customHeight="1" x14ac:dyDescent="0.25">
      <c r="A1417" s="40">
        <v>45352</v>
      </c>
      <c r="B1417" s="46">
        <f>MONTH(Table13[[#This Row],[YearMonth]])</f>
        <v>3</v>
      </c>
      <c r="C1417" s="5" t="s">
        <v>289</v>
      </c>
      <c r="D1417" s="6" t="s">
        <v>350</v>
      </c>
      <c r="E1417" s="6">
        <f>IF(Table13[[#This Row],[Quartile]]="TopQuartile", 1,
 IF(Table13[[#This Row],[Quartile]]="SecondQuartile", 2,
 IF(Table13[[#This Row],[Quartile]]="ThirdQuartile", 3,
 IF(Table13[[#This Row],[Quartile]]="FourthQuartile", 4, ""))))</f>
        <v>4</v>
      </c>
      <c r="F1417" s="5" t="s">
        <v>614</v>
      </c>
      <c r="G1417" s="5" t="str" cm="1">
        <f t="array" ref="G1417">IFERROR(
  INDEX(Table13[Quartile],
    MATCH(1,
      (Table13[[#This Row],[OrgName]]=Table13[OrgName]) *
      (Table13[[#This Row],[Month Number]]-1=Table13[Month Number]),
    0)
  ),
"")</f>
        <v>FourthQuartile</v>
      </c>
      <c r="H1417" s="5">
        <f>IF(Table13[[#This Row],[Previous Quartile]]="TopQuartile", 1,
 IF(Table13[[#This Row],[Previous Quartile]]="SecondQuartile", 2,
 IF(Table13[[#This Row],[Previous Quartile]]="ThirdQuartile", 3,
 IF(Table13[[#This Row],[Previous Quartile]]="FourthQuartile", 4, ""))))</f>
        <v>4</v>
      </c>
      <c r="I1417" s="5" t="str">
        <f>IF(Table13[[#This Row],[Previous Quartile Value]]="", "",
   IF(Table13[[#This Row],[Quartile Value]] &lt; Table13[[#This Row],[Previous Quartile Value]], "Improved",
   IF(Table13[[#This Row],[Quartile Value]] &gt; Table13[[#This Row],[Previous Quartile Value]], "Dropped", "Same")))</f>
        <v>Same</v>
      </c>
      <c r="J1417" s="5" t="s">
        <v>18</v>
      </c>
      <c r="K1417" s="7" t="str">
        <f>VLOOKUP(J1417,Introduction!$B$6:$C$14,2)</f>
        <v>Midlands</v>
      </c>
      <c r="L1417" s="13">
        <v>285</v>
      </c>
      <c r="M1417" s="8" t="s">
        <v>573</v>
      </c>
    </row>
    <row r="1418" spans="1:13" ht="19.95" customHeight="1" x14ac:dyDescent="0.25">
      <c r="A1418" s="40">
        <v>45352</v>
      </c>
      <c r="B1418" s="46">
        <f>MONTH(Table13[[#This Row],[YearMonth]])</f>
        <v>3</v>
      </c>
      <c r="C1418" s="5" t="s">
        <v>293</v>
      </c>
      <c r="D1418" s="6" t="s">
        <v>350</v>
      </c>
      <c r="E1418" s="6">
        <f>IF(Table13[[#This Row],[Quartile]]="TopQuartile", 1,
 IF(Table13[[#This Row],[Quartile]]="SecondQuartile", 2,
 IF(Table13[[#This Row],[Quartile]]="ThirdQuartile", 3,
 IF(Table13[[#This Row],[Quartile]]="FourthQuartile", 4, ""))))</f>
        <v>4</v>
      </c>
      <c r="F1418" s="5" t="s">
        <v>615</v>
      </c>
      <c r="G1418" s="5" t="str" cm="1">
        <f t="array" ref="G1418">IFERROR(
  INDEX(Table13[Quartile],
    MATCH(1,
      (Table13[[#This Row],[OrgName]]=Table13[OrgName]) *
      (Table13[[#This Row],[Month Number]]-1=Table13[Month Number]),
    0)
  ),
"")</f>
        <v>FourthQuartile</v>
      </c>
      <c r="H1418" s="5">
        <f>IF(Table13[[#This Row],[Previous Quartile]]="TopQuartile", 1,
 IF(Table13[[#This Row],[Previous Quartile]]="SecondQuartile", 2,
 IF(Table13[[#This Row],[Previous Quartile]]="ThirdQuartile", 3,
 IF(Table13[[#This Row],[Previous Quartile]]="FourthQuartile", 4, ""))))</f>
        <v>4</v>
      </c>
      <c r="I1418" s="5" t="str">
        <f>IF(Table13[[#This Row],[Previous Quartile Value]]="", "",
   IF(Table13[[#This Row],[Quartile Value]] &lt; Table13[[#This Row],[Previous Quartile Value]], "Improved",
   IF(Table13[[#This Row],[Quartile Value]] &gt; Table13[[#This Row],[Previous Quartile Value]], "Dropped", "Same")))</f>
        <v>Same</v>
      </c>
      <c r="J1418" s="5" t="s">
        <v>22</v>
      </c>
      <c r="K1418" s="7" t="str">
        <f>VLOOKUP(J1418,Introduction!$B$6:$C$14,2)</f>
        <v>North West</v>
      </c>
      <c r="L1418" s="13">
        <v>351</v>
      </c>
      <c r="M1418" s="8" t="s">
        <v>573</v>
      </c>
    </row>
    <row r="1419" spans="1:13" ht="19.95" customHeight="1" x14ac:dyDescent="0.25">
      <c r="A1419" s="40">
        <v>45352</v>
      </c>
      <c r="B1419" s="46">
        <f>MONTH(Table13[[#This Row],[YearMonth]])</f>
        <v>3</v>
      </c>
      <c r="C1419" s="5" t="s">
        <v>295</v>
      </c>
      <c r="D1419" s="6" t="s">
        <v>350</v>
      </c>
      <c r="E1419" s="6">
        <f>IF(Table13[[#This Row],[Quartile]]="TopQuartile", 1,
 IF(Table13[[#This Row],[Quartile]]="SecondQuartile", 2,
 IF(Table13[[#This Row],[Quartile]]="ThirdQuartile", 3,
 IF(Table13[[#This Row],[Quartile]]="FourthQuartile", 4, ""))))</f>
        <v>4</v>
      </c>
      <c r="F1419" s="5" t="s">
        <v>616</v>
      </c>
      <c r="G1419" s="5" t="str" cm="1">
        <f t="array" ref="G1419">IFERROR(
  INDEX(Table13[Quartile],
    MATCH(1,
      (Table13[[#This Row],[OrgName]]=Table13[OrgName]) *
      (Table13[[#This Row],[Month Number]]-1=Table13[Month Number]),
    0)
  ),
"")</f>
        <v>FourthQuartile</v>
      </c>
      <c r="H1419" s="5">
        <f>IF(Table13[[#This Row],[Previous Quartile]]="TopQuartile", 1,
 IF(Table13[[#This Row],[Previous Quartile]]="SecondQuartile", 2,
 IF(Table13[[#This Row],[Previous Quartile]]="ThirdQuartile", 3,
 IF(Table13[[#This Row],[Previous Quartile]]="FourthQuartile", 4, ""))))</f>
        <v>4</v>
      </c>
      <c r="I1419" s="5" t="str">
        <f>IF(Table13[[#This Row],[Previous Quartile Value]]="", "",
   IF(Table13[[#This Row],[Quartile Value]] &lt; Table13[[#This Row],[Previous Quartile Value]], "Improved",
   IF(Table13[[#This Row],[Quartile Value]] &gt; Table13[[#This Row],[Previous Quartile Value]], "Dropped", "Same")))</f>
        <v>Same</v>
      </c>
      <c r="J1419" s="5" t="s">
        <v>18</v>
      </c>
      <c r="K1419" s="7" t="str">
        <f>VLOOKUP(J1419,Introduction!$B$6:$C$14,2)</f>
        <v>Midlands</v>
      </c>
      <c r="L1419" s="13">
        <v>444</v>
      </c>
      <c r="M1419" s="8" t="s">
        <v>573</v>
      </c>
    </row>
    <row r="1420" spans="1:13" ht="19.95" customHeight="1" x14ac:dyDescent="0.25">
      <c r="A1420" s="40">
        <v>45352</v>
      </c>
      <c r="B1420" s="46">
        <f>MONTH(Table13[[#This Row],[YearMonth]])</f>
        <v>3</v>
      </c>
      <c r="C1420" s="5" t="s">
        <v>306</v>
      </c>
      <c r="D1420" s="6" t="s">
        <v>350</v>
      </c>
      <c r="E1420" s="6">
        <f>IF(Table13[[#This Row],[Quartile]]="TopQuartile", 1,
 IF(Table13[[#This Row],[Quartile]]="SecondQuartile", 2,
 IF(Table13[[#This Row],[Quartile]]="ThirdQuartile", 3,
 IF(Table13[[#This Row],[Quartile]]="FourthQuartile", 4, ""))))</f>
        <v>4</v>
      </c>
      <c r="F1420" s="5" t="s">
        <v>617</v>
      </c>
      <c r="G1420" s="5" t="str" cm="1">
        <f t="array" ref="G1420">IFERROR(
  INDEX(Table13[Quartile],
    MATCH(1,
      (Table13[[#This Row],[OrgName]]=Table13[OrgName]) *
      (Table13[[#This Row],[Month Number]]-1=Table13[Month Number]),
    0)
  ),
"")</f>
        <v>FourthQuartile</v>
      </c>
      <c r="H1420" s="5">
        <f>IF(Table13[[#This Row],[Previous Quartile]]="TopQuartile", 1,
 IF(Table13[[#This Row],[Previous Quartile]]="SecondQuartile", 2,
 IF(Table13[[#This Row],[Previous Quartile]]="ThirdQuartile", 3,
 IF(Table13[[#This Row],[Previous Quartile]]="FourthQuartile", 4, ""))))</f>
        <v>4</v>
      </c>
      <c r="I1420" s="5" t="str">
        <f>IF(Table13[[#This Row],[Previous Quartile Value]]="", "",
   IF(Table13[[#This Row],[Quartile Value]] &lt; Table13[[#This Row],[Previous Quartile Value]], "Improved",
   IF(Table13[[#This Row],[Quartile Value]] &gt; Table13[[#This Row],[Previous Quartile Value]], "Dropped", "Same")))</f>
        <v>Same</v>
      </c>
      <c r="J1420" s="5" t="s">
        <v>18</v>
      </c>
      <c r="K1420" s="7" t="str">
        <f>VLOOKUP(J1420,Introduction!$B$6:$C$14,2)</f>
        <v>Midlands</v>
      </c>
      <c r="L1420" s="13">
        <v>436</v>
      </c>
      <c r="M1420" s="8" t="s">
        <v>573</v>
      </c>
    </row>
    <row r="1421" spans="1:13" ht="19.95" customHeight="1" x14ac:dyDescent="0.25">
      <c r="A1421" s="40">
        <v>45352</v>
      </c>
      <c r="B1421" s="46">
        <f>MONTH(Table13[[#This Row],[YearMonth]])</f>
        <v>3</v>
      </c>
      <c r="C1421" s="5" t="s">
        <v>120</v>
      </c>
      <c r="D1421" s="6" t="s">
        <v>330</v>
      </c>
      <c r="E1421" s="6">
        <f>IF(Table13[[#This Row],[Quartile]]="TopQuartile", 1,
 IF(Table13[[#This Row],[Quartile]]="SecondQuartile", 2,
 IF(Table13[[#This Row],[Quartile]]="ThirdQuartile", 3,
 IF(Table13[[#This Row],[Quartile]]="FourthQuartile", 4, ""))))</f>
        <v>1</v>
      </c>
      <c r="F1421" s="5" t="s">
        <v>619</v>
      </c>
      <c r="G1421" s="5" t="str" cm="1">
        <f t="array" ref="G1421">IFERROR(
  INDEX(Table13[Quartile],
    MATCH(1,
      (Table13[[#This Row],[OrgName]]=Table13[OrgName]) *
      (Table13[[#This Row],[Month Number]]-1=Table13[Month Number]),
    0)
  ),
"")</f>
        <v>TopQuartile</v>
      </c>
      <c r="H1421" s="5">
        <f>IF(Table13[[#This Row],[Previous Quartile]]="TopQuartile", 1,
 IF(Table13[[#This Row],[Previous Quartile]]="SecondQuartile", 2,
 IF(Table13[[#This Row],[Previous Quartile]]="ThirdQuartile", 3,
 IF(Table13[[#This Row],[Previous Quartile]]="FourthQuartile", 4, ""))))</f>
        <v>1</v>
      </c>
      <c r="I1421" s="5" t="str">
        <f>IF(Table13[[#This Row],[Previous Quartile Value]]="", "",
   IF(Table13[[#This Row],[Quartile Value]] &lt; Table13[[#This Row],[Previous Quartile Value]], "Improved",
   IF(Table13[[#This Row],[Quartile Value]] &gt; Table13[[#This Row],[Previous Quartile Value]], "Dropped", "Same")))</f>
        <v>Same</v>
      </c>
      <c r="J1421" s="5" t="s">
        <v>10</v>
      </c>
      <c r="K1421" s="7" t="str">
        <f>VLOOKUP(J1421,Introduction!$B$6:$C$14,2)</f>
        <v>Special Health Authorities and other statutory bodies</v>
      </c>
      <c r="L1421" s="13">
        <v>980</v>
      </c>
      <c r="M1421" s="8" t="s">
        <v>33</v>
      </c>
    </row>
    <row r="1422" spans="1:13" ht="19.95" customHeight="1" x14ac:dyDescent="0.25">
      <c r="A1422" s="40">
        <v>45352</v>
      </c>
      <c r="B1422" s="46">
        <f>MONTH(Table13[[#This Row],[YearMonth]])</f>
        <v>3</v>
      </c>
      <c r="C1422" s="5" t="s">
        <v>32</v>
      </c>
      <c r="D1422" s="6" t="s">
        <v>338</v>
      </c>
      <c r="E1422" s="6">
        <f>IF(Table13[[#This Row],[Quartile]]="TopQuartile", 1,
 IF(Table13[[#This Row],[Quartile]]="SecondQuartile", 2,
 IF(Table13[[#This Row],[Quartile]]="ThirdQuartile", 3,
 IF(Table13[[#This Row],[Quartile]]="FourthQuartile", 4, ""))))</f>
        <v>2</v>
      </c>
      <c r="F1422" s="5" t="s">
        <v>618</v>
      </c>
      <c r="G1422" s="5" t="str" cm="1">
        <f t="array" ref="G1422">IFERROR(
  INDEX(Table13[Quartile],
    MATCH(1,
      (Table13[[#This Row],[OrgName]]=Table13[OrgName]) *
      (Table13[[#This Row],[Month Number]]-1=Table13[Month Number]),
    0)
  ),
"")</f>
        <v>TopQuartile</v>
      </c>
      <c r="H1422" s="5">
        <f>IF(Table13[[#This Row],[Previous Quartile]]="TopQuartile", 1,
 IF(Table13[[#This Row],[Previous Quartile]]="SecondQuartile", 2,
 IF(Table13[[#This Row],[Previous Quartile]]="ThirdQuartile", 3,
 IF(Table13[[#This Row],[Previous Quartile]]="FourthQuartile", 4, ""))))</f>
        <v>1</v>
      </c>
      <c r="I1422" s="5" t="str">
        <f>IF(Table13[[#This Row],[Previous Quartile Value]]="", "",
   IF(Table13[[#This Row],[Quartile Value]] &lt; Table13[[#This Row],[Previous Quartile Value]], "Improved",
   IF(Table13[[#This Row],[Quartile Value]] &gt; Table13[[#This Row],[Previous Quartile Value]], "Dropped", "Same")))</f>
        <v>Dropped</v>
      </c>
      <c r="J1422" s="5" t="s">
        <v>10</v>
      </c>
      <c r="K1422" s="7" t="str">
        <f>VLOOKUP(J1422,Introduction!$B$6:$C$14,2)</f>
        <v>Special Health Authorities and other statutory bodies</v>
      </c>
      <c r="L1422" s="13">
        <v>907</v>
      </c>
      <c r="M1422" s="8" t="s">
        <v>33</v>
      </c>
    </row>
    <row r="1423" spans="1:13" ht="19.95" customHeight="1" x14ac:dyDescent="0.25">
      <c r="A1423" s="40">
        <v>45352</v>
      </c>
      <c r="B1423" s="46">
        <f>MONTH(Table13[[#This Row],[YearMonth]])</f>
        <v>3</v>
      </c>
      <c r="C1423" s="5" t="s">
        <v>155</v>
      </c>
      <c r="D1423" s="6" t="s">
        <v>338</v>
      </c>
      <c r="E1423" s="6">
        <f>IF(Table13[[#This Row],[Quartile]]="TopQuartile", 1,
 IF(Table13[[#This Row],[Quartile]]="SecondQuartile", 2,
 IF(Table13[[#This Row],[Quartile]]="ThirdQuartile", 3,
 IF(Table13[[#This Row],[Quartile]]="FourthQuartile", 4, ""))))</f>
        <v>2</v>
      </c>
      <c r="F1423" s="5" t="s">
        <v>620</v>
      </c>
      <c r="G1423" s="5" t="str" cm="1">
        <f t="array" ref="G1423">IFERROR(
  INDEX(Table13[Quartile],
    MATCH(1,
      (Table13[[#This Row],[OrgName]]=Table13[OrgName]) *
      (Table13[[#This Row],[Month Number]]-1=Table13[Month Number]),
    0)
  ),
"")</f>
        <v>SecondQuartile</v>
      </c>
      <c r="H1423" s="5">
        <f>IF(Table13[[#This Row],[Previous Quartile]]="TopQuartile", 1,
 IF(Table13[[#This Row],[Previous Quartile]]="SecondQuartile", 2,
 IF(Table13[[#This Row],[Previous Quartile]]="ThirdQuartile", 3,
 IF(Table13[[#This Row],[Previous Quartile]]="FourthQuartile", 4, ""))))</f>
        <v>2</v>
      </c>
      <c r="I1423" s="5" t="str">
        <f>IF(Table13[[#This Row],[Previous Quartile Value]]="", "",
   IF(Table13[[#This Row],[Quartile Value]] &lt; Table13[[#This Row],[Previous Quartile Value]], "Improved",
   IF(Table13[[#This Row],[Quartile Value]] &gt; Table13[[#This Row],[Previous Quartile Value]], "Dropped", "Same")))</f>
        <v>Same</v>
      </c>
      <c r="J1423" s="5" t="s">
        <v>10</v>
      </c>
      <c r="K1423" s="7" t="str">
        <f>VLOOKUP(J1423,Introduction!$B$6:$C$14,2)</f>
        <v>Special Health Authorities and other statutory bodies</v>
      </c>
      <c r="L1423" s="13">
        <v>918</v>
      </c>
      <c r="M1423" s="8" t="s">
        <v>33</v>
      </c>
    </row>
    <row r="1424" spans="1:13" ht="19.95" customHeight="1" x14ac:dyDescent="0.25">
      <c r="A1424" s="40">
        <v>45352</v>
      </c>
      <c r="B1424" s="46">
        <f>MONTH(Table13[[#This Row],[YearMonth]])</f>
        <v>3</v>
      </c>
      <c r="C1424" s="5" t="s">
        <v>163</v>
      </c>
      <c r="D1424" s="6" t="s">
        <v>338</v>
      </c>
      <c r="E1424" s="6">
        <f>IF(Table13[[#This Row],[Quartile]]="TopQuartile", 1,
 IF(Table13[[#This Row],[Quartile]]="SecondQuartile", 2,
 IF(Table13[[#This Row],[Quartile]]="ThirdQuartile", 3,
 IF(Table13[[#This Row],[Quartile]]="FourthQuartile", 4, ""))))</f>
        <v>2</v>
      </c>
      <c r="F1424" s="5" t="s">
        <v>621</v>
      </c>
      <c r="G1424" s="5" t="str" cm="1">
        <f t="array" ref="G1424">IFERROR(
  INDEX(Table13[Quartile],
    MATCH(1,
      (Table13[[#This Row],[OrgName]]=Table13[OrgName]) *
      (Table13[[#This Row],[Month Number]]-1=Table13[Month Number]),
    0)
  ),
"")</f>
        <v>SecondQuartile</v>
      </c>
      <c r="H1424" s="5">
        <f>IF(Table13[[#This Row],[Previous Quartile]]="TopQuartile", 1,
 IF(Table13[[#This Row],[Previous Quartile]]="SecondQuartile", 2,
 IF(Table13[[#This Row],[Previous Quartile]]="ThirdQuartile", 3,
 IF(Table13[[#This Row],[Previous Quartile]]="FourthQuartile", 4, ""))))</f>
        <v>2</v>
      </c>
      <c r="I1424" s="5" t="str">
        <f>IF(Table13[[#This Row],[Previous Quartile Value]]="", "",
   IF(Table13[[#This Row],[Quartile Value]] &lt; Table13[[#This Row],[Previous Quartile Value]], "Improved",
   IF(Table13[[#This Row],[Quartile Value]] &gt; Table13[[#This Row],[Previous Quartile Value]], "Dropped", "Same")))</f>
        <v>Same</v>
      </c>
      <c r="J1424" s="5" t="s">
        <v>10</v>
      </c>
      <c r="K1424" s="7" t="str">
        <f>VLOOKUP(J1424,Introduction!$B$6:$C$14,2)</f>
        <v>Special Health Authorities and other statutory bodies</v>
      </c>
      <c r="L1424" s="13">
        <v>914</v>
      </c>
      <c r="M1424" s="8" t="s">
        <v>33</v>
      </c>
    </row>
    <row r="1425" spans="1:13" ht="19.95" customHeight="1" x14ac:dyDescent="0.25">
      <c r="A1425" s="40">
        <v>45352</v>
      </c>
      <c r="B1425" s="46">
        <f>MONTH(Table13[[#This Row],[YearMonth]])</f>
        <v>3</v>
      </c>
      <c r="C1425" s="5" t="s">
        <v>176</v>
      </c>
      <c r="D1425" s="6" t="s">
        <v>338</v>
      </c>
      <c r="E1425" s="6">
        <f>IF(Table13[[#This Row],[Quartile]]="TopQuartile", 1,
 IF(Table13[[#This Row],[Quartile]]="SecondQuartile", 2,
 IF(Table13[[#This Row],[Quartile]]="ThirdQuartile", 3,
 IF(Table13[[#This Row],[Quartile]]="FourthQuartile", 4, ""))))</f>
        <v>2</v>
      </c>
      <c r="F1425" s="5" t="s">
        <v>622</v>
      </c>
      <c r="G1425" s="5" t="str" cm="1">
        <f t="array" ref="G1425">IFERROR(
  INDEX(Table13[Quartile],
    MATCH(1,
      (Table13[[#This Row],[OrgName]]=Table13[OrgName]) *
      (Table13[[#This Row],[Month Number]]-1=Table13[Month Number]),
    0)
  ),
"")</f>
        <v>SecondQuartile</v>
      </c>
      <c r="H1425" s="5">
        <f>IF(Table13[[#This Row],[Previous Quartile]]="TopQuartile", 1,
 IF(Table13[[#This Row],[Previous Quartile]]="SecondQuartile", 2,
 IF(Table13[[#This Row],[Previous Quartile]]="ThirdQuartile", 3,
 IF(Table13[[#This Row],[Previous Quartile]]="FourthQuartile", 4, ""))))</f>
        <v>2</v>
      </c>
      <c r="I1425" s="5" t="str">
        <f>IF(Table13[[#This Row],[Previous Quartile Value]]="", "",
   IF(Table13[[#This Row],[Quartile Value]] &lt; Table13[[#This Row],[Previous Quartile Value]], "Improved",
   IF(Table13[[#This Row],[Quartile Value]] &gt; Table13[[#This Row],[Previous Quartile Value]], "Dropped", "Same")))</f>
        <v>Same</v>
      </c>
      <c r="J1425" s="5" t="s">
        <v>12</v>
      </c>
      <c r="K1425" s="7" t="str">
        <f>VLOOKUP(J1425,Introduction!$B$6:$C$14,2)</f>
        <v>London</v>
      </c>
      <c r="L1425" s="13">
        <v>44</v>
      </c>
      <c r="M1425" s="8" t="s">
        <v>33</v>
      </c>
    </row>
    <row r="1426" spans="1:13" ht="19.95" customHeight="1" x14ac:dyDescent="0.25">
      <c r="A1426" s="40">
        <v>45352</v>
      </c>
      <c r="B1426" s="46">
        <f>MONTH(Table13[[#This Row],[YearMonth]])</f>
        <v>3</v>
      </c>
      <c r="C1426" s="5" t="s">
        <v>212</v>
      </c>
      <c r="D1426" s="6" t="s">
        <v>341</v>
      </c>
      <c r="E1426" s="6">
        <f>IF(Table13[[#This Row],[Quartile]]="TopQuartile", 1,
 IF(Table13[[#This Row],[Quartile]]="SecondQuartile", 2,
 IF(Table13[[#This Row],[Quartile]]="ThirdQuartile", 3,
 IF(Table13[[#This Row],[Quartile]]="FourthQuartile", 4, ""))))</f>
        <v>3</v>
      </c>
      <c r="F1426" s="5" t="s">
        <v>623</v>
      </c>
      <c r="G1426" s="5" t="str" cm="1">
        <f t="array" ref="G1426">IFERROR(
  INDEX(Table13[Quartile],
    MATCH(1,
      (Table13[[#This Row],[OrgName]]=Table13[OrgName]) *
      (Table13[[#This Row],[Month Number]]-1=Table13[Month Number]),
    0)
  ),
"")</f>
        <v>ThirdQuartile</v>
      </c>
      <c r="H1426" s="5">
        <f>IF(Table13[[#This Row],[Previous Quartile]]="TopQuartile", 1,
 IF(Table13[[#This Row],[Previous Quartile]]="SecondQuartile", 2,
 IF(Table13[[#This Row],[Previous Quartile]]="ThirdQuartile", 3,
 IF(Table13[[#This Row],[Previous Quartile]]="FourthQuartile", 4, ""))))</f>
        <v>3</v>
      </c>
      <c r="I1426" s="5" t="str">
        <f>IF(Table13[[#This Row],[Previous Quartile Value]]="", "",
   IF(Table13[[#This Row],[Quartile Value]] &lt; Table13[[#This Row],[Previous Quartile Value]], "Improved",
   IF(Table13[[#This Row],[Quartile Value]] &gt; Table13[[#This Row],[Previous Quartile Value]], "Dropped", "Same")))</f>
        <v>Same</v>
      </c>
      <c r="J1426" s="5" t="s">
        <v>10</v>
      </c>
      <c r="K1426" s="7" t="str">
        <f>VLOOKUP(J1426,Introduction!$B$6:$C$14,2)</f>
        <v>Special Health Authorities and other statutory bodies</v>
      </c>
      <c r="L1426" s="13">
        <v>65</v>
      </c>
      <c r="M1426" s="8" t="s">
        <v>33</v>
      </c>
    </row>
    <row r="1427" spans="1:13" ht="19.95" customHeight="1" x14ac:dyDescent="0.25">
      <c r="A1427" s="40">
        <v>45352</v>
      </c>
      <c r="B1427" s="46">
        <f>MONTH(Table13[[#This Row],[YearMonth]])</f>
        <v>3</v>
      </c>
      <c r="C1427" s="5" t="s">
        <v>218</v>
      </c>
      <c r="D1427" s="6" t="s">
        <v>341</v>
      </c>
      <c r="E1427" s="6">
        <f>IF(Table13[[#This Row],[Quartile]]="TopQuartile", 1,
 IF(Table13[[#This Row],[Quartile]]="SecondQuartile", 2,
 IF(Table13[[#This Row],[Quartile]]="ThirdQuartile", 3,
 IF(Table13[[#This Row],[Quartile]]="FourthQuartile", 4, ""))))</f>
        <v>3</v>
      </c>
      <c r="F1427" s="5" t="s">
        <v>624</v>
      </c>
      <c r="G1427" s="5" t="str" cm="1">
        <f t="array" ref="G1427">IFERROR(
  INDEX(Table13[Quartile],
    MATCH(1,
      (Table13[[#This Row],[OrgName]]=Table13[OrgName]) *
      (Table13[[#This Row],[Month Number]]-1=Table13[Month Number]),
    0)
  ),
"")</f>
        <v>ThirdQuartile</v>
      </c>
      <c r="H1427" s="5">
        <f>IF(Table13[[#This Row],[Previous Quartile]]="TopQuartile", 1,
 IF(Table13[[#This Row],[Previous Quartile]]="SecondQuartile", 2,
 IF(Table13[[#This Row],[Previous Quartile]]="ThirdQuartile", 3,
 IF(Table13[[#This Row],[Previous Quartile]]="FourthQuartile", 4, ""))))</f>
        <v>3</v>
      </c>
      <c r="I1427" s="5" t="str">
        <f>IF(Table13[[#This Row],[Previous Quartile Value]]="", "",
   IF(Table13[[#This Row],[Quartile Value]] &lt; Table13[[#This Row],[Previous Quartile Value]], "Improved",
   IF(Table13[[#This Row],[Quartile Value]] &gt; Table13[[#This Row],[Previous Quartile Value]], "Dropped", "Same")))</f>
        <v>Same</v>
      </c>
      <c r="J1427" s="5" t="s">
        <v>10</v>
      </c>
      <c r="K1427" s="7" t="str">
        <f>VLOOKUP(J1427,Introduction!$B$6:$C$14,2)</f>
        <v>Special Health Authorities and other statutory bodies</v>
      </c>
      <c r="L1427" s="13">
        <v>76</v>
      </c>
      <c r="M1427" s="8" t="s">
        <v>33</v>
      </c>
    </row>
    <row r="1428" spans="1:13" ht="19.95" customHeight="1" x14ac:dyDescent="0.25">
      <c r="A1428" s="40">
        <v>45352</v>
      </c>
      <c r="B1428" s="46">
        <f>MONTH(Table13[[#This Row],[YearMonth]])</f>
        <v>3</v>
      </c>
      <c r="C1428" s="5" t="s">
        <v>294</v>
      </c>
      <c r="D1428" s="6" t="s">
        <v>350</v>
      </c>
      <c r="E1428" s="6">
        <f>IF(Table13[[#This Row],[Quartile]]="TopQuartile", 1,
 IF(Table13[[#This Row],[Quartile]]="SecondQuartile", 2,
 IF(Table13[[#This Row],[Quartile]]="ThirdQuartile", 3,
 IF(Table13[[#This Row],[Quartile]]="FourthQuartile", 4, ""))))</f>
        <v>4</v>
      </c>
      <c r="F1428" s="5" t="s">
        <v>625</v>
      </c>
      <c r="G1428" s="5" t="str" cm="1">
        <f t="array" ref="G1428">IFERROR(
  INDEX(Table13[Quartile],
    MATCH(1,
      (Table13[[#This Row],[OrgName]]=Table13[OrgName]) *
      (Table13[[#This Row],[Month Number]]-1=Table13[Month Number]),
    0)
  ),
"")</f>
        <v>FourthQuartile</v>
      </c>
      <c r="H1428" s="5">
        <f>IF(Table13[[#This Row],[Previous Quartile]]="TopQuartile", 1,
 IF(Table13[[#This Row],[Previous Quartile]]="SecondQuartile", 2,
 IF(Table13[[#This Row],[Previous Quartile]]="ThirdQuartile", 3,
 IF(Table13[[#This Row],[Previous Quartile]]="FourthQuartile", 4, ""))))</f>
        <v>4</v>
      </c>
      <c r="I1428" s="5" t="str">
        <f>IF(Table13[[#This Row],[Previous Quartile Value]]="", "",
   IF(Table13[[#This Row],[Quartile Value]] &lt; Table13[[#This Row],[Previous Quartile Value]], "Improved",
   IF(Table13[[#This Row],[Quartile Value]] &gt; Table13[[#This Row],[Previous Quartile Value]], "Dropped", "Same")))</f>
        <v>Same</v>
      </c>
      <c r="J1428" s="5" t="s">
        <v>10</v>
      </c>
      <c r="K1428" s="7" t="str">
        <f>VLOOKUP(J1428,Introduction!$B$6:$C$14,2)</f>
        <v>Special Health Authorities and other statutory bodies</v>
      </c>
      <c r="L1428" s="13">
        <v>990</v>
      </c>
      <c r="M1428" s="8" t="s">
        <v>33</v>
      </c>
    </row>
    <row r="1429" spans="1:13" ht="19.95" customHeight="1" x14ac:dyDescent="0.25">
      <c r="A1429" s="40">
        <v>45352</v>
      </c>
      <c r="B1429" s="46">
        <f>MONTH(Table13[[#This Row],[YearMonth]])</f>
        <v>3</v>
      </c>
      <c r="C1429" s="5" t="s">
        <v>300</v>
      </c>
      <c r="D1429" s="6" t="s">
        <v>350</v>
      </c>
      <c r="E1429" s="6">
        <f>IF(Table13[[#This Row],[Quartile]]="TopQuartile", 1,
 IF(Table13[[#This Row],[Quartile]]="SecondQuartile", 2,
 IF(Table13[[#This Row],[Quartile]]="ThirdQuartile", 3,
 IF(Table13[[#This Row],[Quartile]]="FourthQuartile", 4, ""))))</f>
        <v>4</v>
      </c>
      <c r="F1429" s="5" t="s">
        <v>627</v>
      </c>
      <c r="G1429" s="5" t="str" cm="1">
        <f t="array" ref="G1429">IFERROR(
  INDEX(Table13[Quartile],
    MATCH(1,
      (Table13[[#This Row],[OrgName]]=Table13[OrgName]) *
      (Table13[[#This Row],[Month Number]]-1=Table13[Month Number]),
    0)
  ),
"")</f>
        <v>FourthQuartile</v>
      </c>
      <c r="H1429" s="5">
        <f>IF(Table13[[#This Row],[Previous Quartile]]="TopQuartile", 1,
 IF(Table13[[#This Row],[Previous Quartile]]="SecondQuartile", 2,
 IF(Table13[[#This Row],[Previous Quartile]]="ThirdQuartile", 3,
 IF(Table13[[#This Row],[Previous Quartile]]="FourthQuartile", 4, ""))))</f>
        <v>4</v>
      </c>
      <c r="I1429" s="5" t="str">
        <f>IF(Table13[[#This Row],[Previous Quartile Value]]="", "",
   IF(Table13[[#This Row],[Quartile Value]] &lt; Table13[[#This Row],[Previous Quartile Value]], "Improved",
   IF(Table13[[#This Row],[Quartile Value]] &gt; Table13[[#This Row],[Previous Quartile Value]], "Dropped", "Same")))</f>
        <v>Same</v>
      </c>
      <c r="J1429" s="5" t="s">
        <v>10</v>
      </c>
      <c r="K1429" s="7" t="str">
        <f>VLOOKUP(J1429,Introduction!$B$6:$C$14,2)</f>
        <v>Special Health Authorities and other statutory bodies</v>
      </c>
      <c r="L1429" s="13">
        <v>441</v>
      </c>
      <c r="M1429" s="8" t="s">
        <v>33</v>
      </c>
    </row>
    <row r="1430" spans="1:13" ht="19.95" customHeight="1" x14ac:dyDescent="0.25">
      <c r="A1430" s="40">
        <v>45352</v>
      </c>
      <c r="B1430" s="46">
        <f>MONTH(Table13[[#This Row],[YearMonth]])</f>
        <v>3</v>
      </c>
      <c r="C1430" s="5" t="s">
        <v>299</v>
      </c>
      <c r="D1430" s="6" t="s">
        <v>350</v>
      </c>
      <c r="E1430" s="6">
        <f>IF(Table13[[#This Row],[Quartile]]="TopQuartile", 1,
 IF(Table13[[#This Row],[Quartile]]="SecondQuartile", 2,
 IF(Table13[[#This Row],[Quartile]]="ThirdQuartile", 3,
 IF(Table13[[#This Row],[Quartile]]="FourthQuartile", 4, ""))))</f>
        <v>4</v>
      </c>
      <c r="F1430" s="5" t="s">
        <v>626</v>
      </c>
      <c r="G1430" s="5" t="str" cm="1">
        <f t="array" ref="G1430">IFERROR(
  INDEX(Table13[Quartile],
    MATCH(1,
      (Table13[[#This Row],[OrgName]]=Table13[OrgName]) *
      (Table13[[#This Row],[Month Number]]-1=Table13[Month Number]),
    0)
  ),
"")</f>
        <v>FourthQuartile</v>
      </c>
      <c r="H1430" s="5">
        <f>IF(Table13[[#This Row],[Previous Quartile]]="TopQuartile", 1,
 IF(Table13[[#This Row],[Previous Quartile]]="SecondQuartile", 2,
 IF(Table13[[#This Row],[Previous Quartile]]="ThirdQuartile", 3,
 IF(Table13[[#This Row],[Previous Quartile]]="FourthQuartile", 4, ""))))</f>
        <v>4</v>
      </c>
      <c r="I1430" s="5" t="str">
        <f>IF(Table13[[#This Row],[Previous Quartile Value]]="", "",
   IF(Table13[[#This Row],[Quartile Value]] &lt; Table13[[#This Row],[Previous Quartile Value]], "Improved",
   IF(Table13[[#This Row],[Quartile Value]] &gt; Table13[[#This Row],[Previous Quartile Value]], "Dropped", "Same")))</f>
        <v>Same</v>
      </c>
      <c r="J1430" s="5" t="s">
        <v>10</v>
      </c>
      <c r="K1430" s="7" t="str">
        <f>VLOOKUP(J1430,Introduction!$B$6:$C$14,2)</f>
        <v>Special Health Authorities and other statutory bodies</v>
      </c>
      <c r="L1430" s="13">
        <v>912</v>
      </c>
      <c r="M1430" s="8" t="s">
        <v>33</v>
      </c>
    </row>
    <row r="1431" spans="1:13" ht="19.95" customHeight="1" x14ac:dyDescent="0.25">
      <c r="A1431" s="40">
        <v>45352</v>
      </c>
      <c r="B1431" s="46">
        <f>MONTH(Table13[[#This Row],[YearMonth]])</f>
        <v>3</v>
      </c>
      <c r="C1431" s="5" t="s">
        <v>313</v>
      </c>
      <c r="D1431" s="6" t="s">
        <v>350</v>
      </c>
      <c r="E1431" s="6">
        <f>IF(Table13[[#This Row],[Quartile]]="TopQuartile", 1,
 IF(Table13[[#This Row],[Quartile]]="SecondQuartile", 2,
 IF(Table13[[#This Row],[Quartile]]="ThirdQuartile", 3,
 IF(Table13[[#This Row],[Quartile]]="FourthQuartile", 4, ""))))</f>
        <v>4</v>
      </c>
      <c r="F1431" s="5" t="s">
        <v>628</v>
      </c>
      <c r="G1431" s="5" t="str" cm="1">
        <f t="array" ref="G1431">IFERROR(
  INDEX(Table13[Quartile],
    MATCH(1,
      (Table13[[#This Row],[OrgName]]=Table13[OrgName]) *
      (Table13[[#This Row],[Month Number]]-1=Table13[Month Number]),
    0)
  ),
"")</f>
        <v>FourthQuartile</v>
      </c>
      <c r="H1431" s="5">
        <f>IF(Table13[[#This Row],[Previous Quartile]]="TopQuartile", 1,
 IF(Table13[[#This Row],[Previous Quartile]]="SecondQuartile", 2,
 IF(Table13[[#This Row],[Previous Quartile]]="ThirdQuartile", 3,
 IF(Table13[[#This Row],[Previous Quartile]]="FourthQuartile", 4, ""))))</f>
        <v>4</v>
      </c>
      <c r="I1431" s="5" t="str">
        <f>IF(Table13[[#This Row],[Previous Quartile Value]]="", "",
   IF(Table13[[#This Row],[Quartile Value]] &lt; Table13[[#This Row],[Previous Quartile Value]], "Improved",
   IF(Table13[[#This Row],[Quartile Value]] &gt; Table13[[#This Row],[Previous Quartile Value]], "Dropped", "Same")))</f>
        <v>Same</v>
      </c>
      <c r="J1431" s="5" t="s">
        <v>10</v>
      </c>
      <c r="K1431" s="7" t="str">
        <f>VLOOKUP(J1431,Introduction!$B$6:$C$14,2)</f>
        <v>Special Health Authorities and other statutory bodies</v>
      </c>
      <c r="L1431" s="13">
        <v>71</v>
      </c>
      <c r="M1431" s="8" t="s">
        <v>33</v>
      </c>
    </row>
    <row r="1432" spans="1:13" ht="19.95" customHeight="1" x14ac:dyDescent="0.25">
      <c r="A1432" s="41">
        <v>45323</v>
      </c>
      <c r="B1432" s="47">
        <f>MONTH(Table13[[#This Row],[YearMonth]])</f>
        <v>2</v>
      </c>
      <c r="C1432" s="9" t="s">
        <v>40</v>
      </c>
      <c r="D1432" s="14" t="s">
        <v>330</v>
      </c>
      <c r="E1432" s="14">
        <f>IF(Table13[[#This Row],[Quartile]]="TopQuartile", 1,
 IF(Table13[[#This Row],[Quartile]]="SecondQuartile", 2,
 IF(Table13[[#This Row],[Quartile]]="ThirdQuartile", 3,
 IF(Table13[[#This Row],[Quartile]]="FourthQuartile", 4, ""))))</f>
        <v>1</v>
      </c>
      <c r="F1432" s="9" t="s">
        <v>331</v>
      </c>
      <c r="G1432" s="9" t="str" cm="1">
        <f t="array" ref="G1432">IFERROR(
  INDEX(Table13[Quartile],
    MATCH(1,
      (Table13[[#This Row],[OrgName]]=Table13[OrgName]) *
      (Table13[[#This Row],[Month Number]]-1=Table13[Month Number]),
    0)
  ),
"")</f>
        <v>SecondQuartile</v>
      </c>
      <c r="H1432" s="9">
        <f>IF(Table13[[#This Row],[Previous Quartile]]="TopQuartile", 1,
 IF(Table13[[#This Row],[Previous Quartile]]="SecondQuartile", 2,
 IF(Table13[[#This Row],[Previous Quartile]]="ThirdQuartile", 3,
 IF(Table13[[#This Row],[Previous Quartile]]="FourthQuartile", 4, ""))))</f>
        <v>2</v>
      </c>
      <c r="I1432" s="9" t="str">
        <f>IF(Table13[[#This Row],[Previous Quartile Value]]="", "",
   IF(Table13[[#This Row],[Quartile Value]] &lt; Table13[[#This Row],[Previous Quartile Value]], "Improved",
   IF(Table13[[#This Row],[Quartile Value]] &gt; Table13[[#This Row],[Previous Quartile Value]], "Dropped", "Same")))</f>
        <v>Improved</v>
      </c>
      <c r="J1432" s="10" t="s">
        <v>16</v>
      </c>
      <c r="K1432" s="7" t="str">
        <f>VLOOKUP(J1432,Introduction!$B$6:$C$14,2)</f>
        <v>South East</v>
      </c>
      <c r="L1432" s="11">
        <v>374</v>
      </c>
      <c r="M1432" s="12" t="s">
        <v>332</v>
      </c>
    </row>
    <row r="1433" spans="1:13" ht="19.95" customHeight="1" x14ac:dyDescent="0.25">
      <c r="A1433" s="41">
        <v>45323</v>
      </c>
      <c r="B1433" s="47">
        <f>MONTH(Table13[[#This Row],[YearMonth]])</f>
        <v>2</v>
      </c>
      <c r="C1433" s="9" t="s">
        <v>81</v>
      </c>
      <c r="D1433" s="14" t="s">
        <v>330</v>
      </c>
      <c r="E1433" s="14">
        <f>IF(Table13[[#This Row],[Quartile]]="TopQuartile", 1,
 IF(Table13[[#This Row],[Quartile]]="SecondQuartile", 2,
 IF(Table13[[#This Row],[Quartile]]="ThirdQuartile", 3,
 IF(Table13[[#This Row],[Quartile]]="FourthQuartile", 4, ""))))</f>
        <v>1</v>
      </c>
      <c r="F1433" s="9" t="s">
        <v>334</v>
      </c>
      <c r="G1433" s="9" t="str" cm="1">
        <f t="array" ref="G1433">IFERROR(
  INDEX(Table13[Quartile],
    MATCH(1,
      (Table13[[#This Row],[OrgName]]=Table13[OrgName]) *
      (Table13[[#This Row],[Month Number]]-1=Table13[Month Number]),
    0)
  ),
"")</f>
        <v>TopQuartile</v>
      </c>
      <c r="H1433" s="9">
        <f>IF(Table13[[#This Row],[Previous Quartile]]="TopQuartile", 1,
 IF(Table13[[#This Row],[Previous Quartile]]="SecondQuartile", 2,
 IF(Table13[[#This Row],[Previous Quartile]]="ThirdQuartile", 3,
 IF(Table13[[#This Row],[Previous Quartile]]="FourthQuartile", 4, ""))))</f>
        <v>1</v>
      </c>
      <c r="I1433" s="9" t="str">
        <f>IF(Table13[[#This Row],[Previous Quartile Value]]="", "",
   IF(Table13[[#This Row],[Quartile Value]] &lt; Table13[[#This Row],[Previous Quartile Value]], "Improved",
   IF(Table13[[#This Row],[Quartile Value]] &gt; Table13[[#This Row],[Previous Quartile Value]], "Dropped", "Same")))</f>
        <v>Same</v>
      </c>
      <c r="J1433" s="10" t="s">
        <v>16</v>
      </c>
      <c r="K1433" s="7" t="str">
        <f>VLOOKUP(J1433,Introduction!$B$6:$C$14,2)</f>
        <v>South East</v>
      </c>
      <c r="L1433" s="11">
        <v>359</v>
      </c>
      <c r="M1433" s="12" t="s">
        <v>332</v>
      </c>
    </row>
    <row r="1434" spans="1:13" ht="19.95" customHeight="1" x14ac:dyDescent="0.25">
      <c r="A1434" s="41">
        <v>45323</v>
      </c>
      <c r="B1434" s="47">
        <f>MONTH(Table13[[#This Row],[YearMonth]])</f>
        <v>2</v>
      </c>
      <c r="C1434" s="9" t="s">
        <v>52</v>
      </c>
      <c r="D1434" s="14" t="s">
        <v>330</v>
      </c>
      <c r="E1434" s="14">
        <f>IF(Table13[[#This Row],[Quartile]]="TopQuartile", 1,
 IF(Table13[[#This Row],[Quartile]]="SecondQuartile", 2,
 IF(Table13[[#This Row],[Quartile]]="ThirdQuartile", 3,
 IF(Table13[[#This Row],[Quartile]]="FourthQuartile", 4, ""))))</f>
        <v>1</v>
      </c>
      <c r="F1434" s="9" t="s">
        <v>333</v>
      </c>
      <c r="G1434" s="9" t="str" cm="1">
        <f t="array" ref="G1434">IFERROR(
  INDEX(Table13[Quartile],
    MATCH(1,
      (Table13[[#This Row],[OrgName]]=Table13[OrgName]) *
      (Table13[[#This Row],[Month Number]]-1=Table13[Month Number]),
    0)
  ),
"")</f>
        <v>TopQuartile</v>
      </c>
      <c r="H1434" s="9">
        <f>IF(Table13[[#This Row],[Previous Quartile]]="TopQuartile", 1,
 IF(Table13[[#This Row],[Previous Quartile]]="SecondQuartile", 2,
 IF(Table13[[#This Row],[Previous Quartile]]="ThirdQuartile", 3,
 IF(Table13[[#This Row],[Previous Quartile]]="FourthQuartile", 4, ""))))</f>
        <v>1</v>
      </c>
      <c r="I1434" s="9" t="str">
        <f>IF(Table13[[#This Row],[Previous Quartile Value]]="", "",
   IF(Table13[[#This Row],[Quartile Value]] &lt; Table13[[#This Row],[Previous Quartile Value]], "Improved",
   IF(Table13[[#This Row],[Quartile Value]] &gt; Table13[[#This Row],[Previous Quartile Value]], "Dropped", "Same")))</f>
        <v>Same</v>
      </c>
      <c r="J1434" s="10" t="s">
        <v>12</v>
      </c>
      <c r="K1434" s="7" t="str">
        <f>VLOOKUP(J1434,Introduction!$B$6:$C$14,2)</f>
        <v>London</v>
      </c>
      <c r="L1434" s="11">
        <v>197</v>
      </c>
      <c r="M1434" s="12" t="s">
        <v>332</v>
      </c>
    </row>
    <row r="1435" spans="1:13" ht="19.95" customHeight="1" x14ac:dyDescent="0.25">
      <c r="A1435" s="41">
        <v>45323</v>
      </c>
      <c r="B1435" s="47">
        <f>MONTH(Table13[[#This Row],[YearMonth]])</f>
        <v>2</v>
      </c>
      <c r="C1435" s="9" t="s">
        <v>205</v>
      </c>
      <c r="D1435" s="14" t="s">
        <v>330</v>
      </c>
      <c r="E1435" s="14">
        <f>IF(Table13[[#This Row],[Quartile]]="TopQuartile", 1,
 IF(Table13[[#This Row],[Quartile]]="SecondQuartile", 2,
 IF(Table13[[#This Row],[Quartile]]="ThirdQuartile", 3,
 IF(Table13[[#This Row],[Quartile]]="FourthQuartile", 4, ""))))</f>
        <v>1</v>
      </c>
      <c r="F1435" s="9" t="s">
        <v>344</v>
      </c>
      <c r="G1435" s="9" t="str" cm="1">
        <f t="array" ref="G1435">IFERROR(
  INDEX(Table13[Quartile],
    MATCH(1,
      (Table13[[#This Row],[OrgName]]=Table13[OrgName]) *
      (Table13[[#This Row],[Month Number]]-1=Table13[Month Number]),
    0)
  ),
"")</f>
        <v>TopQuartile</v>
      </c>
      <c r="H1435" s="9">
        <f>IF(Table13[[#This Row],[Previous Quartile]]="TopQuartile", 1,
 IF(Table13[[#This Row],[Previous Quartile]]="SecondQuartile", 2,
 IF(Table13[[#This Row],[Previous Quartile]]="ThirdQuartile", 3,
 IF(Table13[[#This Row],[Previous Quartile]]="FourthQuartile", 4, ""))))</f>
        <v>1</v>
      </c>
      <c r="I1435" s="9" t="str">
        <f>IF(Table13[[#This Row],[Previous Quartile Value]]="", "",
   IF(Table13[[#This Row],[Quartile Value]] &lt; Table13[[#This Row],[Previous Quartile Value]], "Improved",
   IF(Table13[[#This Row],[Quartile Value]] &gt; Table13[[#This Row],[Previous Quartile Value]], "Dropped", "Same")))</f>
        <v>Same</v>
      </c>
      <c r="J1435" s="10" t="s">
        <v>24</v>
      </c>
      <c r="K1435" s="7" t="str">
        <f>VLOOKUP(J1435,Introduction!$B$6:$C$14,2)</f>
        <v>North East and Yorkshire</v>
      </c>
      <c r="L1435" s="11">
        <v>372</v>
      </c>
      <c r="M1435" s="12" t="s">
        <v>332</v>
      </c>
    </row>
    <row r="1436" spans="1:13" ht="19.95" customHeight="1" x14ac:dyDescent="0.25">
      <c r="A1436" s="41">
        <v>45323</v>
      </c>
      <c r="B1436" s="47">
        <f>MONTH(Table13[[#This Row],[YearMonth]])</f>
        <v>2</v>
      </c>
      <c r="C1436" s="9" t="s">
        <v>91</v>
      </c>
      <c r="D1436" s="14" t="s">
        <v>330</v>
      </c>
      <c r="E1436" s="14">
        <f>IF(Table13[[#This Row],[Quartile]]="TopQuartile", 1,
 IF(Table13[[#This Row],[Quartile]]="SecondQuartile", 2,
 IF(Table13[[#This Row],[Quartile]]="ThirdQuartile", 3,
 IF(Table13[[#This Row],[Quartile]]="FourthQuartile", 4, ""))))</f>
        <v>1</v>
      </c>
      <c r="F1436" s="9" t="s">
        <v>337</v>
      </c>
      <c r="G1436" s="9" t="str" cm="1">
        <f t="array" ref="G1436">IFERROR(
  INDEX(Table13[Quartile],
    MATCH(1,
      (Table13[[#This Row],[OrgName]]=Table13[OrgName]) *
      (Table13[[#This Row],[Month Number]]-1=Table13[Month Number]),
    0)
  ),
"")</f>
        <v>TopQuartile</v>
      </c>
      <c r="H1436" s="9">
        <f>IF(Table13[[#This Row],[Previous Quartile]]="TopQuartile", 1,
 IF(Table13[[#This Row],[Previous Quartile]]="SecondQuartile", 2,
 IF(Table13[[#This Row],[Previous Quartile]]="ThirdQuartile", 3,
 IF(Table13[[#This Row],[Previous Quartile]]="FourthQuartile", 4, ""))))</f>
        <v>1</v>
      </c>
      <c r="I1436" s="9" t="str">
        <f>IF(Table13[[#This Row],[Previous Quartile Value]]="", "",
   IF(Table13[[#This Row],[Quartile Value]] &lt; Table13[[#This Row],[Previous Quartile Value]], "Improved",
   IF(Table13[[#This Row],[Quartile Value]] &gt; Table13[[#This Row],[Previous Quartile Value]], "Dropped", "Same")))</f>
        <v>Same</v>
      </c>
      <c r="J1436" s="10" t="s">
        <v>18</v>
      </c>
      <c r="K1436" s="7" t="str">
        <f>VLOOKUP(J1436,Introduction!$B$6:$C$14,2)</f>
        <v>Midlands</v>
      </c>
      <c r="L1436" s="11">
        <v>357</v>
      </c>
      <c r="M1436" s="12" t="s">
        <v>332</v>
      </c>
    </row>
    <row r="1437" spans="1:13" ht="19.95" customHeight="1" x14ac:dyDescent="0.25">
      <c r="A1437" s="41">
        <v>45323</v>
      </c>
      <c r="B1437" s="47">
        <f>MONTH(Table13[[#This Row],[YearMonth]])</f>
        <v>2</v>
      </c>
      <c r="C1437" s="9" t="s">
        <v>85</v>
      </c>
      <c r="D1437" s="14" t="s">
        <v>330</v>
      </c>
      <c r="E1437" s="14">
        <f>IF(Table13[[#This Row],[Quartile]]="TopQuartile", 1,
 IF(Table13[[#This Row],[Quartile]]="SecondQuartile", 2,
 IF(Table13[[#This Row],[Quartile]]="ThirdQuartile", 3,
 IF(Table13[[#This Row],[Quartile]]="FourthQuartile", 4, ""))))</f>
        <v>1</v>
      </c>
      <c r="F1437" s="9" t="s">
        <v>335</v>
      </c>
      <c r="G1437" s="9" t="str" cm="1">
        <f t="array" ref="G1437">IFERROR(
  INDEX(Table13[Quartile],
    MATCH(1,
      (Table13[[#This Row],[OrgName]]=Table13[OrgName]) *
      (Table13[[#This Row],[Month Number]]-1=Table13[Month Number]),
    0)
  ),
"")</f>
        <v>TopQuartile</v>
      </c>
      <c r="H1437" s="9">
        <f>IF(Table13[[#This Row],[Previous Quartile]]="TopQuartile", 1,
 IF(Table13[[#This Row],[Previous Quartile]]="SecondQuartile", 2,
 IF(Table13[[#This Row],[Previous Quartile]]="ThirdQuartile", 3,
 IF(Table13[[#This Row],[Previous Quartile]]="FourthQuartile", 4, ""))))</f>
        <v>1</v>
      </c>
      <c r="I1437" s="9" t="str">
        <f>IF(Table13[[#This Row],[Previous Quartile Value]]="", "",
   IF(Table13[[#This Row],[Quartile Value]] &lt; Table13[[#This Row],[Previous Quartile Value]], "Improved",
   IF(Table13[[#This Row],[Quartile Value]] &gt; Table13[[#This Row],[Previous Quartile Value]], "Dropped", "Same")))</f>
        <v>Same</v>
      </c>
      <c r="J1437" s="10" t="s">
        <v>24</v>
      </c>
      <c r="K1437" s="7" t="str">
        <f>VLOOKUP(J1437,Introduction!$B$6:$C$14,2)</f>
        <v>North East and Yorkshire</v>
      </c>
      <c r="L1437" s="11">
        <v>319</v>
      </c>
      <c r="M1437" s="12" t="s">
        <v>332</v>
      </c>
    </row>
    <row r="1438" spans="1:13" ht="19.95" customHeight="1" x14ac:dyDescent="0.25">
      <c r="A1438" s="41">
        <v>45323</v>
      </c>
      <c r="B1438" s="47">
        <f>MONTH(Table13[[#This Row],[YearMonth]])</f>
        <v>2</v>
      </c>
      <c r="C1438" s="9" t="s">
        <v>111</v>
      </c>
      <c r="D1438" s="14" t="s">
        <v>338</v>
      </c>
      <c r="E1438" s="14">
        <f>IF(Table13[[#This Row],[Quartile]]="TopQuartile", 1,
 IF(Table13[[#This Row],[Quartile]]="SecondQuartile", 2,
 IF(Table13[[#This Row],[Quartile]]="ThirdQuartile", 3,
 IF(Table13[[#This Row],[Quartile]]="FourthQuartile", 4, ""))))</f>
        <v>2</v>
      </c>
      <c r="F1438" s="9" t="s">
        <v>339</v>
      </c>
      <c r="G1438" s="9" t="str" cm="1">
        <f t="array" ref="G1438">IFERROR(
  INDEX(Table13[Quartile],
    MATCH(1,
      (Table13[[#This Row],[OrgName]]=Table13[OrgName]) *
      (Table13[[#This Row],[Month Number]]-1=Table13[Month Number]),
    0)
  ),
"")</f>
        <v>SecondQuartile</v>
      </c>
      <c r="H1438" s="9">
        <f>IF(Table13[[#This Row],[Previous Quartile]]="TopQuartile", 1,
 IF(Table13[[#This Row],[Previous Quartile]]="SecondQuartile", 2,
 IF(Table13[[#This Row],[Previous Quartile]]="ThirdQuartile", 3,
 IF(Table13[[#This Row],[Previous Quartile]]="FourthQuartile", 4, ""))))</f>
        <v>2</v>
      </c>
      <c r="I1438" s="9" t="str">
        <f>IF(Table13[[#This Row],[Previous Quartile Value]]="", "",
   IF(Table13[[#This Row],[Quartile Value]] &lt; Table13[[#This Row],[Previous Quartile Value]], "Improved",
   IF(Table13[[#This Row],[Quartile Value]] &gt; Table13[[#This Row],[Previous Quartile Value]], "Dropped", "Same")))</f>
        <v>Same</v>
      </c>
      <c r="J1438" s="10" t="s">
        <v>20</v>
      </c>
      <c r="K1438" s="7" t="str">
        <f>VLOOKUP(J1438,Introduction!$B$6:$C$14,2)</f>
        <v>East of England</v>
      </c>
      <c r="L1438" s="11">
        <v>432</v>
      </c>
      <c r="M1438" s="12" t="s">
        <v>332</v>
      </c>
    </row>
    <row r="1439" spans="1:13" ht="19.95" customHeight="1" x14ac:dyDescent="0.25">
      <c r="A1439" s="41">
        <v>45323</v>
      </c>
      <c r="B1439" s="47">
        <f>MONTH(Table13[[#This Row],[YearMonth]])</f>
        <v>2</v>
      </c>
      <c r="C1439" s="9" t="s">
        <v>89</v>
      </c>
      <c r="D1439" s="14" t="s">
        <v>338</v>
      </c>
      <c r="E1439" s="14">
        <f>IF(Table13[[#This Row],[Quartile]]="TopQuartile", 1,
 IF(Table13[[#This Row],[Quartile]]="SecondQuartile", 2,
 IF(Table13[[#This Row],[Quartile]]="ThirdQuartile", 3,
 IF(Table13[[#This Row],[Quartile]]="FourthQuartile", 4, ""))))</f>
        <v>2</v>
      </c>
      <c r="F1439" s="9" t="s">
        <v>336</v>
      </c>
      <c r="G1439" s="9" t="str" cm="1">
        <f t="array" ref="G1439">IFERROR(
  INDEX(Table13[Quartile],
    MATCH(1,
      (Table13[[#This Row],[OrgName]]=Table13[OrgName]) *
      (Table13[[#This Row],[Month Number]]-1=Table13[Month Number]),
    0)
  ),
"")</f>
        <v>SecondQuartile</v>
      </c>
      <c r="H1439" s="9">
        <f>IF(Table13[[#This Row],[Previous Quartile]]="TopQuartile", 1,
 IF(Table13[[#This Row],[Previous Quartile]]="SecondQuartile", 2,
 IF(Table13[[#This Row],[Previous Quartile]]="ThirdQuartile", 3,
 IF(Table13[[#This Row],[Previous Quartile]]="FourthQuartile", 4, ""))))</f>
        <v>2</v>
      </c>
      <c r="I1439" s="9" t="str">
        <f>IF(Table13[[#This Row],[Previous Quartile Value]]="", "",
   IF(Table13[[#This Row],[Quartile Value]] &lt; Table13[[#This Row],[Previous Quartile Value]], "Improved",
   IF(Table13[[#This Row],[Quartile Value]] &gt; Table13[[#This Row],[Previous Quartile Value]], "Dropped", "Same")))</f>
        <v>Same</v>
      </c>
      <c r="J1439" s="10" t="s">
        <v>16</v>
      </c>
      <c r="K1439" s="7" t="str">
        <f>VLOOKUP(J1439,Introduction!$B$6:$C$14,2)</f>
        <v>South East</v>
      </c>
      <c r="L1439" s="11">
        <v>192</v>
      </c>
      <c r="M1439" s="12" t="s">
        <v>332</v>
      </c>
    </row>
    <row r="1440" spans="1:13" ht="19.95" customHeight="1" x14ac:dyDescent="0.25">
      <c r="A1440" s="41">
        <v>45323</v>
      </c>
      <c r="B1440" s="47">
        <f>MONTH(Table13[[#This Row],[YearMonth]])</f>
        <v>2</v>
      </c>
      <c r="C1440" s="9" t="s">
        <v>174</v>
      </c>
      <c r="D1440" s="14" t="s">
        <v>341</v>
      </c>
      <c r="E1440" s="14">
        <f>IF(Table13[[#This Row],[Quartile]]="TopQuartile", 1,
 IF(Table13[[#This Row],[Quartile]]="SecondQuartile", 2,
 IF(Table13[[#This Row],[Quartile]]="ThirdQuartile", 3,
 IF(Table13[[#This Row],[Quartile]]="FourthQuartile", 4, ""))))</f>
        <v>3</v>
      </c>
      <c r="F1440" s="9" t="s">
        <v>342</v>
      </c>
      <c r="G1440" s="9" t="str" cm="1">
        <f t="array" ref="G1440">IFERROR(
  INDEX(Table13[Quartile],
    MATCH(1,
      (Table13[[#This Row],[OrgName]]=Table13[OrgName]) *
      (Table13[[#This Row],[Month Number]]-1=Table13[Month Number]),
    0)
  ),
"")</f>
        <v>SecondQuartile</v>
      </c>
      <c r="H1440" s="9">
        <f>IF(Table13[[#This Row],[Previous Quartile]]="TopQuartile", 1,
 IF(Table13[[#This Row],[Previous Quartile]]="SecondQuartile", 2,
 IF(Table13[[#This Row],[Previous Quartile]]="ThirdQuartile", 3,
 IF(Table13[[#This Row],[Previous Quartile]]="FourthQuartile", 4, ""))))</f>
        <v>2</v>
      </c>
      <c r="I1440" s="9" t="str">
        <f>IF(Table13[[#This Row],[Previous Quartile Value]]="", "",
   IF(Table13[[#This Row],[Quartile Value]] &lt; Table13[[#This Row],[Previous Quartile Value]], "Improved",
   IF(Table13[[#This Row],[Quartile Value]] &gt; Table13[[#This Row],[Previous Quartile Value]], "Dropped", "Same")))</f>
        <v>Dropped</v>
      </c>
      <c r="J1440" s="10" t="s">
        <v>20</v>
      </c>
      <c r="K1440" s="7" t="str">
        <f>VLOOKUP(J1440,Introduction!$B$6:$C$14,2)</f>
        <v>East of England</v>
      </c>
      <c r="L1440" s="11">
        <v>390</v>
      </c>
      <c r="M1440" s="12" t="s">
        <v>332</v>
      </c>
    </row>
    <row r="1441" spans="1:13" ht="19.95" customHeight="1" x14ac:dyDescent="0.25">
      <c r="A1441" s="41">
        <v>45323</v>
      </c>
      <c r="B1441" s="47">
        <f>MONTH(Table13[[#This Row],[YearMonth]])</f>
        <v>2</v>
      </c>
      <c r="C1441" s="9" t="s">
        <v>137</v>
      </c>
      <c r="D1441" s="14" t="s">
        <v>341</v>
      </c>
      <c r="E1441" s="14">
        <f>IF(Table13[[#This Row],[Quartile]]="TopQuartile", 1,
 IF(Table13[[#This Row],[Quartile]]="SecondQuartile", 2,
 IF(Table13[[#This Row],[Quartile]]="ThirdQuartile", 3,
 IF(Table13[[#This Row],[Quartile]]="FourthQuartile", 4, ""))))</f>
        <v>3</v>
      </c>
      <c r="F1441" s="9" t="s">
        <v>340</v>
      </c>
      <c r="G1441" s="9" t="str" cm="1">
        <f t="array" ref="G1441">IFERROR(
  INDEX(Table13[Quartile],
    MATCH(1,
      (Table13[[#This Row],[OrgName]]=Table13[OrgName]) *
      (Table13[[#This Row],[Month Number]]-1=Table13[Month Number]),
    0)
  ),
"")</f>
        <v>ThirdQuartile</v>
      </c>
      <c r="H1441" s="9">
        <f>IF(Table13[[#This Row],[Previous Quartile]]="TopQuartile", 1,
 IF(Table13[[#This Row],[Previous Quartile]]="SecondQuartile", 2,
 IF(Table13[[#This Row],[Previous Quartile]]="ThirdQuartile", 3,
 IF(Table13[[#This Row],[Previous Quartile]]="FourthQuartile", 4, ""))))</f>
        <v>3</v>
      </c>
      <c r="I1441" s="9" t="str">
        <f>IF(Table13[[#This Row],[Previous Quartile Value]]="", "",
   IF(Table13[[#This Row],[Quartile Value]] &lt; Table13[[#This Row],[Previous Quartile Value]], "Improved",
   IF(Table13[[#This Row],[Quartile Value]] &gt; Table13[[#This Row],[Previous Quartile Value]], "Dropped", "Same")))</f>
        <v>Same</v>
      </c>
      <c r="J1441" s="10" t="s">
        <v>18</v>
      </c>
      <c r="K1441" s="7" t="str">
        <f>VLOOKUP(J1441,Introduction!$B$6:$C$14,2)</f>
        <v>Midlands</v>
      </c>
      <c r="L1441" s="11">
        <v>225</v>
      </c>
      <c r="M1441" s="12" t="s">
        <v>332</v>
      </c>
    </row>
    <row r="1442" spans="1:13" ht="19.95" customHeight="1" x14ac:dyDescent="0.25">
      <c r="A1442" s="41">
        <v>45323</v>
      </c>
      <c r="B1442" s="47">
        <f>MONTH(Table13[[#This Row],[YearMonth]])</f>
        <v>2</v>
      </c>
      <c r="C1442" s="9" t="s">
        <v>228</v>
      </c>
      <c r="D1442" s="14" t="s">
        <v>341</v>
      </c>
      <c r="E1442" s="14">
        <f>IF(Table13[[#This Row],[Quartile]]="TopQuartile", 1,
 IF(Table13[[#This Row],[Quartile]]="SecondQuartile", 2,
 IF(Table13[[#This Row],[Quartile]]="ThirdQuartile", 3,
 IF(Table13[[#This Row],[Quartile]]="FourthQuartile", 4, ""))))</f>
        <v>3</v>
      </c>
      <c r="F1442" s="9" t="s">
        <v>347</v>
      </c>
      <c r="G1442" s="9" t="str" cm="1">
        <f t="array" ref="G1442">IFERROR(
  INDEX(Table13[Quartile],
    MATCH(1,
      (Table13[[#This Row],[OrgName]]=Table13[OrgName]) *
      (Table13[[#This Row],[Month Number]]-1=Table13[Month Number]),
    0)
  ),
"")</f>
        <v>ThirdQuartile</v>
      </c>
      <c r="H1442" s="9">
        <f>IF(Table13[[#This Row],[Previous Quartile]]="TopQuartile", 1,
 IF(Table13[[#This Row],[Previous Quartile]]="SecondQuartile", 2,
 IF(Table13[[#This Row],[Previous Quartile]]="ThirdQuartile", 3,
 IF(Table13[[#This Row],[Previous Quartile]]="FourthQuartile", 4, ""))))</f>
        <v>3</v>
      </c>
      <c r="I1442" s="9" t="str">
        <f>IF(Table13[[#This Row],[Previous Quartile Value]]="", "",
   IF(Table13[[#This Row],[Quartile Value]] &lt; Table13[[#This Row],[Previous Quartile Value]], "Improved",
   IF(Table13[[#This Row],[Quartile Value]] &gt; Table13[[#This Row],[Previous Quartile Value]], "Dropped", "Same")))</f>
        <v>Same</v>
      </c>
      <c r="J1442" s="10" t="s">
        <v>14</v>
      </c>
      <c r="K1442" s="7" t="str">
        <f>VLOOKUP(J1442,Introduction!$B$6:$C$14,2)</f>
        <v>South West</v>
      </c>
      <c r="L1442" s="11">
        <v>339</v>
      </c>
      <c r="M1442" s="12" t="s">
        <v>332</v>
      </c>
    </row>
    <row r="1443" spans="1:13" ht="19.95" customHeight="1" x14ac:dyDescent="0.25">
      <c r="A1443" s="41">
        <v>45323</v>
      </c>
      <c r="B1443" s="47">
        <f>MONTH(Table13[[#This Row],[YearMonth]])</f>
        <v>2</v>
      </c>
      <c r="C1443" s="9" t="s">
        <v>220</v>
      </c>
      <c r="D1443" s="14" t="s">
        <v>341</v>
      </c>
      <c r="E1443" s="14">
        <f>IF(Table13[[#This Row],[Quartile]]="TopQuartile", 1,
 IF(Table13[[#This Row],[Quartile]]="SecondQuartile", 2,
 IF(Table13[[#This Row],[Quartile]]="ThirdQuartile", 3,
 IF(Table13[[#This Row],[Quartile]]="FourthQuartile", 4, ""))))</f>
        <v>3</v>
      </c>
      <c r="F1443" s="9" t="s">
        <v>346</v>
      </c>
      <c r="G1443" s="9" t="str" cm="1">
        <f t="array" ref="G1443">IFERROR(
  INDEX(Table13[Quartile],
    MATCH(1,
      (Table13[[#This Row],[OrgName]]=Table13[OrgName]) *
      (Table13[[#This Row],[Month Number]]-1=Table13[Month Number]),
    0)
  ),
"")</f>
        <v>ThirdQuartile</v>
      </c>
      <c r="H1443" s="9">
        <f>IF(Table13[[#This Row],[Previous Quartile]]="TopQuartile", 1,
 IF(Table13[[#This Row],[Previous Quartile]]="SecondQuartile", 2,
 IF(Table13[[#This Row],[Previous Quartile]]="ThirdQuartile", 3,
 IF(Table13[[#This Row],[Previous Quartile]]="FourthQuartile", 4, ""))))</f>
        <v>3</v>
      </c>
      <c r="I1443" s="9" t="str">
        <f>IF(Table13[[#This Row],[Previous Quartile Value]]="", "",
   IF(Table13[[#This Row],[Quartile Value]] &lt; Table13[[#This Row],[Previous Quartile Value]], "Improved",
   IF(Table13[[#This Row],[Quartile Value]] &gt; Table13[[#This Row],[Previous Quartile Value]], "Dropped", "Same")))</f>
        <v>Same</v>
      </c>
      <c r="J1443" s="10" t="s">
        <v>16</v>
      </c>
      <c r="K1443" s="7" t="str">
        <f>VLOOKUP(J1443,Introduction!$B$6:$C$14,2)</f>
        <v>South East</v>
      </c>
      <c r="L1443" s="11">
        <v>151</v>
      </c>
      <c r="M1443" s="12" t="s">
        <v>332</v>
      </c>
    </row>
    <row r="1444" spans="1:13" ht="19.95" customHeight="1" x14ac:dyDescent="0.25">
      <c r="A1444" s="41">
        <v>45323</v>
      </c>
      <c r="B1444" s="47">
        <f>MONTH(Table13[[#This Row],[YearMonth]])</f>
        <v>2</v>
      </c>
      <c r="C1444" s="9" t="s">
        <v>237</v>
      </c>
      <c r="D1444" s="14" t="s">
        <v>341</v>
      </c>
      <c r="E1444" s="14">
        <f>IF(Table13[[#This Row],[Quartile]]="TopQuartile", 1,
 IF(Table13[[#This Row],[Quartile]]="SecondQuartile", 2,
 IF(Table13[[#This Row],[Quartile]]="ThirdQuartile", 3,
 IF(Table13[[#This Row],[Quartile]]="FourthQuartile", 4, ""))))</f>
        <v>3</v>
      </c>
      <c r="F1444" s="9" t="s">
        <v>349</v>
      </c>
      <c r="G1444" s="9" t="str" cm="1">
        <f t="array" ref="G1444">IFERROR(
  INDEX(Table13[Quartile],
    MATCH(1,
      (Table13[[#This Row],[OrgName]]=Table13[OrgName]) *
      (Table13[[#This Row],[Month Number]]-1=Table13[Month Number]),
    0)
  ),
"")</f>
        <v>ThirdQuartile</v>
      </c>
      <c r="H1444" s="9">
        <f>IF(Table13[[#This Row],[Previous Quartile]]="TopQuartile", 1,
 IF(Table13[[#This Row],[Previous Quartile]]="SecondQuartile", 2,
 IF(Table13[[#This Row],[Previous Quartile]]="ThirdQuartile", 3,
 IF(Table13[[#This Row],[Previous Quartile]]="FourthQuartile", 4, ""))))</f>
        <v>3</v>
      </c>
      <c r="I1444" s="9" t="str">
        <f>IF(Table13[[#This Row],[Previous Quartile Value]]="", "",
   IF(Table13[[#This Row],[Quartile Value]] &lt; Table13[[#This Row],[Previous Quartile Value]], "Improved",
   IF(Table13[[#This Row],[Quartile Value]] &gt; Table13[[#This Row],[Previous Quartile Value]], "Dropped", "Same")))</f>
        <v>Same</v>
      </c>
      <c r="J1444" s="10" t="s">
        <v>24</v>
      </c>
      <c r="K1444" s="7" t="str">
        <f>VLOOKUP(J1444,Introduction!$B$6:$C$14,2)</f>
        <v>North East and Yorkshire</v>
      </c>
      <c r="L1444" s="11">
        <v>155</v>
      </c>
      <c r="M1444" s="12" t="s">
        <v>332</v>
      </c>
    </row>
    <row r="1445" spans="1:13" ht="19.95" customHeight="1" x14ac:dyDescent="0.25">
      <c r="A1445" s="41">
        <v>45323</v>
      </c>
      <c r="B1445" s="47">
        <f>MONTH(Table13[[#This Row],[YearMonth]])</f>
        <v>2</v>
      </c>
      <c r="C1445" s="9" t="s">
        <v>236</v>
      </c>
      <c r="D1445" s="14" t="s">
        <v>341</v>
      </c>
      <c r="E1445" s="14">
        <f>IF(Table13[[#This Row],[Quartile]]="TopQuartile", 1,
 IF(Table13[[#This Row],[Quartile]]="SecondQuartile", 2,
 IF(Table13[[#This Row],[Quartile]]="ThirdQuartile", 3,
 IF(Table13[[#This Row],[Quartile]]="FourthQuartile", 4, ""))))</f>
        <v>3</v>
      </c>
      <c r="F1445" s="9" t="s">
        <v>348</v>
      </c>
      <c r="G1445" s="9" t="str" cm="1">
        <f t="array" ref="G1445">IFERROR(
  INDEX(Table13[Quartile],
    MATCH(1,
      (Table13[[#This Row],[OrgName]]=Table13[OrgName]) *
      (Table13[[#This Row],[Month Number]]-1=Table13[Month Number]),
    0)
  ),
"")</f>
        <v>ThirdQuartile</v>
      </c>
      <c r="H1445" s="9">
        <f>IF(Table13[[#This Row],[Previous Quartile]]="TopQuartile", 1,
 IF(Table13[[#This Row],[Previous Quartile]]="SecondQuartile", 2,
 IF(Table13[[#This Row],[Previous Quartile]]="ThirdQuartile", 3,
 IF(Table13[[#This Row],[Previous Quartile]]="FourthQuartile", 4, ""))))</f>
        <v>3</v>
      </c>
      <c r="I1445" s="9" t="str">
        <f>IF(Table13[[#This Row],[Previous Quartile Value]]="", "",
   IF(Table13[[#This Row],[Quartile Value]] &lt; Table13[[#This Row],[Previous Quartile Value]], "Improved",
   IF(Table13[[#This Row],[Quartile Value]] &gt; Table13[[#This Row],[Previous Quartile Value]], "Dropped", "Same")))</f>
        <v>Same</v>
      </c>
      <c r="J1445" s="10" t="s">
        <v>18</v>
      </c>
      <c r="K1445" s="7" t="str">
        <f>VLOOKUP(J1445,Introduction!$B$6:$C$14,2)</f>
        <v>Midlands</v>
      </c>
      <c r="L1445" s="11">
        <v>365</v>
      </c>
      <c r="M1445" s="12" t="s">
        <v>332</v>
      </c>
    </row>
    <row r="1446" spans="1:13" ht="19.95" customHeight="1" x14ac:dyDescent="0.25">
      <c r="A1446" s="41">
        <v>45323</v>
      </c>
      <c r="B1446" s="47">
        <f>MONTH(Table13[[#This Row],[YearMonth]])</f>
        <v>2</v>
      </c>
      <c r="C1446" s="9" t="s">
        <v>200</v>
      </c>
      <c r="D1446" s="14" t="s">
        <v>350</v>
      </c>
      <c r="E1446" s="14">
        <f>IF(Table13[[#This Row],[Quartile]]="TopQuartile", 1,
 IF(Table13[[#This Row],[Quartile]]="SecondQuartile", 2,
 IF(Table13[[#This Row],[Quartile]]="ThirdQuartile", 3,
 IF(Table13[[#This Row],[Quartile]]="FourthQuartile", 4, ""))))</f>
        <v>4</v>
      </c>
      <c r="F1446" s="9" t="s">
        <v>343</v>
      </c>
      <c r="G1446" s="9" t="str" cm="1">
        <f t="array" ref="G1446">IFERROR(
  INDEX(Table13[Quartile],
    MATCH(1,
      (Table13[[#This Row],[OrgName]]=Table13[OrgName]) *
      (Table13[[#This Row],[Month Number]]-1=Table13[Month Number]),
    0)
  ),
"")</f>
        <v>FourthQuartile</v>
      </c>
      <c r="H1446" s="9">
        <f>IF(Table13[[#This Row],[Previous Quartile]]="TopQuartile", 1,
 IF(Table13[[#This Row],[Previous Quartile]]="SecondQuartile", 2,
 IF(Table13[[#This Row],[Previous Quartile]]="ThirdQuartile", 3,
 IF(Table13[[#This Row],[Previous Quartile]]="FourthQuartile", 4, ""))))</f>
        <v>4</v>
      </c>
      <c r="I1446" s="9" t="str">
        <f>IF(Table13[[#This Row],[Previous Quartile Value]]="", "",
   IF(Table13[[#This Row],[Quartile Value]] &lt; Table13[[#This Row],[Previous Quartile Value]], "Improved",
   IF(Table13[[#This Row],[Quartile Value]] &gt; Table13[[#This Row],[Previous Quartile Value]], "Dropped", "Same")))</f>
        <v>Same</v>
      </c>
      <c r="J1446" s="10" t="s">
        <v>20</v>
      </c>
      <c r="K1446" s="7" t="str">
        <f>VLOOKUP(J1446,Introduction!$B$6:$C$14,2)</f>
        <v>East of England</v>
      </c>
      <c r="L1446" s="11">
        <v>361</v>
      </c>
      <c r="M1446" s="12" t="s">
        <v>332</v>
      </c>
    </row>
    <row r="1447" spans="1:13" ht="19.95" customHeight="1" x14ac:dyDescent="0.25">
      <c r="A1447" s="41">
        <v>45323</v>
      </c>
      <c r="B1447" s="47">
        <f>MONTH(Table13[[#This Row],[YearMonth]])</f>
        <v>2</v>
      </c>
      <c r="C1447" s="9" t="s">
        <v>254</v>
      </c>
      <c r="D1447" s="14" t="s">
        <v>350</v>
      </c>
      <c r="E1447" s="14">
        <f>IF(Table13[[#This Row],[Quartile]]="TopQuartile", 1,
 IF(Table13[[#This Row],[Quartile]]="SecondQuartile", 2,
 IF(Table13[[#This Row],[Quartile]]="ThirdQuartile", 3,
 IF(Table13[[#This Row],[Quartile]]="FourthQuartile", 4, ""))))</f>
        <v>4</v>
      </c>
      <c r="F1447" s="9" t="s">
        <v>352</v>
      </c>
      <c r="G1447" s="9" t="str" cm="1">
        <f t="array" ref="G1447">IFERROR(
  INDEX(Table13[Quartile],
    MATCH(1,
      (Table13[[#This Row],[OrgName]]=Table13[OrgName]) *
      (Table13[[#This Row],[Month Number]]-1=Table13[Month Number]),
    0)
  ),
"")</f>
        <v>ThirdQuartile</v>
      </c>
      <c r="H1447" s="9">
        <f>IF(Table13[[#This Row],[Previous Quartile]]="TopQuartile", 1,
 IF(Table13[[#This Row],[Previous Quartile]]="SecondQuartile", 2,
 IF(Table13[[#This Row],[Previous Quartile]]="ThirdQuartile", 3,
 IF(Table13[[#This Row],[Previous Quartile]]="FourthQuartile", 4, ""))))</f>
        <v>3</v>
      </c>
      <c r="I1447" s="9" t="str">
        <f>IF(Table13[[#This Row],[Previous Quartile Value]]="", "",
   IF(Table13[[#This Row],[Quartile Value]] &lt; Table13[[#This Row],[Previous Quartile Value]], "Improved",
   IF(Table13[[#This Row],[Quartile Value]] &gt; Table13[[#This Row],[Previous Quartile Value]], "Dropped", "Same")))</f>
        <v>Dropped</v>
      </c>
      <c r="J1447" s="10" t="s">
        <v>22</v>
      </c>
      <c r="K1447" s="7" t="str">
        <f>VLOOKUP(J1447,Introduction!$B$6:$C$14,2)</f>
        <v>North West</v>
      </c>
      <c r="L1447" s="11">
        <v>435</v>
      </c>
      <c r="M1447" s="12" t="s">
        <v>332</v>
      </c>
    </row>
    <row r="1448" spans="1:13" ht="19.95" customHeight="1" x14ac:dyDescent="0.25">
      <c r="A1448" s="41">
        <v>45323</v>
      </c>
      <c r="B1448" s="47">
        <f>MONTH(Table13[[#This Row],[YearMonth]])</f>
        <v>2</v>
      </c>
      <c r="C1448" s="9" t="s">
        <v>257</v>
      </c>
      <c r="D1448" s="14" t="s">
        <v>350</v>
      </c>
      <c r="E1448" s="14">
        <f>IF(Table13[[#This Row],[Quartile]]="TopQuartile", 1,
 IF(Table13[[#This Row],[Quartile]]="SecondQuartile", 2,
 IF(Table13[[#This Row],[Quartile]]="ThirdQuartile", 3,
 IF(Table13[[#This Row],[Quartile]]="FourthQuartile", 4, ""))))</f>
        <v>4</v>
      </c>
      <c r="F1448" s="9" t="s">
        <v>353</v>
      </c>
      <c r="G1448" s="9" t="str" cm="1">
        <f t="array" ref="G1448">IFERROR(
  INDEX(Table13[Quartile],
    MATCH(1,
      (Table13[[#This Row],[OrgName]]=Table13[OrgName]) *
      (Table13[[#This Row],[Month Number]]-1=Table13[Month Number]),
    0)
  ),
"")</f>
        <v>FourthQuartile</v>
      </c>
      <c r="H1448" s="9">
        <f>IF(Table13[[#This Row],[Previous Quartile]]="TopQuartile", 1,
 IF(Table13[[#This Row],[Previous Quartile]]="SecondQuartile", 2,
 IF(Table13[[#This Row],[Previous Quartile]]="ThirdQuartile", 3,
 IF(Table13[[#This Row],[Previous Quartile]]="FourthQuartile", 4, ""))))</f>
        <v>4</v>
      </c>
      <c r="I1448" s="9" t="str">
        <f>IF(Table13[[#This Row],[Previous Quartile Value]]="", "",
   IF(Table13[[#This Row],[Quartile Value]] &lt; Table13[[#This Row],[Previous Quartile Value]], "Improved",
   IF(Table13[[#This Row],[Quartile Value]] &gt; Table13[[#This Row],[Previous Quartile Value]], "Dropped", "Same")))</f>
        <v>Same</v>
      </c>
      <c r="J1448" s="10" t="s">
        <v>14</v>
      </c>
      <c r="K1448" s="7" t="str">
        <f>VLOOKUP(J1448,Introduction!$B$6:$C$14,2)</f>
        <v>South West</v>
      </c>
      <c r="L1448" s="11">
        <v>185</v>
      </c>
      <c r="M1448" s="12" t="s">
        <v>332</v>
      </c>
    </row>
    <row r="1449" spans="1:13" ht="19.95" customHeight="1" x14ac:dyDescent="0.25">
      <c r="A1449" s="41">
        <v>45323</v>
      </c>
      <c r="B1449" s="47">
        <f>MONTH(Table13[[#This Row],[YearMonth]])</f>
        <v>2</v>
      </c>
      <c r="C1449" s="9" t="s">
        <v>214</v>
      </c>
      <c r="D1449" s="14" t="s">
        <v>350</v>
      </c>
      <c r="E1449" s="14">
        <f>IF(Table13[[#This Row],[Quartile]]="TopQuartile", 1,
 IF(Table13[[#This Row],[Quartile]]="SecondQuartile", 2,
 IF(Table13[[#This Row],[Quartile]]="ThirdQuartile", 3,
 IF(Table13[[#This Row],[Quartile]]="FourthQuartile", 4, ""))))</f>
        <v>4</v>
      </c>
      <c r="F1449" s="9" t="s">
        <v>345</v>
      </c>
      <c r="G1449" s="9" t="str" cm="1">
        <f t="array" ref="G1449">IFERROR(
  INDEX(Table13[Quartile],
    MATCH(1,
      (Table13[[#This Row],[OrgName]]=Table13[OrgName]) *
      (Table13[[#This Row],[Month Number]]-1=Table13[Month Number]),
    0)
  ),
"")</f>
        <v>FourthQuartile</v>
      </c>
      <c r="H1449" s="9">
        <f>IF(Table13[[#This Row],[Previous Quartile]]="TopQuartile", 1,
 IF(Table13[[#This Row],[Previous Quartile]]="SecondQuartile", 2,
 IF(Table13[[#This Row],[Previous Quartile]]="ThirdQuartile", 3,
 IF(Table13[[#This Row],[Previous Quartile]]="FourthQuartile", 4, ""))))</f>
        <v>4</v>
      </c>
      <c r="I1449" s="9" t="str">
        <f>IF(Table13[[#This Row],[Previous Quartile Value]]="", "",
   IF(Table13[[#This Row],[Quartile Value]] &lt; Table13[[#This Row],[Previous Quartile Value]], "Improved",
   IF(Table13[[#This Row],[Quartile Value]] &gt; Table13[[#This Row],[Previous Quartile Value]], "Dropped", "Same")))</f>
        <v>Same</v>
      </c>
      <c r="J1449" s="10" t="s">
        <v>20</v>
      </c>
      <c r="K1449" s="7" t="str">
        <f>VLOOKUP(J1449,Introduction!$B$6:$C$14,2)</f>
        <v>East of England</v>
      </c>
      <c r="L1449" s="11">
        <v>176</v>
      </c>
      <c r="M1449" s="12" t="s">
        <v>332</v>
      </c>
    </row>
    <row r="1450" spans="1:13" ht="19.95" customHeight="1" x14ac:dyDescent="0.25">
      <c r="A1450" s="41">
        <v>45323</v>
      </c>
      <c r="B1450" s="47">
        <f>MONTH(Table13[[#This Row],[YearMonth]])</f>
        <v>2</v>
      </c>
      <c r="C1450" s="9" t="s">
        <v>270</v>
      </c>
      <c r="D1450" s="14" t="s">
        <v>350</v>
      </c>
      <c r="E1450" s="14">
        <f>IF(Table13[[#This Row],[Quartile]]="TopQuartile", 1,
 IF(Table13[[#This Row],[Quartile]]="SecondQuartile", 2,
 IF(Table13[[#This Row],[Quartile]]="ThirdQuartile", 3,
 IF(Table13[[#This Row],[Quartile]]="FourthQuartile", 4, ""))))</f>
        <v>4</v>
      </c>
      <c r="F1450" s="9" t="s">
        <v>354</v>
      </c>
      <c r="G1450" s="9" t="str" cm="1">
        <f t="array" ref="G1450">IFERROR(
  INDEX(Table13[Quartile],
    MATCH(1,
      (Table13[[#This Row],[OrgName]]=Table13[OrgName]) *
      (Table13[[#This Row],[Month Number]]-1=Table13[Month Number]),
    0)
  ),
"")</f>
        <v>FourthQuartile</v>
      </c>
      <c r="H1450" s="9">
        <f>IF(Table13[[#This Row],[Previous Quartile]]="TopQuartile", 1,
 IF(Table13[[#This Row],[Previous Quartile]]="SecondQuartile", 2,
 IF(Table13[[#This Row],[Previous Quartile]]="ThirdQuartile", 3,
 IF(Table13[[#This Row],[Previous Quartile]]="FourthQuartile", 4, ""))))</f>
        <v>4</v>
      </c>
      <c r="I1450" s="9" t="str">
        <f>IF(Table13[[#This Row],[Previous Quartile Value]]="", "",
   IF(Table13[[#This Row],[Quartile Value]] &lt; Table13[[#This Row],[Previous Quartile Value]], "Improved",
   IF(Table13[[#This Row],[Quartile Value]] &gt; Table13[[#This Row],[Previous Quartile Value]], "Dropped", "Same")))</f>
        <v>Same</v>
      </c>
      <c r="J1450" s="10" t="s">
        <v>16</v>
      </c>
      <c r="K1450" s="7" t="str">
        <f>VLOOKUP(J1450,Introduction!$B$6:$C$14,2)</f>
        <v>South East</v>
      </c>
      <c r="L1450" s="11">
        <v>251</v>
      </c>
      <c r="M1450" s="12" t="s">
        <v>332</v>
      </c>
    </row>
    <row r="1451" spans="1:13" ht="19.95" customHeight="1" x14ac:dyDescent="0.25">
      <c r="A1451" s="41">
        <v>45323</v>
      </c>
      <c r="B1451" s="47">
        <f>MONTH(Table13[[#This Row],[YearMonth]])</f>
        <v>2</v>
      </c>
      <c r="C1451" s="9" t="s">
        <v>283</v>
      </c>
      <c r="D1451" s="14" t="s">
        <v>350</v>
      </c>
      <c r="E1451" s="14">
        <f>IF(Table13[[#This Row],[Quartile]]="TopQuartile", 1,
 IF(Table13[[#This Row],[Quartile]]="SecondQuartile", 2,
 IF(Table13[[#This Row],[Quartile]]="ThirdQuartile", 3,
 IF(Table13[[#This Row],[Quartile]]="FourthQuartile", 4, ""))))</f>
        <v>4</v>
      </c>
      <c r="F1451" s="9" t="s">
        <v>355</v>
      </c>
      <c r="G1451" s="9" t="str" cm="1">
        <f t="array" ref="G1451">IFERROR(
  INDEX(Table13[Quartile],
    MATCH(1,
      (Table13[[#This Row],[OrgName]]=Table13[OrgName]) *
      (Table13[[#This Row],[Month Number]]-1=Table13[Month Number]),
    0)
  ),
"")</f>
        <v>FourthQuartile</v>
      </c>
      <c r="H1451" s="9">
        <f>IF(Table13[[#This Row],[Previous Quartile]]="TopQuartile", 1,
 IF(Table13[[#This Row],[Previous Quartile]]="SecondQuartile", 2,
 IF(Table13[[#This Row],[Previous Quartile]]="ThirdQuartile", 3,
 IF(Table13[[#This Row],[Previous Quartile]]="FourthQuartile", 4, ""))))</f>
        <v>4</v>
      </c>
      <c r="I1451" s="9" t="str">
        <f>IF(Table13[[#This Row],[Previous Quartile Value]]="", "",
   IF(Table13[[#This Row],[Quartile Value]] &lt; Table13[[#This Row],[Previous Quartile Value]], "Improved",
   IF(Table13[[#This Row],[Quartile Value]] &gt; Table13[[#This Row],[Previous Quartile Value]], "Dropped", "Same")))</f>
        <v>Same</v>
      </c>
      <c r="J1451" s="10" t="s">
        <v>16</v>
      </c>
      <c r="K1451" s="7" t="str">
        <f>VLOOKUP(J1451,Introduction!$B$6:$C$14,2)</f>
        <v>South East</v>
      </c>
      <c r="L1451" s="11">
        <v>193</v>
      </c>
      <c r="M1451" s="12" t="s">
        <v>332</v>
      </c>
    </row>
    <row r="1452" spans="1:13" ht="19.95" customHeight="1" x14ac:dyDescent="0.25">
      <c r="A1452" s="41">
        <v>45323</v>
      </c>
      <c r="B1452" s="47">
        <f>MONTH(Table13[[#This Row],[YearMonth]])</f>
        <v>2</v>
      </c>
      <c r="C1452" s="9" t="s">
        <v>246</v>
      </c>
      <c r="D1452" s="14" t="s">
        <v>350</v>
      </c>
      <c r="E1452" s="14">
        <f>IF(Table13[[#This Row],[Quartile]]="TopQuartile", 1,
 IF(Table13[[#This Row],[Quartile]]="SecondQuartile", 2,
 IF(Table13[[#This Row],[Quartile]]="ThirdQuartile", 3,
 IF(Table13[[#This Row],[Quartile]]="FourthQuartile", 4, ""))))</f>
        <v>4</v>
      </c>
      <c r="F1452" s="9" t="s">
        <v>351</v>
      </c>
      <c r="G1452" s="9" t="str" cm="1">
        <f t="array" ref="G1452">IFERROR(
  INDEX(Table13[Quartile],
    MATCH(1,
      (Table13[[#This Row],[OrgName]]=Table13[OrgName]) *
      (Table13[[#This Row],[Month Number]]-1=Table13[Month Number]),
    0)
  ),
"")</f>
        <v>FourthQuartile</v>
      </c>
      <c r="H1452" s="9">
        <f>IF(Table13[[#This Row],[Previous Quartile]]="TopQuartile", 1,
 IF(Table13[[#This Row],[Previous Quartile]]="SecondQuartile", 2,
 IF(Table13[[#This Row],[Previous Quartile]]="ThirdQuartile", 3,
 IF(Table13[[#This Row],[Previous Quartile]]="FourthQuartile", 4, ""))))</f>
        <v>4</v>
      </c>
      <c r="I1452" s="9" t="str">
        <f>IF(Table13[[#This Row],[Previous Quartile Value]]="", "",
   IF(Table13[[#This Row],[Quartile Value]] &lt; Table13[[#This Row],[Previous Quartile Value]], "Improved",
   IF(Table13[[#This Row],[Quartile Value]] &gt; Table13[[#This Row],[Previous Quartile Value]], "Dropped", "Same")))</f>
        <v>Same</v>
      </c>
      <c r="J1452" s="10" t="s">
        <v>14</v>
      </c>
      <c r="K1452" s="7" t="str">
        <f>VLOOKUP(J1452,Introduction!$B$6:$C$14,2)</f>
        <v>South West</v>
      </c>
      <c r="L1452" s="11">
        <v>318</v>
      </c>
      <c r="M1452" s="12" t="s">
        <v>332</v>
      </c>
    </row>
    <row r="1453" spans="1:13" ht="19.95" customHeight="1" x14ac:dyDescent="0.25">
      <c r="A1453" s="41">
        <v>45323</v>
      </c>
      <c r="B1453" s="47">
        <f>MONTH(Table13[[#This Row],[YearMonth]])</f>
        <v>2</v>
      </c>
      <c r="C1453" s="9" t="s">
        <v>290</v>
      </c>
      <c r="D1453" s="14" t="s">
        <v>350</v>
      </c>
      <c r="E1453" s="14">
        <f>IF(Table13[[#This Row],[Quartile]]="TopQuartile", 1,
 IF(Table13[[#This Row],[Quartile]]="SecondQuartile", 2,
 IF(Table13[[#This Row],[Quartile]]="ThirdQuartile", 3,
 IF(Table13[[#This Row],[Quartile]]="FourthQuartile", 4, ""))))</f>
        <v>4</v>
      </c>
      <c r="F1453" s="9" t="s">
        <v>356</v>
      </c>
      <c r="G1453" s="9" t="str" cm="1">
        <f t="array" ref="G1453">IFERROR(
  INDEX(Table13[Quartile],
    MATCH(1,
      (Table13[[#This Row],[OrgName]]=Table13[OrgName]) *
      (Table13[[#This Row],[Month Number]]-1=Table13[Month Number]),
    0)
  ),
"")</f>
        <v>FourthQuartile</v>
      </c>
      <c r="H1453" s="9">
        <f>IF(Table13[[#This Row],[Previous Quartile]]="TopQuartile", 1,
 IF(Table13[[#This Row],[Previous Quartile]]="SecondQuartile", 2,
 IF(Table13[[#This Row],[Previous Quartile]]="ThirdQuartile", 3,
 IF(Table13[[#This Row],[Previous Quartile]]="FourthQuartile", 4, ""))))</f>
        <v>4</v>
      </c>
      <c r="I1453" s="9" t="str">
        <f>IF(Table13[[#This Row],[Previous Quartile Value]]="", "",
   IF(Table13[[#This Row],[Quartile Value]] &lt; Table13[[#This Row],[Previous Quartile Value]], "Improved",
   IF(Table13[[#This Row],[Quartile Value]] &gt; Table13[[#This Row],[Previous Quartile Value]], "Dropped", "Same")))</f>
        <v>Same</v>
      </c>
      <c r="J1453" s="10" t="s">
        <v>18</v>
      </c>
      <c r="K1453" s="7" t="str">
        <f>VLOOKUP(J1453,Introduction!$B$6:$C$14,2)</f>
        <v>Midlands</v>
      </c>
      <c r="L1453" s="11">
        <v>381</v>
      </c>
      <c r="M1453" s="12" t="s">
        <v>332</v>
      </c>
    </row>
    <row r="1454" spans="1:13" ht="19.95" customHeight="1" x14ac:dyDescent="0.25">
      <c r="A1454" s="41">
        <v>45323</v>
      </c>
      <c r="B1454" s="47">
        <f>MONTH(Table13[[#This Row],[YearMonth]])</f>
        <v>2</v>
      </c>
      <c r="C1454" s="9" t="s">
        <v>292</v>
      </c>
      <c r="D1454" s="14" t="s">
        <v>350</v>
      </c>
      <c r="E1454" s="14">
        <f>IF(Table13[[#This Row],[Quartile]]="TopQuartile", 1,
 IF(Table13[[#This Row],[Quartile]]="SecondQuartile", 2,
 IF(Table13[[#This Row],[Quartile]]="ThirdQuartile", 3,
 IF(Table13[[#This Row],[Quartile]]="FourthQuartile", 4, ""))))</f>
        <v>4</v>
      </c>
      <c r="F1454" s="9" t="s">
        <v>357</v>
      </c>
      <c r="G1454" s="9" t="str" cm="1">
        <f t="array" ref="G1454">IFERROR(
  INDEX(Table13[Quartile],
    MATCH(1,
      (Table13[[#This Row],[OrgName]]=Table13[OrgName]) *
      (Table13[[#This Row],[Month Number]]-1=Table13[Month Number]),
    0)
  ),
"")</f>
        <v>FourthQuartile</v>
      </c>
      <c r="H1454" s="9">
        <f>IF(Table13[[#This Row],[Previous Quartile]]="TopQuartile", 1,
 IF(Table13[[#This Row],[Previous Quartile]]="SecondQuartile", 2,
 IF(Table13[[#This Row],[Previous Quartile]]="ThirdQuartile", 3,
 IF(Table13[[#This Row],[Previous Quartile]]="FourthQuartile", 4, ""))))</f>
        <v>4</v>
      </c>
      <c r="I1454" s="9" t="str">
        <f>IF(Table13[[#This Row],[Previous Quartile Value]]="", "",
   IF(Table13[[#This Row],[Quartile Value]] &lt; Table13[[#This Row],[Previous Quartile Value]], "Improved",
   IF(Table13[[#This Row],[Quartile Value]] &gt; Table13[[#This Row],[Previous Quartile Value]], "Dropped", "Same")))</f>
        <v>Same</v>
      </c>
      <c r="J1454" s="10" t="s">
        <v>14</v>
      </c>
      <c r="K1454" s="7" t="str">
        <f>VLOOKUP(J1454,Introduction!$B$6:$C$14,2)</f>
        <v>South West</v>
      </c>
      <c r="L1454" s="11">
        <v>156</v>
      </c>
      <c r="M1454" s="12" t="s">
        <v>332</v>
      </c>
    </row>
    <row r="1455" spans="1:13" ht="19.95" customHeight="1" x14ac:dyDescent="0.25">
      <c r="A1455" s="41">
        <v>45323</v>
      </c>
      <c r="B1455" s="47">
        <f>MONTH(Table13[[#This Row],[YearMonth]])</f>
        <v>2</v>
      </c>
      <c r="C1455" s="9" t="s">
        <v>37</v>
      </c>
      <c r="D1455" s="14" t="s">
        <v>330</v>
      </c>
      <c r="E1455" s="14">
        <f>IF(Table13[[#This Row],[Quartile]]="TopQuartile", 1,
 IF(Table13[[#This Row],[Quartile]]="SecondQuartile", 2,
 IF(Table13[[#This Row],[Quartile]]="ThirdQuartile", 3,
 IF(Table13[[#This Row],[Quartile]]="FourthQuartile", 4, ""))))</f>
        <v>1</v>
      </c>
      <c r="F1455" s="9" t="s">
        <v>358</v>
      </c>
      <c r="G1455" s="9" t="str" cm="1">
        <f t="array" ref="G1455">IFERROR(
  INDEX(Table13[Quartile],
    MATCH(1,
      (Table13[[#This Row],[OrgName]]=Table13[OrgName]) *
      (Table13[[#This Row],[Month Number]]-1=Table13[Month Number]),
    0)
  ),
"")</f>
        <v>TopQuartile</v>
      </c>
      <c r="H1455" s="9">
        <f>IF(Table13[[#This Row],[Previous Quartile]]="TopQuartile", 1,
 IF(Table13[[#This Row],[Previous Quartile]]="SecondQuartile", 2,
 IF(Table13[[#This Row],[Previous Quartile]]="ThirdQuartile", 3,
 IF(Table13[[#This Row],[Previous Quartile]]="FourthQuartile", 4, ""))))</f>
        <v>1</v>
      </c>
      <c r="I1455" s="9" t="str">
        <f>IF(Table13[[#This Row],[Previous Quartile Value]]="", "",
   IF(Table13[[#This Row],[Quartile Value]] &lt; Table13[[#This Row],[Previous Quartile Value]], "Improved",
   IF(Table13[[#This Row],[Quartile Value]] &gt; Table13[[#This Row],[Previous Quartile Value]], "Dropped", "Same")))</f>
        <v>Same</v>
      </c>
      <c r="J1455" s="10" t="s">
        <v>18</v>
      </c>
      <c r="K1455" s="7" t="str">
        <f>VLOOKUP(J1455,Introduction!$B$6:$C$14,2)</f>
        <v>Midlands</v>
      </c>
      <c r="L1455" s="11">
        <v>223</v>
      </c>
      <c r="M1455" s="12" t="s">
        <v>359</v>
      </c>
    </row>
    <row r="1456" spans="1:13" ht="19.95" customHeight="1" x14ac:dyDescent="0.25">
      <c r="A1456" s="41">
        <v>45323</v>
      </c>
      <c r="B1456" s="47">
        <f>MONTH(Table13[[#This Row],[YearMonth]])</f>
        <v>2</v>
      </c>
      <c r="C1456" s="9" t="s">
        <v>54</v>
      </c>
      <c r="D1456" s="14" t="s">
        <v>330</v>
      </c>
      <c r="E1456" s="14">
        <f>IF(Table13[[#This Row],[Quartile]]="TopQuartile", 1,
 IF(Table13[[#This Row],[Quartile]]="SecondQuartile", 2,
 IF(Table13[[#This Row],[Quartile]]="ThirdQuartile", 3,
 IF(Table13[[#This Row],[Quartile]]="FourthQuartile", 4, ""))))</f>
        <v>1</v>
      </c>
      <c r="F1456" s="9" t="s">
        <v>361</v>
      </c>
      <c r="G1456" s="9" t="str" cm="1">
        <f t="array" ref="G1456">IFERROR(
  INDEX(Table13[Quartile],
    MATCH(1,
      (Table13[[#This Row],[OrgName]]=Table13[OrgName]) *
      (Table13[[#This Row],[Month Number]]-1=Table13[Month Number]),
    0)
  ),
"")</f>
        <v>TopQuartile</v>
      </c>
      <c r="H1456" s="9">
        <f>IF(Table13[[#This Row],[Previous Quartile]]="TopQuartile", 1,
 IF(Table13[[#This Row],[Previous Quartile]]="SecondQuartile", 2,
 IF(Table13[[#This Row],[Previous Quartile]]="ThirdQuartile", 3,
 IF(Table13[[#This Row],[Previous Quartile]]="FourthQuartile", 4, ""))))</f>
        <v>1</v>
      </c>
      <c r="I1456" s="9" t="str">
        <f>IF(Table13[[#This Row],[Previous Quartile Value]]="", "",
   IF(Table13[[#This Row],[Quartile Value]] &lt; Table13[[#This Row],[Previous Quartile Value]], "Improved",
   IF(Table13[[#This Row],[Quartile Value]] &gt; Table13[[#This Row],[Previous Quartile Value]], "Dropped", "Same")))</f>
        <v>Same</v>
      </c>
      <c r="J1456" s="10" t="s">
        <v>24</v>
      </c>
      <c r="K1456" s="7" t="str">
        <f>VLOOKUP(J1456,Introduction!$B$6:$C$14,2)</f>
        <v>North East and Yorkshire</v>
      </c>
      <c r="L1456" s="11">
        <v>297</v>
      </c>
      <c r="M1456" s="12" t="s">
        <v>359</v>
      </c>
    </row>
    <row r="1457" spans="1:13" ht="19.95" customHeight="1" x14ac:dyDescent="0.25">
      <c r="A1457" s="41">
        <v>45323</v>
      </c>
      <c r="B1457" s="47">
        <f>MONTH(Table13[[#This Row],[YearMonth]])</f>
        <v>2</v>
      </c>
      <c r="C1457" s="9" t="s">
        <v>59</v>
      </c>
      <c r="D1457" s="14" t="s">
        <v>330</v>
      </c>
      <c r="E1457" s="14">
        <f>IF(Table13[[#This Row],[Quartile]]="TopQuartile", 1,
 IF(Table13[[#This Row],[Quartile]]="SecondQuartile", 2,
 IF(Table13[[#This Row],[Quartile]]="ThirdQuartile", 3,
 IF(Table13[[#This Row],[Quartile]]="FourthQuartile", 4, ""))))</f>
        <v>1</v>
      </c>
      <c r="F1457" s="9" t="s">
        <v>363</v>
      </c>
      <c r="G1457" s="9" t="str" cm="1">
        <f t="array" ref="G1457">IFERROR(
  INDEX(Table13[Quartile],
    MATCH(1,
      (Table13[[#This Row],[OrgName]]=Table13[OrgName]) *
      (Table13[[#This Row],[Month Number]]-1=Table13[Month Number]),
    0)
  ),
"")</f>
        <v>TopQuartile</v>
      </c>
      <c r="H1457" s="9">
        <f>IF(Table13[[#This Row],[Previous Quartile]]="TopQuartile", 1,
 IF(Table13[[#This Row],[Previous Quartile]]="SecondQuartile", 2,
 IF(Table13[[#This Row],[Previous Quartile]]="ThirdQuartile", 3,
 IF(Table13[[#This Row],[Previous Quartile]]="FourthQuartile", 4, ""))))</f>
        <v>1</v>
      </c>
      <c r="I1457" s="9" t="str">
        <f>IF(Table13[[#This Row],[Previous Quartile Value]]="", "",
   IF(Table13[[#This Row],[Quartile Value]] &lt; Table13[[#This Row],[Previous Quartile Value]], "Improved",
   IF(Table13[[#This Row],[Quartile Value]] &gt; Table13[[#This Row],[Previous Quartile Value]], "Dropped", "Same")))</f>
        <v>Same</v>
      </c>
      <c r="J1457" s="10" t="s">
        <v>24</v>
      </c>
      <c r="K1457" s="7" t="str">
        <f>VLOOKUP(J1457,Introduction!$B$6:$C$14,2)</f>
        <v>North East and Yorkshire</v>
      </c>
      <c r="L1457" s="11">
        <v>208</v>
      </c>
      <c r="M1457" s="12" t="s">
        <v>359</v>
      </c>
    </row>
    <row r="1458" spans="1:13" ht="19.95" customHeight="1" x14ac:dyDescent="0.25">
      <c r="A1458" s="41">
        <v>45323</v>
      </c>
      <c r="B1458" s="47">
        <f>MONTH(Table13[[#This Row],[YearMonth]])</f>
        <v>2</v>
      </c>
      <c r="C1458" s="9" t="s">
        <v>173</v>
      </c>
      <c r="D1458" s="14" t="s">
        <v>330</v>
      </c>
      <c r="E1458" s="14">
        <f>IF(Table13[[#This Row],[Quartile]]="TopQuartile", 1,
 IF(Table13[[#This Row],[Quartile]]="SecondQuartile", 2,
 IF(Table13[[#This Row],[Quartile]]="ThirdQuartile", 3,
 IF(Table13[[#This Row],[Quartile]]="FourthQuartile", 4, ""))))</f>
        <v>1</v>
      </c>
      <c r="F1458" s="9" t="s">
        <v>371</v>
      </c>
      <c r="G1458" s="9" t="str" cm="1">
        <f t="array" ref="G1458">IFERROR(
  INDEX(Table13[Quartile],
    MATCH(1,
      (Table13[[#This Row],[OrgName]]=Table13[OrgName]) *
      (Table13[[#This Row],[Month Number]]-1=Table13[Month Number]),
    0)
  ),
"")</f>
        <v>TopQuartile</v>
      </c>
      <c r="H1458" s="9">
        <f>IF(Table13[[#This Row],[Previous Quartile]]="TopQuartile", 1,
 IF(Table13[[#This Row],[Previous Quartile]]="SecondQuartile", 2,
 IF(Table13[[#This Row],[Previous Quartile]]="ThirdQuartile", 3,
 IF(Table13[[#This Row],[Previous Quartile]]="FourthQuartile", 4, ""))))</f>
        <v>1</v>
      </c>
      <c r="I1458" s="9" t="str">
        <f>IF(Table13[[#This Row],[Previous Quartile Value]]="", "",
   IF(Table13[[#This Row],[Quartile Value]] &lt; Table13[[#This Row],[Previous Quartile Value]], "Improved",
   IF(Table13[[#This Row],[Quartile Value]] &gt; Table13[[#This Row],[Previous Quartile Value]], "Dropped", "Same")))</f>
        <v>Same</v>
      </c>
      <c r="J1458" s="10" t="s">
        <v>22</v>
      </c>
      <c r="K1458" s="7" t="str">
        <f>VLOOKUP(J1458,Introduction!$B$6:$C$14,2)</f>
        <v>North West</v>
      </c>
      <c r="L1458" s="11">
        <v>241</v>
      </c>
      <c r="M1458" s="12" t="s">
        <v>359</v>
      </c>
    </row>
    <row r="1459" spans="1:13" ht="19.95" customHeight="1" x14ac:dyDescent="0.25">
      <c r="A1459" s="41">
        <v>45323</v>
      </c>
      <c r="B1459" s="47">
        <f>MONTH(Table13[[#This Row],[YearMonth]])</f>
        <v>2</v>
      </c>
      <c r="C1459" s="9" t="s">
        <v>50</v>
      </c>
      <c r="D1459" s="14" t="s">
        <v>330</v>
      </c>
      <c r="E1459" s="14">
        <f>IF(Table13[[#This Row],[Quartile]]="TopQuartile", 1,
 IF(Table13[[#This Row],[Quartile]]="SecondQuartile", 2,
 IF(Table13[[#This Row],[Quartile]]="ThirdQuartile", 3,
 IF(Table13[[#This Row],[Quartile]]="FourthQuartile", 4, ""))))</f>
        <v>1</v>
      </c>
      <c r="F1459" s="9" t="s">
        <v>360</v>
      </c>
      <c r="G1459" s="9" t="str" cm="1">
        <f t="array" ref="G1459">IFERROR(
  INDEX(Table13[Quartile],
    MATCH(1,
      (Table13[[#This Row],[OrgName]]=Table13[OrgName]) *
      (Table13[[#This Row],[Month Number]]-1=Table13[Month Number]),
    0)
  ),
"")</f>
        <v>TopQuartile</v>
      </c>
      <c r="H1459" s="9">
        <f>IF(Table13[[#This Row],[Previous Quartile]]="TopQuartile", 1,
 IF(Table13[[#This Row],[Previous Quartile]]="SecondQuartile", 2,
 IF(Table13[[#This Row],[Previous Quartile]]="ThirdQuartile", 3,
 IF(Table13[[#This Row],[Previous Quartile]]="FourthQuartile", 4, ""))))</f>
        <v>1</v>
      </c>
      <c r="I1459" s="9" t="str">
        <f>IF(Table13[[#This Row],[Previous Quartile Value]]="", "",
   IF(Table13[[#This Row],[Quartile Value]] &lt; Table13[[#This Row],[Previous Quartile Value]], "Improved",
   IF(Table13[[#This Row],[Quartile Value]] &gt; Table13[[#This Row],[Previous Quartile Value]], "Dropped", "Same")))</f>
        <v>Same</v>
      </c>
      <c r="J1459" s="10" t="s">
        <v>12</v>
      </c>
      <c r="K1459" s="7" t="str">
        <f>VLOOKUP(J1459,Introduction!$B$6:$C$14,2)</f>
        <v>London</v>
      </c>
      <c r="L1459" s="11">
        <v>199</v>
      </c>
      <c r="M1459" s="12" t="s">
        <v>359</v>
      </c>
    </row>
    <row r="1460" spans="1:13" ht="19.95" customHeight="1" x14ac:dyDescent="0.25">
      <c r="A1460" s="41">
        <v>45323</v>
      </c>
      <c r="B1460" s="47">
        <f>MONTH(Table13[[#This Row],[YearMonth]])</f>
        <v>2</v>
      </c>
      <c r="C1460" s="9" t="s">
        <v>105</v>
      </c>
      <c r="D1460" s="14" t="s">
        <v>338</v>
      </c>
      <c r="E1460" s="14">
        <f>IF(Table13[[#This Row],[Quartile]]="TopQuartile", 1,
 IF(Table13[[#This Row],[Quartile]]="SecondQuartile", 2,
 IF(Table13[[#This Row],[Quartile]]="ThirdQuartile", 3,
 IF(Table13[[#This Row],[Quartile]]="FourthQuartile", 4, ""))))</f>
        <v>2</v>
      </c>
      <c r="F1460" s="9" t="s">
        <v>365</v>
      </c>
      <c r="G1460" s="9" t="str" cm="1">
        <f t="array" ref="G1460">IFERROR(
  INDEX(Table13[Quartile],
    MATCH(1,
      (Table13[[#This Row],[OrgName]]=Table13[OrgName]) *
      (Table13[[#This Row],[Month Number]]-1=Table13[Month Number]),
    0)
  ),
"")</f>
        <v>SecondQuartile</v>
      </c>
      <c r="H1460" s="9">
        <f>IF(Table13[[#This Row],[Previous Quartile]]="TopQuartile", 1,
 IF(Table13[[#This Row],[Previous Quartile]]="SecondQuartile", 2,
 IF(Table13[[#This Row],[Previous Quartile]]="ThirdQuartile", 3,
 IF(Table13[[#This Row],[Previous Quartile]]="FourthQuartile", 4, ""))))</f>
        <v>2</v>
      </c>
      <c r="I1460" s="9" t="str">
        <f>IF(Table13[[#This Row],[Previous Quartile Value]]="", "",
   IF(Table13[[#This Row],[Quartile Value]] &lt; Table13[[#This Row],[Previous Quartile Value]], "Improved",
   IF(Table13[[#This Row],[Quartile Value]] &gt; Table13[[#This Row],[Previous Quartile Value]], "Dropped", "Same")))</f>
        <v>Same</v>
      </c>
      <c r="J1460" s="10" t="s">
        <v>12</v>
      </c>
      <c r="K1460" s="7" t="str">
        <f>VLOOKUP(J1460,Introduction!$B$6:$C$14,2)</f>
        <v>London</v>
      </c>
      <c r="L1460" s="11">
        <v>396</v>
      </c>
      <c r="M1460" s="12" t="s">
        <v>359</v>
      </c>
    </row>
    <row r="1461" spans="1:13" ht="19.95" customHeight="1" x14ac:dyDescent="0.25">
      <c r="A1461" s="41">
        <v>45323</v>
      </c>
      <c r="B1461" s="47">
        <f>MONTH(Table13[[#This Row],[YearMonth]])</f>
        <v>2</v>
      </c>
      <c r="C1461" s="9" t="s">
        <v>136</v>
      </c>
      <c r="D1461" s="14" t="s">
        <v>338</v>
      </c>
      <c r="E1461" s="14">
        <f>IF(Table13[[#This Row],[Quartile]]="TopQuartile", 1,
 IF(Table13[[#This Row],[Quartile]]="SecondQuartile", 2,
 IF(Table13[[#This Row],[Quartile]]="ThirdQuartile", 3,
 IF(Table13[[#This Row],[Quartile]]="FourthQuartile", 4, ""))))</f>
        <v>2</v>
      </c>
      <c r="F1461" s="9" t="s">
        <v>368</v>
      </c>
      <c r="G1461" s="9" t="str" cm="1">
        <f t="array" ref="G1461">IFERROR(
  INDEX(Table13[Quartile],
    MATCH(1,
      (Table13[[#This Row],[OrgName]]=Table13[OrgName]) *
      (Table13[[#This Row],[Month Number]]-1=Table13[Month Number]),
    0)
  ),
"")</f>
        <v>SecondQuartile</v>
      </c>
      <c r="H1461" s="9">
        <f>IF(Table13[[#This Row],[Previous Quartile]]="TopQuartile", 1,
 IF(Table13[[#This Row],[Previous Quartile]]="SecondQuartile", 2,
 IF(Table13[[#This Row],[Previous Quartile]]="ThirdQuartile", 3,
 IF(Table13[[#This Row],[Previous Quartile]]="FourthQuartile", 4, ""))))</f>
        <v>2</v>
      </c>
      <c r="I1461" s="9" t="str">
        <f>IF(Table13[[#This Row],[Previous Quartile Value]]="", "",
   IF(Table13[[#This Row],[Quartile Value]] &lt; Table13[[#This Row],[Previous Quartile Value]], "Improved",
   IF(Table13[[#This Row],[Quartile Value]] &gt; Table13[[#This Row],[Previous Quartile Value]], "Dropped", "Same")))</f>
        <v>Same</v>
      </c>
      <c r="J1461" s="10" t="s">
        <v>16</v>
      </c>
      <c r="K1461" s="7" t="str">
        <f>VLOOKUP(J1461,Introduction!$B$6:$C$14,2)</f>
        <v>South East</v>
      </c>
      <c r="L1461" s="11">
        <v>326</v>
      </c>
      <c r="M1461" s="12" t="s">
        <v>359</v>
      </c>
    </row>
    <row r="1462" spans="1:13" ht="19.95" customHeight="1" x14ac:dyDescent="0.25">
      <c r="A1462" s="41">
        <v>45323</v>
      </c>
      <c r="B1462" s="47">
        <f>MONTH(Table13[[#This Row],[YearMonth]])</f>
        <v>2</v>
      </c>
      <c r="C1462" s="9" t="s">
        <v>55</v>
      </c>
      <c r="D1462" s="14" t="s">
        <v>338</v>
      </c>
      <c r="E1462" s="14">
        <f>IF(Table13[[#This Row],[Quartile]]="TopQuartile", 1,
 IF(Table13[[#This Row],[Quartile]]="SecondQuartile", 2,
 IF(Table13[[#This Row],[Quartile]]="ThirdQuartile", 3,
 IF(Table13[[#This Row],[Quartile]]="FourthQuartile", 4, ""))))</f>
        <v>2</v>
      </c>
      <c r="F1462" s="9" t="s">
        <v>362</v>
      </c>
      <c r="G1462" s="9" t="str" cm="1">
        <f t="array" ref="G1462">IFERROR(
  INDEX(Table13[Quartile],
    MATCH(1,
      (Table13[[#This Row],[OrgName]]=Table13[OrgName]) *
      (Table13[[#This Row],[Month Number]]-1=Table13[Month Number]),
    0)
  ),
"")</f>
        <v>SecondQuartile</v>
      </c>
      <c r="H1462" s="9">
        <f>IF(Table13[[#This Row],[Previous Quartile]]="TopQuartile", 1,
 IF(Table13[[#This Row],[Previous Quartile]]="SecondQuartile", 2,
 IF(Table13[[#This Row],[Previous Quartile]]="ThirdQuartile", 3,
 IF(Table13[[#This Row],[Previous Quartile]]="FourthQuartile", 4, ""))))</f>
        <v>2</v>
      </c>
      <c r="I1462" s="9" t="str">
        <f>IF(Table13[[#This Row],[Previous Quartile Value]]="", "",
   IF(Table13[[#This Row],[Quartile Value]] &lt; Table13[[#This Row],[Previous Quartile Value]], "Improved",
   IF(Table13[[#This Row],[Quartile Value]] &gt; Table13[[#This Row],[Previous Quartile Value]], "Dropped", "Same")))</f>
        <v>Same</v>
      </c>
      <c r="J1462" s="10" t="s">
        <v>18</v>
      </c>
      <c r="K1462" s="7" t="str">
        <f>VLOOKUP(J1462,Introduction!$B$6:$C$14,2)</f>
        <v>Midlands</v>
      </c>
      <c r="L1462" s="11">
        <v>214</v>
      </c>
      <c r="M1462" s="12" t="s">
        <v>359</v>
      </c>
    </row>
    <row r="1463" spans="1:13" ht="19.95" customHeight="1" x14ac:dyDescent="0.25">
      <c r="A1463" s="41">
        <v>45323</v>
      </c>
      <c r="B1463" s="47">
        <f>MONTH(Table13[[#This Row],[YearMonth]])</f>
        <v>2</v>
      </c>
      <c r="C1463" s="9" t="s">
        <v>97</v>
      </c>
      <c r="D1463" s="14" t="s">
        <v>338</v>
      </c>
      <c r="E1463" s="14">
        <f>IF(Table13[[#This Row],[Quartile]]="TopQuartile", 1,
 IF(Table13[[#This Row],[Quartile]]="SecondQuartile", 2,
 IF(Table13[[#This Row],[Quartile]]="ThirdQuartile", 3,
 IF(Table13[[#This Row],[Quartile]]="FourthQuartile", 4, ""))))</f>
        <v>2</v>
      </c>
      <c r="F1463" s="9" t="s">
        <v>364</v>
      </c>
      <c r="G1463" s="9" t="str" cm="1">
        <f t="array" ref="G1463">IFERROR(
  INDEX(Table13[Quartile],
    MATCH(1,
      (Table13[[#This Row],[OrgName]]=Table13[OrgName]) *
      (Table13[[#This Row],[Month Number]]-1=Table13[Month Number]),
    0)
  ),
"")</f>
        <v>SecondQuartile</v>
      </c>
      <c r="H1463" s="9">
        <f>IF(Table13[[#This Row],[Previous Quartile]]="TopQuartile", 1,
 IF(Table13[[#This Row],[Previous Quartile]]="SecondQuartile", 2,
 IF(Table13[[#This Row],[Previous Quartile]]="ThirdQuartile", 3,
 IF(Table13[[#This Row],[Previous Quartile]]="FourthQuartile", 4, ""))))</f>
        <v>2</v>
      </c>
      <c r="I1463" s="9" t="str">
        <f>IF(Table13[[#This Row],[Previous Quartile Value]]="", "",
   IF(Table13[[#This Row],[Quartile Value]] &lt; Table13[[#This Row],[Previous Quartile Value]], "Improved",
   IF(Table13[[#This Row],[Quartile Value]] &gt; Table13[[#This Row],[Previous Quartile Value]], "Dropped", "Same")))</f>
        <v>Same</v>
      </c>
      <c r="J1463" s="10" t="s">
        <v>14</v>
      </c>
      <c r="K1463" s="7" t="str">
        <f>VLOOKUP(J1463,Introduction!$B$6:$C$14,2)</f>
        <v>South West</v>
      </c>
      <c r="L1463" s="11">
        <v>427</v>
      </c>
      <c r="M1463" s="12" t="s">
        <v>359</v>
      </c>
    </row>
    <row r="1464" spans="1:13" ht="19.95" customHeight="1" x14ac:dyDescent="0.25">
      <c r="A1464" s="41">
        <v>45323</v>
      </c>
      <c r="B1464" s="47">
        <f>MONTH(Table13[[#This Row],[YearMonth]])</f>
        <v>2</v>
      </c>
      <c r="C1464" s="9" t="s">
        <v>129</v>
      </c>
      <c r="D1464" s="14" t="s">
        <v>338</v>
      </c>
      <c r="E1464" s="14">
        <f>IF(Table13[[#This Row],[Quartile]]="TopQuartile", 1,
 IF(Table13[[#This Row],[Quartile]]="SecondQuartile", 2,
 IF(Table13[[#This Row],[Quartile]]="ThirdQuartile", 3,
 IF(Table13[[#This Row],[Quartile]]="FourthQuartile", 4, ""))))</f>
        <v>2</v>
      </c>
      <c r="F1464" s="9" t="s">
        <v>367</v>
      </c>
      <c r="G1464" s="9" t="str" cm="1">
        <f t="array" ref="G1464">IFERROR(
  INDEX(Table13[Quartile],
    MATCH(1,
      (Table13[[#This Row],[OrgName]]=Table13[OrgName]) *
      (Table13[[#This Row],[Month Number]]-1=Table13[Month Number]),
    0)
  ),
"")</f>
        <v>SecondQuartile</v>
      </c>
      <c r="H1464" s="9">
        <f>IF(Table13[[#This Row],[Previous Quartile]]="TopQuartile", 1,
 IF(Table13[[#This Row],[Previous Quartile]]="SecondQuartile", 2,
 IF(Table13[[#This Row],[Previous Quartile]]="ThirdQuartile", 3,
 IF(Table13[[#This Row],[Previous Quartile]]="FourthQuartile", 4, ""))))</f>
        <v>2</v>
      </c>
      <c r="I1464" s="9" t="str">
        <f>IF(Table13[[#This Row],[Previous Quartile Value]]="", "",
   IF(Table13[[#This Row],[Quartile Value]] &lt; Table13[[#This Row],[Previous Quartile Value]], "Improved",
   IF(Table13[[#This Row],[Quartile Value]] &gt; Table13[[#This Row],[Previous Quartile Value]], "Dropped", "Same")))</f>
        <v>Same</v>
      </c>
      <c r="J1464" s="10" t="s">
        <v>18</v>
      </c>
      <c r="K1464" s="7" t="str">
        <f>VLOOKUP(J1464,Introduction!$B$6:$C$14,2)</f>
        <v>Midlands</v>
      </c>
      <c r="L1464" s="11">
        <v>265</v>
      </c>
      <c r="M1464" s="12" t="s">
        <v>359</v>
      </c>
    </row>
    <row r="1465" spans="1:13" ht="19.95" customHeight="1" x14ac:dyDescent="0.25">
      <c r="A1465" s="41">
        <v>45323</v>
      </c>
      <c r="B1465" s="47">
        <f>MONTH(Table13[[#This Row],[YearMonth]])</f>
        <v>2</v>
      </c>
      <c r="C1465" s="9" t="s">
        <v>188</v>
      </c>
      <c r="D1465" s="14" t="s">
        <v>338</v>
      </c>
      <c r="E1465" s="14">
        <f>IF(Table13[[#This Row],[Quartile]]="TopQuartile", 1,
 IF(Table13[[#This Row],[Quartile]]="SecondQuartile", 2,
 IF(Table13[[#This Row],[Quartile]]="ThirdQuartile", 3,
 IF(Table13[[#This Row],[Quartile]]="FourthQuartile", 4, ""))))</f>
        <v>2</v>
      </c>
      <c r="F1465" s="9" t="s">
        <v>372</v>
      </c>
      <c r="G1465" s="9" t="str" cm="1">
        <f t="array" ref="G1465">IFERROR(
  INDEX(Table13[Quartile],
    MATCH(1,
      (Table13[[#This Row],[OrgName]]=Table13[OrgName]) *
      (Table13[[#This Row],[Month Number]]-1=Table13[Month Number]),
    0)
  ),
"")</f>
        <v>SecondQuartile</v>
      </c>
      <c r="H1465" s="9">
        <f>IF(Table13[[#This Row],[Previous Quartile]]="TopQuartile", 1,
 IF(Table13[[#This Row],[Previous Quartile]]="SecondQuartile", 2,
 IF(Table13[[#This Row],[Previous Quartile]]="ThirdQuartile", 3,
 IF(Table13[[#This Row],[Previous Quartile]]="FourthQuartile", 4, ""))))</f>
        <v>2</v>
      </c>
      <c r="I1465" s="9" t="str">
        <f>IF(Table13[[#This Row],[Previous Quartile Value]]="", "",
   IF(Table13[[#This Row],[Quartile Value]] &lt; Table13[[#This Row],[Previous Quartile Value]], "Improved",
   IF(Table13[[#This Row],[Quartile Value]] &gt; Table13[[#This Row],[Previous Quartile Value]], "Dropped", "Same")))</f>
        <v>Same</v>
      </c>
      <c r="J1465" s="10" t="s">
        <v>22</v>
      </c>
      <c r="K1465" s="7" t="str">
        <f>VLOOKUP(J1465,Introduction!$B$6:$C$14,2)</f>
        <v>North West</v>
      </c>
      <c r="L1465" s="11">
        <v>362</v>
      </c>
      <c r="M1465" s="12" t="s">
        <v>359</v>
      </c>
    </row>
    <row r="1466" spans="1:13" ht="19.95" customHeight="1" x14ac:dyDescent="0.25">
      <c r="A1466" s="41">
        <v>45323</v>
      </c>
      <c r="B1466" s="47">
        <f>MONTH(Table13[[#This Row],[YearMonth]])</f>
        <v>2</v>
      </c>
      <c r="C1466" s="9" t="s">
        <v>121</v>
      </c>
      <c r="D1466" s="14" t="s">
        <v>338</v>
      </c>
      <c r="E1466" s="14">
        <f>IF(Table13[[#This Row],[Quartile]]="TopQuartile", 1,
 IF(Table13[[#This Row],[Quartile]]="SecondQuartile", 2,
 IF(Table13[[#This Row],[Quartile]]="ThirdQuartile", 3,
 IF(Table13[[#This Row],[Quartile]]="FourthQuartile", 4, ""))))</f>
        <v>2</v>
      </c>
      <c r="F1466" s="9" t="s">
        <v>366</v>
      </c>
      <c r="G1466" s="9" t="str" cm="1">
        <f t="array" ref="G1466">IFERROR(
  INDEX(Table13[Quartile],
    MATCH(1,
      (Table13[[#This Row],[OrgName]]=Table13[OrgName]) *
      (Table13[[#This Row],[Month Number]]-1=Table13[Month Number]),
    0)
  ),
"")</f>
        <v>ThirdQuartile</v>
      </c>
      <c r="H1466" s="9">
        <f>IF(Table13[[#This Row],[Previous Quartile]]="TopQuartile", 1,
 IF(Table13[[#This Row],[Previous Quartile]]="SecondQuartile", 2,
 IF(Table13[[#This Row],[Previous Quartile]]="ThirdQuartile", 3,
 IF(Table13[[#This Row],[Previous Quartile]]="FourthQuartile", 4, ""))))</f>
        <v>3</v>
      </c>
      <c r="I1466" s="9" t="str">
        <f>IF(Table13[[#This Row],[Previous Quartile Value]]="", "",
   IF(Table13[[#This Row],[Quartile Value]] &lt; Table13[[#This Row],[Previous Quartile Value]], "Improved",
   IF(Table13[[#This Row],[Quartile Value]] &gt; Table13[[#This Row],[Previous Quartile Value]], "Dropped", "Same")))</f>
        <v>Improved</v>
      </c>
      <c r="J1466" s="10" t="s">
        <v>24</v>
      </c>
      <c r="K1466" s="7" t="str">
        <f>VLOOKUP(J1466,Introduction!$B$6:$C$14,2)</f>
        <v>North East and Yorkshire</v>
      </c>
      <c r="L1466" s="11">
        <v>345</v>
      </c>
      <c r="M1466" s="12" t="s">
        <v>359</v>
      </c>
    </row>
    <row r="1467" spans="1:13" ht="19.95" customHeight="1" x14ac:dyDescent="0.25">
      <c r="A1467" s="41">
        <v>45323</v>
      </c>
      <c r="B1467" s="47">
        <f>MONTH(Table13[[#This Row],[YearMonth]])</f>
        <v>2</v>
      </c>
      <c r="C1467" s="9" t="s">
        <v>169</v>
      </c>
      <c r="D1467" s="14" t="s">
        <v>338</v>
      </c>
      <c r="E1467" s="14">
        <f>IF(Table13[[#This Row],[Quartile]]="TopQuartile", 1,
 IF(Table13[[#This Row],[Quartile]]="SecondQuartile", 2,
 IF(Table13[[#This Row],[Quartile]]="ThirdQuartile", 3,
 IF(Table13[[#This Row],[Quartile]]="FourthQuartile", 4, ""))))</f>
        <v>2</v>
      </c>
      <c r="F1467" s="9" t="s">
        <v>370</v>
      </c>
      <c r="G1467" s="9" t="str" cm="1">
        <f t="array" ref="G1467">IFERROR(
  INDEX(Table13[Quartile],
    MATCH(1,
      (Table13[[#This Row],[OrgName]]=Table13[OrgName]) *
      (Table13[[#This Row],[Month Number]]-1=Table13[Month Number]),
    0)
  ),
"")</f>
        <v>SecondQuartile</v>
      </c>
      <c r="H1467" s="9">
        <f>IF(Table13[[#This Row],[Previous Quartile]]="TopQuartile", 1,
 IF(Table13[[#This Row],[Previous Quartile]]="SecondQuartile", 2,
 IF(Table13[[#This Row],[Previous Quartile]]="ThirdQuartile", 3,
 IF(Table13[[#This Row],[Previous Quartile]]="FourthQuartile", 4, ""))))</f>
        <v>2</v>
      </c>
      <c r="I1467" s="9" t="str">
        <f>IF(Table13[[#This Row],[Previous Quartile Value]]="", "",
   IF(Table13[[#This Row],[Quartile Value]] &lt; Table13[[#This Row],[Previous Quartile Value]], "Improved",
   IF(Table13[[#This Row],[Quartile Value]] &gt; Table13[[#This Row],[Previous Quartile Value]], "Dropped", "Same")))</f>
        <v>Same</v>
      </c>
      <c r="J1467" s="10" t="s">
        <v>16</v>
      </c>
      <c r="K1467" s="7" t="str">
        <f>VLOOKUP(J1467,Introduction!$B$6:$C$14,2)</f>
        <v>South East</v>
      </c>
      <c r="L1467" s="11">
        <v>275</v>
      </c>
      <c r="M1467" s="12" t="s">
        <v>359</v>
      </c>
    </row>
    <row r="1468" spans="1:13" ht="19.95" customHeight="1" x14ac:dyDescent="0.25">
      <c r="A1468" s="41">
        <v>45323</v>
      </c>
      <c r="B1468" s="47">
        <f>MONTH(Table13[[#This Row],[YearMonth]])</f>
        <v>2</v>
      </c>
      <c r="C1468" s="9" t="s">
        <v>202</v>
      </c>
      <c r="D1468" s="14" t="s">
        <v>338</v>
      </c>
      <c r="E1468" s="14">
        <f>IF(Table13[[#This Row],[Quartile]]="TopQuartile", 1,
 IF(Table13[[#This Row],[Quartile]]="SecondQuartile", 2,
 IF(Table13[[#This Row],[Quartile]]="ThirdQuartile", 3,
 IF(Table13[[#This Row],[Quartile]]="FourthQuartile", 4, ""))))</f>
        <v>2</v>
      </c>
      <c r="F1468" s="9" t="s">
        <v>373</v>
      </c>
      <c r="G1468" s="9" t="str" cm="1">
        <f t="array" ref="G1468">IFERROR(
  INDEX(Table13[Quartile],
    MATCH(1,
      (Table13[[#This Row],[OrgName]]=Table13[OrgName]) *
      (Table13[[#This Row],[Month Number]]-1=Table13[Month Number]),
    0)
  ),
"")</f>
        <v>SecondQuartile</v>
      </c>
      <c r="H1468" s="9">
        <f>IF(Table13[[#This Row],[Previous Quartile]]="TopQuartile", 1,
 IF(Table13[[#This Row],[Previous Quartile]]="SecondQuartile", 2,
 IF(Table13[[#This Row],[Previous Quartile]]="ThirdQuartile", 3,
 IF(Table13[[#This Row],[Previous Quartile]]="FourthQuartile", 4, ""))))</f>
        <v>2</v>
      </c>
      <c r="I1468" s="9" t="str">
        <f>IF(Table13[[#This Row],[Previous Quartile Value]]="", "",
   IF(Table13[[#This Row],[Quartile Value]] &lt; Table13[[#This Row],[Previous Quartile Value]], "Improved",
   IF(Table13[[#This Row],[Quartile Value]] &gt; Table13[[#This Row],[Previous Quartile Value]], "Dropped", "Same")))</f>
        <v>Same</v>
      </c>
      <c r="J1468" s="10" t="s">
        <v>24</v>
      </c>
      <c r="K1468" s="7" t="str">
        <f>VLOOKUP(J1468,Introduction!$B$6:$C$14,2)</f>
        <v>North East and Yorkshire</v>
      </c>
      <c r="L1468" s="11">
        <v>262</v>
      </c>
      <c r="M1468" s="12" t="s">
        <v>359</v>
      </c>
    </row>
    <row r="1469" spans="1:13" ht="19.95" customHeight="1" x14ac:dyDescent="0.25">
      <c r="A1469" s="41">
        <v>45323</v>
      </c>
      <c r="B1469" s="47">
        <f>MONTH(Table13[[#This Row],[YearMonth]])</f>
        <v>2</v>
      </c>
      <c r="C1469" s="9" t="s">
        <v>203</v>
      </c>
      <c r="D1469" s="14" t="s">
        <v>341</v>
      </c>
      <c r="E1469" s="14">
        <f>IF(Table13[[#This Row],[Quartile]]="TopQuartile", 1,
 IF(Table13[[#This Row],[Quartile]]="SecondQuartile", 2,
 IF(Table13[[#This Row],[Quartile]]="ThirdQuartile", 3,
 IF(Table13[[#This Row],[Quartile]]="FourthQuartile", 4, ""))))</f>
        <v>3</v>
      </c>
      <c r="F1469" s="9" t="s">
        <v>374</v>
      </c>
      <c r="G1469" s="9" t="str" cm="1">
        <f t="array" ref="G1469">IFERROR(
  INDEX(Table13[Quartile],
    MATCH(1,
      (Table13[[#This Row],[OrgName]]=Table13[OrgName]) *
      (Table13[[#This Row],[Month Number]]-1=Table13[Month Number]),
    0)
  ),
"")</f>
        <v>ThirdQuartile</v>
      </c>
      <c r="H1469" s="9">
        <f>IF(Table13[[#This Row],[Previous Quartile]]="TopQuartile", 1,
 IF(Table13[[#This Row],[Previous Quartile]]="SecondQuartile", 2,
 IF(Table13[[#This Row],[Previous Quartile]]="ThirdQuartile", 3,
 IF(Table13[[#This Row],[Previous Quartile]]="FourthQuartile", 4, ""))))</f>
        <v>3</v>
      </c>
      <c r="I1469" s="9" t="str">
        <f>IF(Table13[[#This Row],[Previous Quartile Value]]="", "",
   IF(Table13[[#This Row],[Quartile Value]] &lt; Table13[[#This Row],[Previous Quartile Value]], "Improved",
   IF(Table13[[#This Row],[Quartile Value]] &gt; Table13[[#This Row],[Previous Quartile Value]], "Dropped", "Same")))</f>
        <v>Same</v>
      </c>
      <c r="J1469" s="10" t="s">
        <v>20</v>
      </c>
      <c r="K1469" s="7" t="str">
        <f>VLOOKUP(J1469,Introduction!$B$6:$C$14,2)</f>
        <v>East of England</v>
      </c>
      <c r="L1469" s="11">
        <v>418</v>
      </c>
      <c r="M1469" s="12" t="s">
        <v>359</v>
      </c>
    </row>
    <row r="1470" spans="1:13" ht="19.95" customHeight="1" x14ac:dyDescent="0.25">
      <c r="A1470" s="41">
        <v>45323</v>
      </c>
      <c r="B1470" s="47">
        <f>MONTH(Table13[[#This Row],[YearMonth]])</f>
        <v>2</v>
      </c>
      <c r="C1470" s="9" t="s">
        <v>143</v>
      </c>
      <c r="D1470" s="14" t="s">
        <v>341</v>
      </c>
      <c r="E1470" s="14">
        <f>IF(Table13[[#This Row],[Quartile]]="TopQuartile", 1,
 IF(Table13[[#This Row],[Quartile]]="SecondQuartile", 2,
 IF(Table13[[#This Row],[Quartile]]="ThirdQuartile", 3,
 IF(Table13[[#This Row],[Quartile]]="FourthQuartile", 4, ""))))</f>
        <v>3</v>
      </c>
      <c r="F1470" s="9" t="s">
        <v>369</v>
      </c>
      <c r="G1470" s="9" t="str" cm="1">
        <f t="array" ref="G1470">IFERROR(
  INDEX(Table13[Quartile],
    MATCH(1,
      (Table13[[#This Row],[OrgName]]=Table13[OrgName]) *
      (Table13[[#This Row],[Month Number]]-1=Table13[Month Number]),
    0)
  ),
"")</f>
        <v>ThirdQuartile</v>
      </c>
      <c r="H1470" s="9">
        <f>IF(Table13[[#This Row],[Previous Quartile]]="TopQuartile", 1,
 IF(Table13[[#This Row],[Previous Quartile]]="SecondQuartile", 2,
 IF(Table13[[#This Row],[Previous Quartile]]="ThirdQuartile", 3,
 IF(Table13[[#This Row],[Previous Quartile]]="FourthQuartile", 4, ""))))</f>
        <v>3</v>
      </c>
      <c r="I1470" s="9" t="str">
        <f>IF(Table13[[#This Row],[Previous Quartile Value]]="", "",
   IF(Table13[[#This Row],[Quartile Value]] &lt; Table13[[#This Row],[Previous Quartile Value]], "Improved",
   IF(Table13[[#This Row],[Quartile Value]] &gt; Table13[[#This Row],[Previous Quartile Value]], "Dropped", "Same")))</f>
        <v>Same</v>
      </c>
      <c r="J1470" s="10" t="s">
        <v>16</v>
      </c>
      <c r="K1470" s="7" t="str">
        <f>VLOOKUP(J1470,Introduction!$B$6:$C$14,2)</f>
        <v>South East</v>
      </c>
      <c r="L1470" s="11">
        <v>384</v>
      </c>
      <c r="M1470" s="12" t="s">
        <v>359</v>
      </c>
    </row>
    <row r="1471" spans="1:13" ht="19.95" customHeight="1" x14ac:dyDescent="0.25">
      <c r="A1471" s="41">
        <v>45323</v>
      </c>
      <c r="B1471" s="47">
        <f>MONTH(Table13[[#This Row],[YearMonth]])</f>
        <v>2</v>
      </c>
      <c r="C1471" s="9" t="s">
        <v>204</v>
      </c>
      <c r="D1471" s="14" t="s">
        <v>341</v>
      </c>
      <c r="E1471" s="14">
        <f>IF(Table13[[#This Row],[Quartile]]="TopQuartile", 1,
 IF(Table13[[#This Row],[Quartile]]="SecondQuartile", 2,
 IF(Table13[[#This Row],[Quartile]]="ThirdQuartile", 3,
 IF(Table13[[#This Row],[Quartile]]="FourthQuartile", 4, ""))))</f>
        <v>3</v>
      </c>
      <c r="F1471" s="9" t="s">
        <v>375</v>
      </c>
      <c r="G1471" s="9" t="str" cm="1">
        <f t="array" ref="G1471">IFERROR(
  INDEX(Table13[Quartile],
    MATCH(1,
      (Table13[[#This Row],[OrgName]]=Table13[OrgName]) *
      (Table13[[#This Row],[Month Number]]-1=Table13[Month Number]),
    0)
  ),
"")</f>
        <v>ThirdQuartile</v>
      </c>
      <c r="H1471" s="9">
        <f>IF(Table13[[#This Row],[Previous Quartile]]="TopQuartile", 1,
 IF(Table13[[#This Row],[Previous Quartile]]="SecondQuartile", 2,
 IF(Table13[[#This Row],[Previous Quartile]]="ThirdQuartile", 3,
 IF(Table13[[#This Row],[Previous Quartile]]="FourthQuartile", 4, ""))))</f>
        <v>3</v>
      </c>
      <c r="I1471" s="9" t="str">
        <f>IF(Table13[[#This Row],[Previous Quartile Value]]="", "",
   IF(Table13[[#This Row],[Quartile Value]] &lt; Table13[[#This Row],[Previous Quartile Value]], "Improved",
   IF(Table13[[#This Row],[Quartile Value]] &gt; Table13[[#This Row],[Previous Quartile Value]], "Dropped", "Same")))</f>
        <v>Same</v>
      </c>
      <c r="J1471" s="10" t="s">
        <v>14</v>
      </c>
      <c r="K1471" s="7" t="str">
        <f>VLOOKUP(J1471,Introduction!$B$6:$C$14,2)</f>
        <v>South West</v>
      </c>
      <c r="L1471" s="11">
        <v>249</v>
      </c>
      <c r="M1471" s="12" t="s">
        <v>359</v>
      </c>
    </row>
    <row r="1472" spans="1:13" ht="19.95" customHeight="1" x14ac:dyDescent="0.25">
      <c r="A1472" s="41">
        <v>45323</v>
      </c>
      <c r="B1472" s="47">
        <f>MONTH(Table13[[#This Row],[YearMonth]])</f>
        <v>2</v>
      </c>
      <c r="C1472" s="9" t="s">
        <v>227</v>
      </c>
      <c r="D1472" s="14" t="s">
        <v>341</v>
      </c>
      <c r="E1472" s="14">
        <f>IF(Table13[[#This Row],[Quartile]]="TopQuartile", 1,
 IF(Table13[[#This Row],[Quartile]]="SecondQuartile", 2,
 IF(Table13[[#This Row],[Quartile]]="ThirdQuartile", 3,
 IF(Table13[[#This Row],[Quartile]]="FourthQuartile", 4, ""))))</f>
        <v>3</v>
      </c>
      <c r="F1472" s="9" t="s">
        <v>376</v>
      </c>
      <c r="G1472" s="9" t="str" cm="1">
        <f t="array" ref="G1472">IFERROR(
  INDEX(Table13[Quartile],
    MATCH(1,
      (Table13[[#This Row],[OrgName]]=Table13[OrgName]) *
      (Table13[[#This Row],[Month Number]]-1=Table13[Month Number]),
    0)
  ),
"")</f>
        <v>ThirdQuartile</v>
      </c>
      <c r="H1472" s="9">
        <f>IF(Table13[[#This Row],[Previous Quartile]]="TopQuartile", 1,
 IF(Table13[[#This Row],[Previous Quartile]]="SecondQuartile", 2,
 IF(Table13[[#This Row],[Previous Quartile]]="ThirdQuartile", 3,
 IF(Table13[[#This Row],[Previous Quartile]]="FourthQuartile", 4, ""))))</f>
        <v>3</v>
      </c>
      <c r="I1472" s="9" t="str">
        <f>IF(Table13[[#This Row],[Previous Quartile Value]]="", "",
   IF(Table13[[#This Row],[Quartile Value]] &lt; Table13[[#This Row],[Previous Quartile Value]], "Improved",
   IF(Table13[[#This Row],[Quartile Value]] &gt; Table13[[#This Row],[Previous Quartile Value]], "Dropped", "Same")))</f>
        <v>Same</v>
      </c>
      <c r="J1472" s="10" t="s">
        <v>22</v>
      </c>
      <c r="K1472" s="7" t="str">
        <f>VLOOKUP(J1472,Introduction!$B$6:$C$14,2)</f>
        <v>North West</v>
      </c>
      <c r="L1472" s="11">
        <v>302</v>
      </c>
      <c r="M1472" s="12" t="s">
        <v>359</v>
      </c>
    </row>
    <row r="1473" spans="1:13" ht="19.95" customHeight="1" x14ac:dyDescent="0.25">
      <c r="A1473" s="41">
        <v>45323</v>
      </c>
      <c r="B1473" s="47">
        <f>MONTH(Table13[[#This Row],[YearMonth]])</f>
        <v>2</v>
      </c>
      <c r="C1473" s="9" t="s">
        <v>242</v>
      </c>
      <c r="D1473" s="14" t="s">
        <v>341</v>
      </c>
      <c r="E1473" s="14">
        <f>IF(Table13[[#This Row],[Quartile]]="TopQuartile", 1,
 IF(Table13[[#This Row],[Quartile]]="SecondQuartile", 2,
 IF(Table13[[#This Row],[Quartile]]="ThirdQuartile", 3,
 IF(Table13[[#This Row],[Quartile]]="FourthQuartile", 4, ""))))</f>
        <v>3</v>
      </c>
      <c r="F1473" s="9" t="s">
        <v>377</v>
      </c>
      <c r="G1473" s="9" t="str" cm="1">
        <f t="array" ref="G1473">IFERROR(
  INDEX(Table13[Quartile],
    MATCH(1,
      (Table13[[#This Row],[OrgName]]=Table13[OrgName]) *
      (Table13[[#This Row],[Month Number]]-1=Table13[Month Number]),
    0)
  ),
"")</f>
        <v>ThirdQuartile</v>
      </c>
      <c r="H1473" s="9">
        <f>IF(Table13[[#This Row],[Previous Quartile]]="TopQuartile", 1,
 IF(Table13[[#This Row],[Previous Quartile]]="SecondQuartile", 2,
 IF(Table13[[#This Row],[Previous Quartile]]="ThirdQuartile", 3,
 IF(Table13[[#This Row],[Previous Quartile]]="FourthQuartile", 4, ""))))</f>
        <v>3</v>
      </c>
      <c r="I1473" s="9" t="str">
        <f>IF(Table13[[#This Row],[Previous Quartile Value]]="", "",
   IF(Table13[[#This Row],[Quartile Value]] &lt; Table13[[#This Row],[Previous Quartile Value]], "Improved",
   IF(Table13[[#This Row],[Quartile Value]] &gt; Table13[[#This Row],[Previous Quartile Value]], "Dropped", "Same")))</f>
        <v>Same</v>
      </c>
      <c r="J1473" s="10" t="s">
        <v>16</v>
      </c>
      <c r="K1473" s="7" t="str">
        <f>VLOOKUP(J1473,Introduction!$B$6:$C$14,2)</f>
        <v>South East</v>
      </c>
      <c r="L1473" s="11">
        <v>323</v>
      </c>
      <c r="M1473" s="12" t="s">
        <v>359</v>
      </c>
    </row>
    <row r="1474" spans="1:13" ht="19.95" customHeight="1" x14ac:dyDescent="0.25">
      <c r="A1474" s="41">
        <v>45323</v>
      </c>
      <c r="B1474" s="47">
        <f>MONTH(Table13[[#This Row],[YearMonth]])</f>
        <v>2</v>
      </c>
      <c r="C1474" s="9" t="s">
        <v>252</v>
      </c>
      <c r="D1474" s="14" t="s">
        <v>350</v>
      </c>
      <c r="E1474" s="14">
        <f>IF(Table13[[#This Row],[Quartile]]="TopQuartile", 1,
 IF(Table13[[#This Row],[Quartile]]="SecondQuartile", 2,
 IF(Table13[[#This Row],[Quartile]]="ThirdQuartile", 3,
 IF(Table13[[#This Row],[Quartile]]="FourthQuartile", 4, ""))))</f>
        <v>4</v>
      </c>
      <c r="F1474" s="9" t="s">
        <v>378</v>
      </c>
      <c r="G1474" s="9" t="str" cm="1">
        <f t="array" ref="G1474">IFERROR(
  INDEX(Table13[Quartile],
    MATCH(1,
      (Table13[[#This Row],[OrgName]]=Table13[OrgName]) *
      (Table13[[#This Row],[Month Number]]-1=Table13[Month Number]),
    0)
  ),
"")</f>
        <v>FourthQuartile</v>
      </c>
      <c r="H1474" s="9">
        <f>IF(Table13[[#This Row],[Previous Quartile]]="TopQuartile", 1,
 IF(Table13[[#This Row],[Previous Quartile]]="SecondQuartile", 2,
 IF(Table13[[#This Row],[Previous Quartile]]="ThirdQuartile", 3,
 IF(Table13[[#This Row],[Previous Quartile]]="FourthQuartile", 4, ""))))</f>
        <v>4</v>
      </c>
      <c r="I1474" s="9" t="str">
        <f>IF(Table13[[#This Row],[Previous Quartile Value]]="", "",
   IF(Table13[[#This Row],[Quartile Value]] &lt; Table13[[#This Row],[Previous Quartile Value]], "Improved",
   IF(Table13[[#This Row],[Quartile Value]] &gt; Table13[[#This Row],[Previous Quartile Value]], "Dropped", "Same")))</f>
        <v>Same</v>
      </c>
      <c r="J1474" s="10" t="s">
        <v>18</v>
      </c>
      <c r="K1474" s="7" t="str">
        <f>VLOOKUP(J1474,Introduction!$B$6:$C$14,2)</f>
        <v>Midlands</v>
      </c>
      <c r="L1474" s="11">
        <v>253</v>
      </c>
      <c r="M1474" s="12" t="s">
        <v>359</v>
      </c>
    </row>
    <row r="1475" spans="1:13" ht="19.95" customHeight="1" x14ac:dyDescent="0.25">
      <c r="A1475" s="41">
        <v>45323</v>
      </c>
      <c r="B1475" s="47">
        <f>MONTH(Table13[[#This Row],[YearMonth]])</f>
        <v>2</v>
      </c>
      <c r="C1475" s="9" t="s">
        <v>106</v>
      </c>
      <c r="D1475" s="14" t="s">
        <v>330</v>
      </c>
      <c r="E1475" s="14">
        <f>IF(Table13[[#This Row],[Quartile]]="TopQuartile", 1,
 IF(Table13[[#This Row],[Quartile]]="SecondQuartile", 2,
 IF(Table13[[#This Row],[Quartile]]="ThirdQuartile", 3,
 IF(Table13[[#This Row],[Quartile]]="FourthQuartile", 4, ""))))</f>
        <v>1</v>
      </c>
      <c r="F1475" s="9" t="s">
        <v>381</v>
      </c>
      <c r="G1475" s="9" t="str" cm="1">
        <f t="array" ref="G1475">IFERROR(
  INDEX(Table13[Quartile],
    MATCH(1,
      (Table13[[#This Row],[OrgName]]=Table13[OrgName]) *
      (Table13[[#This Row],[Month Number]]-1=Table13[Month Number]),
    0)
  ),
"")</f>
        <v>TopQuartile</v>
      </c>
      <c r="H1475" s="9">
        <f>IF(Table13[[#This Row],[Previous Quartile]]="TopQuartile", 1,
 IF(Table13[[#This Row],[Previous Quartile]]="SecondQuartile", 2,
 IF(Table13[[#This Row],[Previous Quartile]]="ThirdQuartile", 3,
 IF(Table13[[#This Row],[Previous Quartile]]="FourthQuartile", 4, ""))))</f>
        <v>1</v>
      </c>
      <c r="I1475" s="9" t="str">
        <f>IF(Table13[[#This Row],[Previous Quartile Value]]="", "",
   IF(Table13[[#This Row],[Quartile Value]] &lt; Table13[[#This Row],[Previous Quartile Value]], "Improved",
   IF(Table13[[#This Row],[Quartile Value]] &gt; Table13[[#This Row],[Previous Quartile Value]], "Dropped", "Same")))</f>
        <v>Same</v>
      </c>
      <c r="J1475" s="10" t="s">
        <v>14</v>
      </c>
      <c r="K1475" s="7" t="str">
        <f>VLOOKUP(J1475,Introduction!$B$6:$C$14,2)</f>
        <v>South West</v>
      </c>
      <c r="L1475" s="11">
        <v>388</v>
      </c>
      <c r="M1475" s="12" t="s">
        <v>380</v>
      </c>
    </row>
    <row r="1476" spans="1:13" ht="19.95" customHeight="1" x14ac:dyDescent="0.25">
      <c r="A1476" s="41">
        <v>45323</v>
      </c>
      <c r="B1476" s="47">
        <f>MONTH(Table13[[#This Row],[YearMonth]])</f>
        <v>2</v>
      </c>
      <c r="C1476" s="9" t="s">
        <v>104</v>
      </c>
      <c r="D1476" s="14" t="s">
        <v>330</v>
      </c>
      <c r="E1476" s="14">
        <f>IF(Table13[[#This Row],[Quartile]]="TopQuartile", 1,
 IF(Table13[[#This Row],[Quartile]]="SecondQuartile", 2,
 IF(Table13[[#This Row],[Quartile]]="ThirdQuartile", 3,
 IF(Table13[[#This Row],[Quartile]]="FourthQuartile", 4, ""))))</f>
        <v>1</v>
      </c>
      <c r="F1476" s="9" t="s">
        <v>379</v>
      </c>
      <c r="G1476" s="9" t="str" cm="1">
        <f t="array" ref="G1476">IFERROR(
  INDEX(Table13[Quartile],
    MATCH(1,
      (Table13[[#This Row],[OrgName]]=Table13[OrgName]) *
      (Table13[[#This Row],[Month Number]]-1=Table13[Month Number]),
    0)
  ),
"")</f>
        <v>TopQuartile</v>
      </c>
      <c r="H1476" s="9">
        <f>IF(Table13[[#This Row],[Previous Quartile]]="TopQuartile", 1,
 IF(Table13[[#This Row],[Previous Quartile]]="SecondQuartile", 2,
 IF(Table13[[#This Row],[Previous Quartile]]="ThirdQuartile", 3,
 IF(Table13[[#This Row],[Previous Quartile]]="FourthQuartile", 4, ""))))</f>
        <v>1</v>
      </c>
      <c r="I1476" s="9" t="str">
        <f>IF(Table13[[#This Row],[Previous Quartile Value]]="", "",
   IF(Table13[[#This Row],[Quartile Value]] &lt; Table13[[#This Row],[Previous Quartile Value]], "Improved",
   IF(Table13[[#This Row],[Quartile Value]] &gt; Table13[[#This Row],[Previous Quartile Value]], "Dropped", "Same")))</f>
        <v>Same</v>
      </c>
      <c r="J1476" s="10" t="s">
        <v>16</v>
      </c>
      <c r="K1476" s="7" t="str">
        <f>VLOOKUP(J1476,Introduction!$B$6:$C$14,2)</f>
        <v>South East</v>
      </c>
      <c r="L1476" s="11">
        <v>434</v>
      </c>
      <c r="M1476" s="12" t="s">
        <v>380</v>
      </c>
    </row>
    <row r="1477" spans="1:13" ht="19.95" customHeight="1" x14ac:dyDescent="0.25">
      <c r="A1477" s="41">
        <v>45323</v>
      </c>
      <c r="B1477" s="47">
        <f>MONTH(Table13[[#This Row],[YearMonth]])</f>
        <v>2</v>
      </c>
      <c r="C1477" s="9" t="s">
        <v>138</v>
      </c>
      <c r="D1477" s="14" t="s">
        <v>338</v>
      </c>
      <c r="E1477" s="14">
        <f>IF(Table13[[#This Row],[Quartile]]="TopQuartile", 1,
 IF(Table13[[#This Row],[Quartile]]="SecondQuartile", 2,
 IF(Table13[[#This Row],[Quartile]]="ThirdQuartile", 3,
 IF(Table13[[#This Row],[Quartile]]="FourthQuartile", 4, ""))))</f>
        <v>2</v>
      </c>
      <c r="F1477" s="9" t="s">
        <v>382</v>
      </c>
      <c r="G1477" s="9" t="str" cm="1">
        <f t="array" ref="G1477">IFERROR(
  INDEX(Table13[Quartile],
    MATCH(1,
      (Table13[[#This Row],[OrgName]]=Table13[OrgName]) *
      (Table13[[#This Row],[Month Number]]-1=Table13[Month Number]),
    0)
  ),
"")</f>
        <v>TopQuartile</v>
      </c>
      <c r="H1477" s="9">
        <f>IF(Table13[[#This Row],[Previous Quartile]]="TopQuartile", 1,
 IF(Table13[[#This Row],[Previous Quartile]]="SecondQuartile", 2,
 IF(Table13[[#This Row],[Previous Quartile]]="ThirdQuartile", 3,
 IF(Table13[[#This Row],[Previous Quartile]]="FourthQuartile", 4, ""))))</f>
        <v>1</v>
      </c>
      <c r="I1477" s="9" t="str">
        <f>IF(Table13[[#This Row],[Previous Quartile Value]]="", "",
   IF(Table13[[#This Row],[Quartile Value]] &lt; Table13[[#This Row],[Previous Quartile Value]], "Improved",
   IF(Table13[[#This Row],[Quartile Value]] &gt; Table13[[#This Row],[Previous Quartile Value]], "Dropped", "Same")))</f>
        <v>Dropped</v>
      </c>
      <c r="J1477" s="10" t="s">
        <v>24</v>
      </c>
      <c r="K1477" s="7" t="str">
        <f>VLOOKUP(J1477,Introduction!$B$6:$C$14,2)</f>
        <v>North East and Yorkshire</v>
      </c>
      <c r="L1477" s="11">
        <v>439</v>
      </c>
      <c r="M1477" s="12" t="s">
        <v>380</v>
      </c>
    </row>
    <row r="1478" spans="1:13" ht="19.95" customHeight="1" x14ac:dyDescent="0.25">
      <c r="A1478" s="41">
        <v>45323</v>
      </c>
      <c r="B1478" s="47">
        <f>MONTH(Table13[[#This Row],[YearMonth]])</f>
        <v>2</v>
      </c>
      <c r="C1478" s="9" t="s">
        <v>148</v>
      </c>
      <c r="D1478" s="14" t="s">
        <v>338</v>
      </c>
      <c r="E1478" s="14">
        <f>IF(Table13[[#This Row],[Quartile]]="TopQuartile", 1,
 IF(Table13[[#This Row],[Quartile]]="SecondQuartile", 2,
 IF(Table13[[#This Row],[Quartile]]="ThirdQuartile", 3,
 IF(Table13[[#This Row],[Quartile]]="FourthQuartile", 4, ""))))</f>
        <v>2</v>
      </c>
      <c r="F1478" s="9" t="s">
        <v>383</v>
      </c>
      <c r="G1478" s="9" t="str" cm="1">
        <f t="array" ref="G1478">IFERROR(
  INDEX(Table13[Quartile],
    MATCH(1,
      (Table13[[#This Row],[OrgName]]=Table13[OrgName]) *
      (Table13[[#This Row],[Month Number]]-1=Table13[Month Number]),
    0)
  ),
"")</f>
        <v>SecondQuartile</v>
      </c>
      <c r="H1478" s="9">
        <f>IF(Table13[[#This Row],[Previous Quartile]]="TopQuartile", 1,
 IF(Table13[[#This Row],[Previous Quartile]]="SecondQuartile", 2,
 IF(Table13[[#This Row],[Previous Quartile]]="ThirdQuartile", 3,
 IF(Table13[[#This Row],[Previous Quartile]]="FourthQuartile", 4, ""))))</f>
        <v>2</v>
      </c>
      <c r="I1478" s="9" t="str">
        <f>IF(Table13[[#This Row],[Previous Quartile Value]]="", "",
   IF(Table13[[#This Row],[Quartile Value]] &lt; Table13[[#This Row],[Previous Quartile Value]], "Improved",
   IF(Table13[[#This Row],[Quartile Value]] &gt; Table13[[#This Row],[Previous Quartile Value]], "Dropped", "Same")))</f>
        <v>Same</v>
      </c>
      <c r="J1478" s="10" t="s">
        <v>18</v>
      </c>
      <c r="K1478" s="7" t="str">
        <f>VLOOKUP(J1478,Introduction!$B$6:$C$14,2)</f>
        <v>Midlands</v>
      </c>
      <c r="L1478" s="11">
        <v>229</v>
      </c>
      <c r="M1478" s="12" t="s">
        <v>380</v>
      </c>
    </row>
    <row r="1479" spans="1:13" ht="19.95" customHeight="1" x14ac:dyDescent="0.25">
      <c r="A1479" s="41">
        <v>45323</v>
      </c>
      <c r="B1479" s="47">
        <f>MONTH(Table13[[#This Row],[YearMonth]])</f>
        <v>2</v>
      </c>
      <c r="C1479" s="9" t="s">
        <v>243</v>
      </c>
      <c r="D1479" s="14" t="s">
        <v>338</v>
      </c>
      <c r="E1479" s="14">
        <f>IF(Table13[[#This Row],[Quartile]]="TopQuartile", 1,
 IF(Table13[[#This Row],[Quartile]]="SecondQuartile", 2,
 IF(Table13[[#This Row],[Quartile]]="ThirdQuartile", 3,
 IF(Table13[[#This Row],[Quartile]]="FourthQuartile", 4, ""))))</f>
        <v>2</v>
      </c>
      <c r="F1479" s="9" t="s">
        <v>385</v>
      </c>
      <c r="G1479" s="9" t="str" cm="1">
        <f t="array" ref="G1479">IFERROR(
  INDEX(Table13[Quartile],
    MATCH(1,
      (Table13[[#This Row],[OrgName]]=Table13[OrgName]) *
      (Table13[[#This Row],[Month Number]]-1=Table13[Month Number]),
    0)
  ),
"")</f>
        <v>ThirdQuartile</v>
      </c>
      <c r="H1479" s="9">
        <f>IF(Table13[[#This Row],[Previous Quartile]]="TopQuartile", 1,
 IF(Table13[[#This Row],[Previous Quartile]]="SecondQuartile", 2,
 IF(Table13[[#This Row],[Previous Quartile]]="ThirdQuartile", 3,
 IF(Table13[[#This Row],[Previous Quartile]]="FourthQuartile", 4, ""))))</f>
        <v>3</v>
      </c>
      <c r="I1479" s="9" t="str">
        <f>IF(Table13[[#This Row],[Previous Quartile Value]]="", "",
   IF(Table13[[#This Row],[Quartile Value]] &lt; Table13[[#This Row],[Previous Quartile Value]], "Improved",
   IF(Table13[[#This Row],[Quartile Value]] &gt; Table13[[#This Row],[Previous Quartile Value]], "Dropped", "Same")))</f>
        <v>Improved</v>
      </c>
      <c r="J1479" s="10" t="s">
        <v>16</v>
      </c>
      <c r="K1479" s="7" t="str">
        <f>VLOOKUP(J1479,Introduction!$B$6:$C$14,2)</f>
        <v>South East</v>
      </c>
      <c r="L1479" s="11">
        <v>470</v>
      </c>
      <c r="M1479" s="12" t="s">
        <v>380</v>
      </c>
    </row>
    <row r="1480" spans="1:13" ht="19.95" customHeight="1" x14ac:dyDescent="0.25">
      <c r="A1480" s="41">
        <v>45323</v>
      </c>
      <c r="B1480" s="47">
        <f>MONTH(Table13[[#This Row],[YearMonth]])</f>
        <v>2</v>
      </c>
      <c r="C1480" s="9" t="s">
        <v>164</v>
      </c>
      <c r="D1480" s="14" t="s">
        <v>341</v>
      </c>
      <c r="E1480" s="14">
        <f>IF(Table13[[#This Row],[Quartile]]="TopQuartile", 1,
 IF(Table13[[#This Row],[Quartile]]="SecondQuartile", 2,
 IF(Table13[[#This Row],[Quartile]]="ThirdQuartile", 3,
 IF(Table13[[#This Row],[Quartile]]="FourthQuartile", 4, ""))))</f>
        <v>3</v>
      </c>
      <c r="F1480" s="9" t="s">
        <v>384</v>
      </c>
      <c r="G1480" s="9" t="str" cm="1">
        <f t="array" ref="G1480">IFERROR(
  INDEX(Table13[Quartile],
    MATCH(1,
      (Table13[[#This Row],[OrgName]]=Table13[OrgName]) *
      (Table13[[#This Row],[Month Number]]-1=Table13[Month Number]),
    0)
  ),
"")</f>
        <v>ThirdQuartile</v>
      </c>
      <c r="H1480" s="9">
        <f>IF(Table13[[#This Row],[Previous Quartile]]="TopQuartile", 1,
 IF(Table13[[#This Row],[Previous Quartile]]="SecondQuartile", 2,
 IF(Table13[[#This Row],[Previous Quartile]]="ThirdQuartile", 3,
 IF(Table13[[#This Row],[Previous Quartile]]="FourthQuartile", 4, ""))))</f>
        <v>3</v>
      </c>
      <c r="I1480" s="9" t="str">
        <f>IF(Table13[[#This Row],[Previous Quartile Value]]="", "",
   IF(Table13[[#This Row],[Quartile Value]] &lt; Table13[[#This Row],[Previous Quartile Value]], "Improved",
   IF(Table13[[#This Row],[Quartile Value]] &gt; Table13[[#This Row],[Previous Quartile Value]], "Dropped", "Same")))</f>
        <v>Same</v>
      </c>
      <c r="J1480" s="10" t="s">
        <v>14</v>
      </c>
      <c r="K1480" s="7" t="str">
        <f>VLOOKUP(J1480,Introduction!$B$6:$C$14,2)</f>
        <v>South West</v>
      </c>
      <c r="L1480" s="11">
        <v>184</v>
      </c>
      <c r="M1480" s="12" t="s">
        <v>380</v>
      </c>
    </row>
    <row r="1481" spans="1:13" ht="19.95" customHeight="1" x14ac:dyDescent="0.25">
      <c r="A1481" s="41">
        <v>45323</v>
      </c>
      <c r="B1481" s="47">
        <f>MONTH(Table13[[#This Row],[YearMonth]])</f>
        <v>2</v>
      </c>
      <c r="C1481" s="9" t="s">
        <v>310</v>
      </c>
      <c r="D1481" s="14" t="s">
        <v>350</v>
      </c>
      <c r="E1481" s="14">
        <f>IF(Table13[[#This Row],[Quartile]]="TopQuartile", 1,
 IF(Table13[[#This Row],[Quartile]]="SecondQuartile", 2,
 IF(Table13[[#This Row],[Quartile]]="ThirdQuartile", 3,
 IF(Table13[[#This Row],[Quartile]]="FourthQuartile", 4, ""))))</f>
        <v>4</v>
      </c>
      <c r="F1481" s="9" t="s">
        <v>386</v>
      </c>
      <c r="G1481" s="9" t="str" cm="1">
        <f t="array" ref="G1481">IFERROR(
  INDEX(Table13[Quartile],
    MATCH(1,
      (Table13[[#This Row],[OrgName]]=Table13[OrgName]) *
      (Table13[[#This Row],[Month Number]]-1=Table13[Month Number]),
    0)
  ),
"")</f>
        <v>FourthQuartile</v>
      </c>
      <c r="H1481" s="9">
        <f>IF(Table13[[#This Row],[Previous Quartile]]="TopQuartile", 1,
 IF(Table13[[#This Row],[Previous Quartile]]="SecondQuartile", 2,
 IF(Table13[[#This Row],[Previous Quartile]]="ThirdQuartile", 3,
 IF(Table13[[#This Row],[Previous Quartile]]="FourthQuartile", 4, ""))))</f>
        <v>4</v>
      </c>
      <c r="I1481" s="9" t="str">
        <f>IF(Table13[[#This Row],[Previous Quartile Value]]="", "",
   IF(Table13[[#This Row],[Quartile Value]] &lt; Table13[[#This Row],[Previous Quartile Value]], "Improved",
   IF(Table13[[#This Row],[Quartile Value]] &gt; Table13[[#This Row],[Previous Quartile Value]], "Dropped", "Same")))</f>
        <v>Same</v>
      </c>
      <c r="J1481" s="10" t="s">
        <v>12</v>
      </c>
      <c r="K1481" s="7" t="str">
        <f>VLOOKUP(J1481,Introduction!$B$6:$C$14,2)</f>
        <v>London</v>
      </c>
      <c r="L1481" s="11">
        <v>220</v>
      </c>
      <c r="M1481" s="12" t="s">
        <v>380</v>
      </c>
    </row>
    <row r="1482" spans="1:13" ht="19.95" customHeight="1" x14ac:dyDescent="0.25">
      <c r="A1482" s="41">
        <v>45323</v>
      </c>
      <c r="B1482" s="47">
        <f>MONTH(Table13[[#This Row],[YearMonth]])</f>
        <v>2</v>
      </c>
      <c r="C1482" s="9" t="s">
        <v>39</v>
      </c>
      <c r="D1482" s="14" t="s">
        <v>330</v>
      </c>
      <c r="E1482" s="14">
        <f>IF(Table13[[#This Row],[Quartile]]="TopQuartile", 1,
 IF(Table13[[#This Row],[Quartile]]="SecondQuartile", 2,
 IF(Table13[[#This Row],[Quartile]]="ThirdQuartile", 3,
 IF(Table13[[#This Row],[Quartile]]="FourthQuartile", 4, ""))))</f>
        <v>1</v>
      </c>
      <c r="F1482" s="9" t="s">
        <v>387</v>
      </c>
      <c r="G1482" s="9" t="str" cm="1">
        <f t="array" ref="G1482">IFERROR(
  INDEX(Table13[Quartile],
    MATCH(1,
      (Table13[[#This Row],[OrgName]]=Table13[OrgName]) *
      (Table13[[#This Row],[Month Number]]-1=Table13[Month Number]),
    0)
  ),
"")</f>
        <v>TopQuartile</v>
      </c>
      <c r="H1482" s="9">
        <f>IF(Table13[[#This Row],[Previous Quartile]]="TopQuartile", 1,
 IF(Table13[[#This Row],[Previous Quartile]]="SecondQuartile", 2,
 IF(Table13[[#This Row],[Previous Quartile]]="ThirdQuartile", 3,
 IF(Table13[[#This Row],[Previous Quartile]]="FourthQuartile", 4, ""))))</f>
        <v>1</v>
      </c>
      <c r="I1482" s="9" t="str">
        <f>IF(Table13[[#This Row],[Previous Quartile Value]]="", "",
   IF(Table13[[#This Row],[Quartile Value]] &lt; Table13[[#This Row],[Previous Quartile Value]], "Improved",
   IF(Table13[[#This Row],[Quartile Value]] &gt; Table13[[#This Row],[Previous Quartile Value]], "Dropped", "Same")))</f>
        <v>Same</v>
      </c>
      <c r="J1482" s="10" t="s">
        <v>24</v>
      </c>
      <c r="K1482" s="7" t="str">
        <f>VLOOKUP(J1482,Introduction!$B$6:$C$14,2)</f>
        <v>North East and Yorkshire</v>
      </c>
      <c r="L1482" s="11">
        <v>163</v>
      </c>
      <c r="M1482" s="12" t="s">
        <v>388</v>
      </c>
    </row>
    <row r="1483" spans="1:13" ht="19.95" customHeight="1" x14ac:dyDescent="0.25">
      <c r="A1483" s="41">
        <v>45323</v>
      </c>
      <c r="B1483" s="47">
        <f>MONTH(Table13[[#This Row],[YearMonth]])</f>
        <v>2</v>
      </c>
      <c r="C1483" s="9" t="s">
        <v>68</v>
      </c>
      <c r="D1483" s="14" t="s">
        <v>330</v>
      </c>
      <c r="E1483" s="14">
        <f>IF(Table13[[#This Row],[Quartile]]="TopQuartile", 1,
 IF(Table13[[#This Row],[Quartile]]="SecondQuartile", 2,
 IF(Table13[[#This Row],[Quartile]]="ThirdQuartile", 3,
 IF(Table13[[#This Row],[Quartile]]="FourthQuartile", 4, ""))))</f>
        <v>1</v>
      </c>
      <c r="F1483" s="9" t="s">
        <v>393</v>
      </c>
      <c r="G1483" s="9" t="str" cm="1">
        <f t="array" ref="G1483">IFERROR(
  INDEX(Table13[Quartile],
    MATCH(1,
      (Table13[[#This Row],[OrgName]]=Table13[OrgName]) *
      (Table13[[#This Row],[Month Number]]-1=Table13[Month Number]),
    0)
  ),
"")</f>
        <v>TopQuartile</v>
      </c>
      <c r="H1483" s="9">
        <f>IF(Table13[[#This Row],[Previous Quartile]]="TopQuartile", 1,
 IF(Table13[[#This Row],[Previous Quartile]]="SecondQuartile", 2,
 IF(Table13[[#This Row],[Previous Quartile]]="ThirdQuartile", 3,
 IF(Table13[[#This Row],[Previous Quartile]]="FourthQuartile", 4, ""))))</f>
        <v>1</v>
      </c>
      <c r="I1483" s="9" t="str">
        <f>IF(Table13[[#This Row],[Previous Quartile Value]]="", "",
   IF(Table13[[#This Row],[Quartile Value]] &lt; Table13[[#This Row],[Previous Quartile Value]], "Improved",
   IF(Table13[[#This Row],[Quartile Value]] &gt; Table13[[#This Row],[Previous Quartile Value]], "Dropped", "Same")))</f>
        <v>Same</v>
      </c>
      <c r="J1483" s="10" t="s">
        <v>24</v>
      </c>
      <c r="K1483" s="7" t="str">
        <f>VLOOKUP(J1483,Introduction!$B$6:$C$14,2)</f>
        <v>North East and Yorkshire</v>
      </c>
      <c r="L1483" s="11">
        <v>165</v>
      </c>
      <c r="M1483" s="12" t="s">
        <v>388</v>
      </c>
    </row>
    <row r="1484" spans="1:13" ht="19.95" customHeight="1" x14ac:dyDescent="0.25">
      <c r="A1484" s="41">
        <v>45323</v>
      </c>
      <c r="B1484" s="47">
        <f>MONTH(Table13[[#This Row],[YearMonth]])</f>
        <v>2</v>
      </c>
      <c r="C1484" s="9" t="s">
        <v>53</v>
      </c>
      <c r="D1484" s="14" t="s">
        <v>330</v>
      </c>
      <c r="E1484" s="14">
        <f>IF(Table13[[#This Row],[Quartile]]="TopQuartile", 1,
 IF(Table13[[#This Row],[Quartile]]="SecondQuartile", 2,
 IF(Table13[[#This Row],[Quartile]]="ThirdQuartile", 3,
 IF(Table13[[#This Row],[Quartile]]="FourthQuartile", 4, ""))))</f>
        <v>1</v>
      </c>
      <c r="F1484" s="9" t="s">
        <v>390</v>
      </c>
      <c r="G1484" s="9" t="str" cm="1">
        <f t="array" ref="G1484">IFERROR(
  INDEX(Table13[Quartile],
    MATCH(1,
      (Table13[[#This Row],[OrgName]]=Table13[OrgName]) *
      (Table13[[#This Row],[Month Number]]-1=Table13[Month Number]),
    0)
  ),
"")</f>
        <v>TopQuartile</v>
      </c>
      <c r="H1484" s="9">
        <f>IF(Table13[[#This Row],[Previous Quartile]]="TopQuartile", 1,
 IF(Table13[[#This Row],[Previous Quartile]]="SecondQuartile", 2,
 IF(Table13[[#This Row],[Previous Quartile]]="ThirdQuartile", 3,
 IF(Table13[[#This Row],[Previous Quartile]]="FourthQuartile", 4, ""))))</f>
        <v>1</v>
      </c>
      <c r="I1484" s="9" t="str">
        <f>IF(Table13[[#This Row],[Previous Quartile Value]]="", "",
   IF(Table13[[#This Row],[Quartile Value]] &lt; Table13[[#This Row],[Previous Quartile Value]], "Improved",
   IF(Table13[[#This Row],[Quartile Value]] &gt; Table13[[#This Row],[Previous Quartile Value]], "Dropped", "Same")))</f>
        <v>Same</v>
      </c>
      <c r="J1484" s="10" t="s">
        <v>22</v>
      </c>
      <c r="K1484" s="7" t="str">
        <f>VLOOKUP(J1484,Introduction!$B$6:$C$14,2)</f>
        <v>North West</v>
      </c>
      <c r="L1484" s="11">
        <v>209</v>
      </c>
      <c r="M1484" s="12" t="s">
        <v>388</v>
      </c>
    </row>
    <row r="1485" spans="1:13" ht="19.95" customHeight="1" x14ac:dyDescent="0.25">
      <c r="A1485" s="41">
        <v>45323</v>
      </c>
      <c r="B1485" s="47">
        <f>MONTH(Table13[[#This Row],[YearMonth]])</f>
        <v>2</v>
      </c>
      <c r="C1485" s="9" t="s">
        <v>43</v>
      </c>
      <c r="D1485" s="14" t="s">
        <v>330</v>
      </c>
      <c r="E1485" s="14">
        <f>IF(Table13[[#This Row],[Quartile]]="TopQuartile", 1,
 IF(Table13[[#This Row],[Quartile]]="SecondQuartile", 2,
 IF(Table13[[#This Row],[Quartile]]="ThirdQuartile", 3,
 IF(Table13[[#This Row],[Quartile]]="FourthQuartile", 4, ""))))</f>
        <v>1</v>
      </c>
      <c r="F1485" s="9" t="s">
        <v>389</v>
      </c>
      <c r="G1485" s="9" t="str" cm="1">
        <f t="array" ref="G1485">IFERROR(
  INDEX(Table13[Quartile],
    MATCH(1,
      (Table13[[#This Row],[OrgName]]=Table13[OrgName]) *
      (Table13[[#This Row],[Month Number]]-1=Table13[Month Number]),
    0)
  ),
"")</f>
        <v>TopQuartile</v>
      </c>
      <c r="H1485" s="9">
        <f>IF(Table13[[#This Row],[Previous Quartile]]="TopQuartile", 1,
 IF(Table13[[#This Row],[Previous Quartile]]="SecondQuartile", 2,
 IF(Table13[[#This Row],[Previous Quartile]]="ThirdQuartile", 3,
 IF(Table13[[#This Row],[Previous Quartile]]="FourthQuartile", 4, ""))))</f>
        <v>1</v>
      </c>
      <c r="I1485" s="9" t="str">
        <f>IF(Table13[[#This Row],[Previous Quartile Value]]="", "",
   IF(Table13[[#This Row],[Quartile Value]] &lt; Table13[[#This Row],[Previous Quartile Value]], "Improved",
   IF(Table13[[#This Row],[Quartile Value]] &gt; Table13[[#This Row],[Previous Quartile Value]], "Dropped", "Same")))</f>
        <v>Same</v>
      </c>
      <c r="J1485" s="10" t="s">
        <v>24</v>
      </c>
      <c r="K1485" s="7" t="str">
        <f>VLOOKUP(J1485,Introduction!$B$6:$C$14,2)</f>
        <v>North East and Yorkshire</v>
      </c>
      <c r="L1485" s="11">
        <v>423</v>
      </c>
      <c r="M1485" s="12" t="s">
        <v>388</v>
      </c>
    </row>
    <row r="1486" spans="1:13" ht="19.95" customHeight="1" x14ac:dyDescent="0.25">
      <c r="A1486" s="41">
        <v>45323</v>
      </c>
      <c r="B1486" s="47">
        <f>MONTH(Table13[[#This Row],[YearMonth]])</f>
        <v>2</v>
      </c>
      <c r="C1486" s="9" t="s">
        <v>61</v>
      </c>
      <c r="D1486" s="14" t="s">
        <v>330</v>
      </c>
      <c r="E1486" s="14">
        <f>IF(Table13[[#This Row],[Quartile]]="TopQuartile", 1,
 IF(Table13[[#This Row],[Quartile]]="SecondQuartile", 2,
 IF(Table13[[#This Row],[Quartile]]="ThirdQuartile", 3,
 IF(Table13[[#This Row],[Quartile]]="FourthQuartile", 4, ""))))</f>
        <v>1</v>
      </c>
      <c r="F1486" s="9" t="s">
        <v>392</v>
      </c>
      <c r="G1486" s="9" t="str" cm="1">
        <f t="array" ref="G1486">IFERROR(
  INDEX(Table13[Quartile],
    MATCH(1,
      (Table13[[#This Row],[OrgName]]=Table13[OrgName]) *
      (Table13[[#This Row],[Month Number]]-1=Table13[Month Number]),
    0)
  ),
"")</f>
        <v>TopQuartile</v>
      </c>
      <c r="H1486" s="9">
        <f>IF(Table13[[#This Row],[Previous Quartile]]="TopQuartile", 1,
 IF(Table13[[#This Row],[Previous Quartile]]="SecondQuartile", 2,
 IF(Table13[[#This Row],[Previous Quartile]]="ThirdQuartile", 3,
 IF(Table13[[#This Row],[Previous Quartile]]="FourthQuartile", 4, ""))))</f>
        <v>1</v>
      </c>
      <c r="I1486" s="9" t="str">
        <f>IF(Table13[[#This Row],[Previous Quartile Value]]="", "",
   IF(Table13[[#This Row],[Quartile Value]] &lt; Table13[[#This Row],[Previous Quartile Value]], "Improved",
   IF(Table13[[#This Row],[Quartile Value]] &gt; Table13[[#This Row],[Previous Quartile Value]], "Dropped", "Same")))</f>
        <v>Same</v>
      </c>
      <c r="J1486" s="10" t="s">
        <v>20</v>
      </c>
      <c r="K1486" s="7" t="str">
        <f>VLOOKUP(J1486,Introduction!$B$6:$C$14,2)</f>
        <v>East of England</v>
      </c>
      <c r="L1486" s="11">
        <v>426</v>
      </c>
      <c r="M1486" s="12" t="s">
        <v>388</v>
      </c>
    </row>
    <row r="1487" spans="1:13" ht="19.95" customHeight="1" x14ac:dyDescent="0.25">
      <c r="A1487" s="41">
        <v>45323</v>
      </c>
      <c r="B1487" s="47">
        <f>MONTH(Table13[[#This Row],[YearMonth]])</f>
        <v>2</v>
      </c>
      <c r="C1487" s="9" t="s">
        <v>60</v>
      </c>
      <c r="D1487" s="14" t="s">
        <v>330</v>
      </c>
      <c r="E1487" s="14">
        <f>IF(Table13[[#This Row],[Quartile]]="TopQuartile", 1,
 IF(Table13[[#This Row],[Quartile]]="SecondQuartile", 2,
 IF(Table13[[#This Row],[Quartile]]="ThirdQuartile", 3,
 IF(Table13[[#This Row],[Quartile]]="FourthQuartile", 4, ""))))</f>
        <v>1</v>
      </c>
      <c r="F1487" s="9" t="s">
        <v>391</v>
      </c>
      <c r="G1487" s="9" t="str" cm="1">
        <f t="array" ref="G1487">IFERROR(
  INDEX(Table13[Quartile],
    MATCH(1,
      (Table13[[#This Row],[OrgName]]=Table13[OrgName]) *
      (Table13[[#This Row],[Month Number]]-1=Table13[Month Number]),
    0)
  ),
"")</f>
        <v>TopQuartile</v>
      </c>
      <c r="H1487" s="9">
        <f>IF(Table13[[#This Row],[Previous Quartile]]="TopQuartile", 1,
 IF(Table13[[#This Row],[Previous Quartile]]="SecondQuartile", 2,
 IF(Table13[[#This Row],[Previous Quartile]]="ThirdQuartile", 3,
 IF(Table13[[#This Row],[Previous Quartile]]="FourthQuartile", 4, ""))))</f>
        <v>1</v>
      </c>
      <c r="I1487" s="9" t="str">
        <f>IF(Table13[[#This Row],[Previous Quartile Value]]="", "",
   IF(Table13[[#This Row],[Quartile Value]] &lt; Table13[[#This Row],[Previous Quartile Value]], "Improved",
   IF(Table13[[#This Row],[Quartile Value]] &gt; Table13[[#This Row],[Previous Quartile Value]], "Dropped", "Same")))</f>
        <v>Same</v>
      </c>
      <c r="J1487" s="10" t="s">
        <v>18</v>
      </c>
      <c r="K1487" s="7" t="str">
        <f>VLOOKUP(J1487,Introduction!$B$6:$C$14,2)</f>
        <v>Midlands</v>
      </c>
      <c r="L1487" s="11">
        <v>166</v>
      </c>
      <c r="M1487" s="12" t="s">
        <v>388</v>
      </c>
    </row>
    <row r="1488" spans="1:13" ht="19.95" customHeight="1" x14ac:dyDescent="0.25">
      <c r="A1488" s="41">
        <v>45323</v>
      </c>
      <c r="B1488" s="47">
        <f>MONTH(Table13[[#This Row],[YearMonth]])</f>
        <v>2</v>
      </c>
      <c r="C1488" s="9" t="s">
        <v>75</v>
      </c>
      <c r="D1488" s="14" t="s">
        <v>330</v>
      </c>
      <c r="E1488" s="14">
        <f>IF(Table13[[#This Row],[Quartile]]="TopQuartile", 1,
 IF(Table13[[#This Row],[Quartile]]="SecondQuartile", 2,
 IF(Table13[[#This Row],[Quartile]]="ThirdQuartile", 3,
 IF(Table13[[#This Row],[Quartile]]="FourthQuartile", 4, ""))))</f>
        <v>1</v>
      </c>
      <c r="F1488" s="9" t="s">
        <v>394</v>
      </c>
      <c r="G1488" s="9" t="str" cm="1">
        <f t="array" ref="G1488">IFERROR(
  INDEX(Table13[Quartile],
    MATCH(1,
      (Table13[[#This Row],[OrgName]]=Table13[OrgName]) *
      (Table13[[#This Row],[Month Number]]-1=Table13[Month Number]),
    0)
  ),
"")</f>
        <v>TopQuartile</v>
      </c>
      <c r="H1488" s="9">
        <f>IF(Table13[[#This Row],[Previous Quartile]]="TopQuartile", 1,
 IF(Table13[[#This Row],[Previous Quartile]]="SecondQuartile", 2,
 IF(Table13[[#This Row],[Previous Quartile]]="ThirdQuartile", 3,
 IF(Table13[[#This Row],[Previous Quartile]]="FourthQuartile", 4, ""))))</f>
        <v>1</v>
      </c>
      <c r="I1488" s="9" t="str">
        <f>IF(Table13[[#This Row],[Previous Quartile Value]]="", "",
   IF(Table13[[#This Row],[Quartile Value]] &lt; Table13[[#This Row],[Previous Quartile Value]], "Improved",
   IF(Table13[[#This Row],[Quartile Value]] &gt; Table13[[#This Row],[Previous Quartile Value]], "Dropped", "Same")))</f>
        <v>Same</v>
      </c>
      <c r="J1488" s="10" t="s">
        <v>16</v>
      </c>
      <c r="K1488" s="7" t="str">
        <f>VLOOKUP(J1488,Introduction!$B$6:$C$14,2)</f>
        <v>South East</v>
      </c>
      <c r="L1488" s="11">
        <v>252</v>
      </c>
      <c r="M1488" s="12" t="s">
        <v>388</v>
      </c>
    </row>
    <row r="1489" spans="1:13" ht="19.95" customHeight="1" x14ac:dyDescent="0.25">
      <c r="A1489" s="41">
        <v>45323</v>
      </c>
      <c r="B1489" s="47">
        <f>MONTH(Table13[[#This Row],[YearMonth]])</f>
        <v>2</v>
      </c>
      <c r="C1489" s="9" t="s">
        <v>127</v>
      </c>
      <c r="D1489" s="14" t="s">
        <v>330</v>
      </c>
      <c r="E1489" s="14">
        <f>IF(Table13[[#This Row],[Quartile]]="TopQuartile", 1,
 IF(Table13[[#This Row],[Quartile]]="SecondQuartile", 2,
 IF(Table13[[#This Row],[Quartile]]="ThirdQuartile", 3,
 IF(Table13[[#This Row],[Quartile]]="FourthQuartile", 4, ""))))</f>
        <v>1</v>
      </c>
      <c r="F1489" s="9" t="s">
        <v>396</v>
      </c>
      <c r="G1489" s="9" t="str" cm="1">
        <f t="array" ref="G1489">IFERROR(
  INDEX(Table13[Quartile],
    MATCH(1,
      (Table13[[#This Row],[OrgName]]=Table13[OrgName]) *
      (Table13[[#This Row],[Month Number]]-1=Table13[Month Number]),
    0)
  ),
"")</f>
        <v>TopQuartile</v>
      </c>
      <c r="H1489" s="9">
        <f>IF(Table13[[#This Row],[Previous Quartile]]="TopQuartile", 1,
 IF(Table13[[#This Row],[Previous Quartile]]="SecondQuartile", 2,
 IF(Table13[[#This Row],[Previous Quartile]]="ThirdQuartile", 3,
 IF(Table13[[#This Row],[Previous Quartile]]="FourthQuartile", 4, ""))))</f>
        <v>1</v>
      </c>
      <c r="I1489" s="9" t="str">
        <f>IF(Table13[[#This Row],[Previous Quartile Value]]="", "",
   IF(Table13[[#This Row],[Quartile Value]] &lt; Table13[[#This Row],[Previous Quartile Value]], "Improved",
   IF(Table13[[#This Row],[Quartile Value]] &gt; Table13[[#This Row],[Previous Quartile Value]], "Dropped", "Same")))</f>
        <v>Same</v>
      </c>
      <c r="J1489" s="10" t="s">
        <v>22</v>
      </c>
      <c r="K1489" s="7" t="str">
        <f>VLOOKUP(J1489,Introduction!$B$6:$C$14,2)</f>
        <v>North West</v>
      </c>
      <c r="L1489" s="11">
        <v>210</v>
      </c>
      <c r="M1489" s="12" t="s">
        <v>388</v>
      </c>
    </row>
    <row r="1490" spans="1:13" ht="19.95" customHeight="1" x14ac:dyDescent="0.25">
      <c r="A1490" s="41">
        <v>45323</v>
      </c>
      <c r="B1490" s="47">
        <f>MONTH(Table13[[#This Row],[YearMonth]])</f>
        <v>2</v>
      </c>
      <c r="C1490" s="9" t="s">
        <v>135</v>
      </c>
      <c r="D1490" s="14" t="s">
        <v>338</v>
      </c>
      <c r="E1490" s="14">
        <f>IF(Table13[[#This Row],[Quartile]]="TopQuartile", 1,
 IF(Table13[[#This Row],[Quartile]]="SecondQuartile", 2,
 IF(Table13[[#This Row],[Quartile]]="ThirdQuartile", 3,
 IF(Table13[[#This Row],[Quartile]]="FourthQuartile", 4, ""))))</f>
        <v>2</v>
      </c>
      <c r="F1490" s="9" t="s">
        <v>397</v>
      </c>
      <c r="G1490" s="9" t="str" cm="1">
        <f t="array" ref="G1490">IFERROR(
  INDEX(Table13[Quartile],
    MATCH(1,
      (Table13[[#This Row],[OrgName]]=Table13[OrgName]) *
      (Table13[[#This Row],[Month Number]]-1=Table13[Month Number]),
    0)
  ),
"")</f>
        <v>SecondQuartile</v>
      </c>
      <c r="H1490" s="9">
        <f>IF(Table13[[#This Row],[Previous Quartile]]="TopQuartile", 1,
 IF(Table13[[#This Row],[Previous Quartile]]="SecondQuartile", 2,
 IF(Table13[[#This Row],[Previous Quartile]]="ThirdQuartile", 3,
 IF(Table13[[#This Row],[Previous Quartile]]="FourthQuartile", 4, ""))))</f>
        <v>2</v>
      </c>
      <c r="I1490" s="9" t="str">
        <f>IF(Table13[[#This Row],[Previous Quartile Value]]="", "",
   IF(Table13[[#This Row],[Quartile Value]] &lt; Table13[[#This Row],[Previous Quartile Value]], "Improved",
   IF(Table13[[#This Row],[Quartile Value]] &gt; Table13[[#This Row],[Previous Quartile Value]], "Dropped", "Same")))</f>
        <v>Same</v>
      </c>
      <c r="J1490" s="10" t="s">
        <v>18</v>
      </c>
      <c r="K1490" s="7" t="str">
        <f>VLOOKUP(J1490,Introduction!$B$6:$C$14,2)</f>
        <v>Midlands</v>
      </c>
      <c r="L1490" s="11">
        <v>264</v>
      </c>
      <c r="M1490" s="12" t="s">
        <v>388</v>
      </c>
    </row>
    <row r="1491" spans="1:13" ht="19.95" customHeight="1" x14ac:dyDescent="0.25">
      <c r="A1491" s="41">
        <v>45323</v>
      </c>
      <c r="B1491" s="47">
        <f>MONTH(Table13[[#This Row],[YearMonth]])</f>
        <v>2</v>
      </c>
      <c r="C1491" s="9" t="s">
        <v>122</v>
      </c>
      <c r="D1491" s="14" t="s">
        <v>338</v>
      </c>
      <c r="E1491" s="14">
        <f>IF(Table13[[#This Row],[Quartile]]="TopQuartile", 1,
 IF(Table13[[#This Row],[Quartile]]="SecondQuartile", 2,
 IF(Table13[[#This Row],[Quartile]]="ThirdQuartile", 3,
 IF(Table13[[#This Row],[Quartile]]="FourthQuartile", 4, ""))))</f>
        <v>2</v>
      </c>
      <c r="F1491" s="9" t="s">
        <v>395</v>
      </c>
      <c r="G1491" s="9" t="str" cm="1">
        <f t="array" ref="G1491">IFERROR(
  INDEX(Table13[Quartile],
    MATCH(1,
      (Table13[[#This Row],[OrgName]]=Table13[OrgName]) *
      (Table13[[#This Row],[Month Number]]-1=Table13[Month Number]),
    0)
  ),
"")</f>
        <v>SecondQuartile</v>
      </c>
      <c r="H1491" s="9">
        <f>IF(Table13[[#This Row],[Previous Quartile]]="TopQuartile", 1,
 IF(Table13[[#This Row],[Previous Quartile]]="SecondQuartile", 2,
 IF(Table13[[#This Row],[Previous Quartile]]="ThirdQuartile", 3,
 IF(Table13[[#This Row],[Previous Quartile]]="FourthQuartile", 4, ""))))</f>
        <v>2</v>
      </c>
      <c r="I1491" s="9" t="str">
        <f>IF(Table13[[#This Row],[Previous Quartile Value]]="", "",
   IF(Table13[[#This Row],[Quartile Value]] &lt; Table13[[#This Row],[Previous Quartile Value]], "Improved",
   IF(Table13[[#This Row],[Quartile Value]] &gt; Table13[[#This Row],[Previous Quartile Value]], "Dropped", "Same")))</f>
        <v>Same</v>
      </c>
      <c r="J1491" s="10" t="s">
        <v>24</v>
      </c>
      <c r="K1491" s="7" t="str">
        <f>VLOOKUP(J1491,Introduction!$B$6:$C$14,2)</f>
        <v>North East and Yorkshire</v>
      </c>
      <c r="L1491" s="11">
        <v>421</v>
      </c>
      <c r="M1491" s="12" t="s">
        <v>388</v>
      </c>
    </row>
    <row r="1492" spans="1:13" ht="19.95" customHeight="1" x14ac:dyDescent="0.25">
      <c r="A1492" s="41">
        <v>45323</v>
      </c>
      <c r="B1492" s="47">
        <f>MONTH(Table13[[#This Row],[YearMonth]])</f>
        <v>2</v>
      </c>
      <c r="C1492" s="9" t="s">
        <v>232</v>
      </c>
      <c r="D1492" s="14" t="s">
        <v>341</v>
      </c>
      <c r="E1492" s="14">
        <f>IF(Table13[[#This Row],[Quartile]]="TopQuartile", 1,
 IF(Table13[[#This Row],[Quartile]]="SecondQuartile", 2,
 IF(Table13[[#This Row],[Quartile]]="ThirdQuartile", 3,
 IF(Table13[[#This Row],[Quartile]]="FourthQuartile", 4, ""))))</f>
        <v>3</v>
      </c>
      <c r="F1492" s="9" t="s">
        <v>402</v>
      </c>
      <c r="G1492" s="9" t="str" cm="1">
        <f t="array" ref="G1492">IFERROR(
  INDEX(Table13[Quartile],
    MATCH(1,
      (Table13[[#This Row],[OrgName]]=Table13[OrgName]) *
      (Table13[[#This Row],[Month Number]]-1=Table13[Month Number]),
    0)
  ),
"")</f>
        <v>ThirdQuartile</v>
      </c>
      <c r="H1492" s="9">
        <f>IF(Table13[[#This Row],[Previous Quartile]]="TopQuartile", 1,
 IF(Table13[[#This Row],[Previous Quartile]]="SecondQuartile", 2,
 IF(Table13[[#This Row],[Previous Quartile]]="ThirdQuartile", 3,
 IF(Table13[[#This Row],[Previous Quartile]]="FourthQuartile", 4, ""))))</f>
        <v>3</v>
      </c>
      <c r="I1492" s="9" t="str">
        <f>IF(Table13[[#This Row],[Previous Quartile Value]]="", "",
   IF(Table13[[#This Row],[Quartile Value]] &lt; Table13[[#This Row],[Previous Quartile Value]], "Improved",
   IF(Table13[[#This Row],[Quartile Value]] &gt; Table13[[#This Row],[Previous Quartile Value]], "Dropped", "Same")))</f>
        <v>Same</v>
      </c>
      <c r="J1492" s="10" t="s">
        <v>12</v>
      </c>
      <c r="K1492" s="7" t="str">
        <f>VLOOKUP(J1492,Introduction!$B$6:$C$14,2)</f>
        <v>London</v>
      </c>
      <c r="L1492" s="11">
        <v>394</v>
      </c>
      <c r="M1492" s="12" t="s">
        <v>388</v>
      </c>
    </row>
    <row r="1493" spans="1:13" ht="19.95" customHeight="1" x14ac:dyDescent="0.25">
      <c r="A1493" s="41">
        <v>45323</v>
      </c>
      <c r="B1493" s="47">
        <f>MONTH(Table13[[#This Row],[YearMonth]])</f>
        <v>2</v>
      </c>
      <c r="C1493" s="9" t="s">
        <v>226</v>
      </c>
      <c r="D1493" s="14" t="s">
        <v>341</v>
      </c>
      <c r="E1493" s="14">
        <f>IF(Table13[[#This Row],[Quartile]]="TopQuartile", 1,
 IF(Table13[[#This Row],[Quartile]]="SecondQuartile", 2,
 IF(Table13[[#This Row],[Quartile]]="ThirdQuartile", 3,
 IF(Table13[[#This Row],[Quartile]]="FourthQuartile", 4, ""))))</f>
        <v>3</v>
      </c>
      <c r="F1493" s="9" t="s">
        <v>401</v>
      </c>
      <c r="G1493" s="9" t="str" cm="1">
        <f t="array" ref="G1493">IFERROR(
  INDEX(Table13[Quartile],
    MATCH(1,
      (Table13[[#This Row],[OrgName]]=Table13[OrgName]) *
      (Table13[[#This Row],[Month Number]]-1=Table13[Month Number]),
    0)
  ),
"")</f>
        <v>ThirdQuartile</v>
      </c>
      <c r="H1493" s="9">
        <f>IF(Table13[[#This Row],[Previous Quartile]]="TopQuartile", 1,
 IF(Table13[[#This Row],[Previous Quartile]]="SecondQuartile", 2,
 IF(Table13[[#This Row],[Previous Quartile]]="ThirdQuartile", 3,
 IF(Table13[[#This Row],[Previous Quartile]]="FourthQuartile", 4, ""))))</f>
        <v>3</v>
      </c>
      <c r="I1493" s="9" t="str">
        <f>IF(Table13[[#This Row],[Previous Quartile Value]]="", "",
   IF(Table13[[#This Row],[Quartile Value]] &lt; Table13[[#This Row],[Previous Quartile Value]], "Improved",
   IF(Table13[[#This Row],[Quartile Value]] &gt; Table13[[#This Row],[Previous Quartile Value]], "Dropped", "Same")))</f>
        <v>Same</v>
      </c>
      <c r="J1493" s="10" t="s">
        <v>22</v>
      </c>
      <c r="K1493" s="7" t="str">
        <f>VLOOKUP(J1493,Introduction!$B$6:$C$14,2)</f>
        <v>North West</v>
      </c>
      <c r="L1493" s="11">
        <v>245</v>
      </c>
      <c r="M1493" s="12" t="s">
        <v>388</v>
      </c>
    </row>
    <row r="1494" spans="1:13" ht="19.95" customHeight="1" x14ac:dyDescent="0.25">
      <c r="A1494" s="41">
        <v>45323</v>
      </c>
      <c r="B1494" s="47">
        <f>MONTH(Table13[[#This Row],[YearMonth]])</f>
        <v>2</v>
      </c>
      <c r="C1494" s="9" t="s">
        <v>217</v>
      </c>
      <c r="D1494" s="14" t="s">
        <v>341</v>
      </c>
      <c r="E1494" s="14">
        <f>IF(Table13[[#This Row],[Quartile]]="TopQuartile", 1,
 IF(Table13[[#This Row],[Quartile]]="SecondQuartile", 2,
 IF(Table13[[#This Row],[Quartile]]="ThirdQuartile", 3,
 IF(Table13[[#This Row],[Quartile]]="FourthQuartile", 4, ""))))</f>
        <v>3</v>
      </c>
      <c r="F1494" s="9" t="s">
        <v>399</v>
      </c>
      <c r="G1494" s="9" t="str" cm="1">
        <f t="array" ref="G1494">IFERROR(
  INDEX(Table13[Quartile],
    MATCH(1,
      (Table13[[#This Row],[OrgName]]=Table13[OrgName]) *
      (Table13[[#This Row],[Month Number]]-1=Table13[Month Number]),
    0)
  ),
"")</f>
        <v>ThirdQuartile</v>
      </c>
      <c r="H1494" s="9">
        <f>IF(Table13[[#This Row],[Previous Quartile]]="TopQuartile", 1,
 IF(Table13[[#This Row],[Previous Quartile]]="SecondQuartile", 2,
 IF(Table13[[#This Row],[Previous Quartile]]="ThirdQuartile", 3,
 IF(Table13[[#This Row],[Previous Quartile]]="FourthQuartile", 4, ""))))</f>
        <v>3</v>
      </c>
      <c r="I1494" s="9" t="str">
        <f>IF(Table13[[#This Row],[Previous Quartile Value]]="", "",
   IF(Table13[[#This Row],[Quartile Value]] &lt; Table13[[#This Row],[Previous Quartile Value]], "Improved",
   IF(Table13[[#This Row],[Quartile Value]] &gt; Table13[[#This Row],[Previous Quartile Value]], "Dropped", "Same")))</f>
        <v>Same</v>
      </c>
      <c r="J1494" s="10" t="s">
        <v>14</v>
      </c>
      <c r="K1494" s="7" t="str">
        <f>VLOOKUP(J1494,Introduction!$B$6:$C$14,2)</f>
        <v>South West</v>
      </c>
      <c r="L1494" s="11">
        <v>269</v>
      </c>
      <c r="M1494" s="12" t="s">
        <v>388</v>
      </c>
    </row>
    <row r="1495" spans="1:13" ht="19.95" customHeight="1" x14ac:dyDescent="0.25">
      <c r="A1495" s="41">
        <v>45323</v>
      </c>
      <c r="B1495" s="47">
        <f>MONTH(Table13[[#This Row],[YearMonth]])</f>
        <v>2</v>
      </c>
      <c r="C1495" s="9" t="s">
        <v>209</v>
      </c>
      <c r="D1495" s="14" t="s">
        <v>341</v>
      </c>
      <c r="E1495" s="14">
        <f>IF(Table13[[#This Row],[Quartile]]="TopQuartile", 1,
 IF(Table13[[#This Row],[Quartile]]="SecondQuartile", 2,
 IF(Table13[[#This Row],[Quartile]]="ThirdQuartile", 3,
 IF(Table13[[#This Row],[Quartile]]="FourthQuartile", 4, ""))))</f>
        <v>3</v>
      </c>
      <c r="F1495" s="9" t="s">
        <v>398</v>
      </c>
      <c r="G1495" s="9" t="str" cm="1">
        <f t="array" ref="G1495">IFERROR(
  INDEX(Table13[Quartile],
    MATCH(1,
      (Table13[[#This Row],[OrgName]]=Table13[OrgName]) *
      (Table13[[#This Row],[Month Number]]-1=Table13[Month Number]),
    0)
  ),
"")</f>
        <v>ThirdQuartile</v>
      </c>
      <c r="H1495" s="9">
        <f>IF(Table13[[#This Row],[Previous Quartile]]="TopQuartile", 1,
 IF(Table13[[#This Row],[Previous Quartile]]="SecondQuartile", 2,
 IF(Table13[[#This Row],[Previous Quartile]]="ThirdQuartile", 3,
 IF(Table13[[#This Row],[Previous Quartile]]="FourthQuartile", 4, ""))))</f>
        <v>3</v>
      </c>
      <c r="I1495" s="9" t="str">
        <f>IF(Table13[[#This Row],[Previous Quartile Value]]="", "",
   IF(Table13[[#This Row],[Quartile Value]] &lt; Table13[[#This Row],[Previous Quartile Value]], "Improved",
   IF(Table13[[#This Row],[Quartile Value]] &gt; Table13[[#This Row],[Previous Quartile Value]], "Dropped", "Same")))</f>
        <v>Same</v>
      </c>
      <c r="J1495" s="10" t="s">
        <v>22</v>
      </c>
      <c r="K1495" s="7" t="str">
        <f>VLOOKUP(J1495,Introduction!$B$6:$C$14,2)</f>
        <v>North West</v>
      </c>
      <c r="L1495" s="11">
        <v>412</v>
      </c>
      <c r="M1495" s="12" t="s">
        <v>388</v>
      </c>
    </row>
    <row r="1496" spans="1:13" ht="19.95" customHeight="1" x14ac:dyDescent="0.25">
      <c r="A1496" s="41">
        <v>45323</v>
      </c>
      <c r="B1496" s="47">
        <f>MONTH(Table13[[#This Row],[YearMonth]])</f>
        <v>2</v>
      </c>
      <c r="C1496" s="9" t="s">
        <v>245</v>
      </c>
      <c r="D1496" s="14" t="s">
        <v>341</v>
      </c>
      <c r="E1496" s="14">
        <f>IF(Table13[[#This Row],[Quartile]]="TopQuartile", 1,
 IF(Table13[[#This Row],[Quartile]]="SecondQuartile", 2,
 IF(Table13[[#This Row],[Quartile]]="ThirdQuartile", 3,
 IF(Table13[[#This Row],[Quartile]]="FourthQuartile", 4, ""))))</f>
        <v>3</v>
      </c>
      <c r="F1496" s="9" t="s">
        <v>403</v>
      </c>
      <c r="G1496" s="9" t="str" cm="1">
        <f t="array" ref="G1496">IFERROR(
  INDEX(Table13[Quartile],
    MATCH(1,
      (Table13[[#This Row],[OrgName]]=Table13[OrgName]) *
      (Table13[[#This Row],[Month Number]]-1=Table13[Month Number]),
    0)
  ),
"")</f>
        <v>ThirdQuartile</v>
      </c>
      <c r="H1496" s="9">
        <f>IF(Table13[[#This Row],[Previous Quartile]]="TopQuartile", 1,
 IF(Table13[[#This Row],[Previous Quartile]]="SecondQuartile", 2,
 IF(Table13[[#This Row],[Previous Quartile]]="ThirdQuartile", 3,
 IF(Table13[[#This Row],[Previous Quartile]]="FourthQuartile", 4, ""))))</f>
        <v>3</v>
      </c>
      <c r="I1496" s="9" t="str">
        <f>IF(Table13[[#This Row],[Previous Quartile Value]]="", "",
   IF(Table13[[#This Row],[Quartile Value]] &lt; Table13[[#This Row],[Previous Quartile Value]], "Improved",
   IF(Table13[[#This Row],[Quartile Value]] &gt; Table13[[#This Row],[Previous Quartile Value]], "Dropped", "Same")))</f>
        <v>Same</v>
      </c>
      <c r="J1496" s="10" t="s">
        <v>18</v>
      </c>
      <c r="K1496" s="7" t="str">
        <f>VLOOKUP(J1496,Introduction!$B$6:$C$14,2)</f>
        <v>Midlands</v>
      </c>
      <c r="L1496" s="11">
        <v>230</v>
      </c>
      <c r="M1496" s="12" t="s">
        <v>388</v>
      </c>
    </row>
    <row r="1497" spans="1:13" ht="19.95" customHeight="1" x14ac:dyDescent="0.25">
      <c r="A1497" s="41">
        <v>45323</v>
      </c>
      <c r="B1497" s="47">
        <f>MONTH(Table13[[#This Row],[YearMonth]])</f>
        <v>2</v>
      </c>
      <c r="C1497" s="9" t="s">
        <v>224</v>
      </c>
      <c r="D1497" s="14" t="s">
        <v>341</v>
      </c>
      <c r="E1497" s="14">
        <f>IF(Table13[[#This Row],[Quartile]]="TopQuartile", 1,
 IF(Table13[[#This Row],[Quartile]]="SecondQuartile", 2,
 IF(Table13[[#This Row],[Quartile]]="ThirdQuartile", 3,
 IF(Table13[[#This Row],[Quartile]]="FourthQuartile", 4, ""))))</f>
        <v>3</v>
      </c>
      <c r="F1497" s="9" t="s">
        <v>400</v>
      </c>
      <c r="G1497" s="9" t="str" cm="1">
        <f t="array" ref="G1497">IFERROR(
  INDEX(Table13[Quartile],
    MATCH(1,
      (Table13[[#This Row],[OrgName]]=Table13[OrgName]) *
      (Table13[[#This Row],[Month Number]]-1=Table13[Month Number]),
    0)
  ),
"")</f>
        <v>ThirdQuartile</v>
      </c>
      <c r="H1497" s="9">
        <f>IF(Table13[[#This Row],[Previous Quartile]]="TopQuartile", 1,
 IF(Table13[[#This Row],[Previous Quartile]]="SecondQuartile", 2,
 IF(Table13[[#This Row],[Previous Quartile]]="ThirdQuartile", 3,
 IF(Table13[[#This Row],[Previous Quartile]]="FourthQuartile", 4, ""))))</f>
        <v>3</v>
      </c>
      <c r="I1497" s="9" t="str">
        <f>IF(Table13[[#This Row],[Previous Quartile Value]]="", "",
   IF(Table13[[#This Row],[Quartile Value]] &lt; Table13[[#This Row],[Previous Quartile Value]], "Improved",
   IF(Table13[[#This Row],[Quartile Value]] &gt; Table13[[#This Row],[Previous Quartile Value]], "Dropped", "Same")))</f>
        <v>Same</v>
      </c>
      <c r="J1497" s="10" t="s">
        <v>18</v>
      </c>
      <c r="K1497" s="7" t="str">
        <f>VLOOKUP(J1497,Introduction!$B$6:$C$14,2)</f>
        <v>Midlands</v>
      </c>
      <c r="L1497" s="11">
        <v>407</v>
      </c>
      <c r="M1497" s="12" t="s">
        <v>388</v>
      </c>
    </row>
    <row r="1498" spans="1:13" ht="19.95" customHeight="1" x14ac:dyDescent="0.25">
      <c r="A1498" s="41">
        <v>45323</v>
      </c>
      <c r="B1498" s="47">
        <f>MONTH(Table13[[#This Row],[YearMonth]])</f>
        <v>2</v>
      </c>
      <c r="C1498" s="9" t="s">
        <v>249</v>
      </c>
      <c r="D1498" s="14" t="s">
        <v>341</v>
      </c>
      <c r="E1498" s="14">
        <f>IF(Table13[[#This Row],[Quartile]]="TopQuartile", 1,
 IF(Table13[[#This Row],[Quartile]]="SecondQuartile", 2,
 IF(Table13[[#This Row],[Quartile]]="ThirdQuartile", 3,
 IF(Table13[[#This Row],[Quartile]]="FourthQuartile", 4, ""))))</f>
        <v>3</v>
      </c>
      <c r="F1498" s="9" t="s">
        <v>404</v>
      </c>
      <c r="G1498" s="9" t="str" cm="1">
        <f t="array" ref="G1498">IFERROR(
  INDEX(Table13[Quartile],
    MATCH(1,
      (Table13[[#This Row],[OrgName]]=Table13[OrgName]) *
      (Table13[[#This Row],[Month Number]]-1=Table13[Month Number]),
    0)
  ),
"")</f>
        <v>FourthQuartile</v>
      </c>
      <c r="H1498" s="9">
        <f>IF(Table13[[#This Row],[Previous Quartile]]="TopQuartile", 1,
 IF(Table13[[#This Row],[Previous Quartile]]="SecondQuartile", 2,
 IF(Table13[[#This Row],[Previous Quartile]]="ThirdQuartile", 3,
 IF(Table13[[#This Row],[Previous Quartile]]="FourthQuartile", 4, ""))))</f>
        <v>4</v>
      </c>
      <c r="I1498" s="9" t="str">
        <f>IF(Table13[[#This Row],[Previous Quartile Value]]="", "",
   IF(Table13[[#This Row],[Quartile Value]] &lt; Table13[[#This Row],[Previous Quartile Value]], "Improved",
   IF(Table13[[#This Row],[Quartile Value]] &gt; Table13[[#This Row],[Previous Quartile Value]], "Dropped", "Same")))</f>
        <v>Improved</v>
      </c>
      <c r="J1498" s="10" t="s">
        <v>20</v>
      </c>
      <c r="K1498" s="7" t="str">
        <f>VLOOKUP(J1498,Introduction!$B$6:$C$14,2)</f>
        <v>East of England</v>
      </c>
      <c r="L1498" s="11">
        <v>292</v>
      </c>
      <c r="M1498" s="12" t="s">
        <v>388</v>
      </c>
    </row>
    <row r="1499" spans="1:13" ht="19.95" customHeight="1" x14ac:dyDescent="0.25">
      <c r="A1499" s="41">
        <v>45323</v>
      </c>
      <c r="B1499" s="47">
        <f>MONTH(Table13[[#This Row],[YearMonth]])</f>
        <v>2</v>
      </c>
      <c r="C1499" s="9" t="s">
        <v>256</v>
      </c>
      <c r="D1499" s="14" t="s">
        <v>350</v>
      </c>
      <c r="E1499" s="14">
        <f>IF(Table13[[#This Row],[Quartile]]="TopQuartile", 1,
 IF(Table13[[#This Row],[Quartile]]="SecondQuartile", 2,
 IF(Table13[[#This Row],[Quartile]]="ThirdQuartile", 3,
 IF(Table13[[#This Row],[Quartile]]="FourthQuartile", 4, ""))))</f>
        <v>4</v>
      </c>
      <c r="F1499" s="9" t="s">
        <v>405</v>
      </c>
      <c r="G1499" s="9" t="str" cm="1">
        <f t="array" ref="G1499">IFERROR(
  INDEX(Table13[Quartile],
    MATCH(1,
      (Table13[[#This Row],[OrgName]]=Table13[OrgName]) *
      (Table13[[#This Row],[Month Number]]-1=Table13[Month Number]),
    0)
  ),
"")</f>
        <v>FourthQuartile</v>
      </c>
      <c r="H1499" s="9">
        <f>IF(Table13[[#This Row],[Previous Quartile]]="TopQuartile", 1,
 IF(Table13[[#This Row],[Previous Quartile]]="SecondQuartile", 2,
 IF(Table13[[#This Row],[Previous Quartile]]="ThirdQuartile", 3,
 IF(Table13[[#This Row],[Previous Quartile]]="FourthQuartile", 4, ""))))</f>
        <v>4</v>
      </c>
      <c r="I1499" s="9" t="str">
        <f>IF(Table13[[#This Row],[Previous Quartile Value]]="", "",
   IF(Table13[[#This Row],[Quartile Value]] &lt; Table13[[#This Row],[Previous Quartile Value]], "Improved",
   IF(Table13[[#This Row],[Quartile Value]] &gt; Table13[[#This Row],[Previous Quartile Value]], "Dropped", "Same")))</f>
        <v>Same</v>
      </c>
      <c r="J1499" s="10" t="s">
        <v>14</v>
      </c>
      <c r="K1499" s="7" t="str">
        <f>VLOOKUP(J1499,Introduction!$B$6:$C$14,2)</f>
        <v>South West</v>
      </c>
      <c r="L1499" s="11">
        <v>405</v>
      </c>
      <c r="M1499" s="12" t="s">
        <v>388</v>
      </c>
    </row>
    <row r="1500" spans="1:13" ht="19.95" customHeight="1" x14ac:dyDescent="0.25">
      <c r="A1500" s="41">
        <v>45323</v>
      </c>
      <c r="B1500" s="47">
        <f>MONTH(Table13[[#This Row],[YearMonth]])</f>
        <v>2</v>
      </c>
      <c r="C1500" s="9" t="s">
        <v>305</v>
      </c>
      <c r="D1500" s="14" t="s">
        <v>350</v>
      </c>
      <c r="E1500" s="14">
        <f>IF(Table13[[#This Row],[Quartile]]="TopQuartile", 1,
 IF(Table13[[#This Row],[Quartile]]="SecondQuartile", 2,
 IF(Table13[[#This Row],[Quartile]]="ThirdQuartile", 3,
 IF(Table13[[#This Row],[Quartile]]="FourthQuartile", 4, ""))))</f>
        <v>4</v>
      </c>
      <c r="F1500" s="9" t="s">
        <v>406</v>
      </c>
      <c r="G1500" s="9" t="str" cm="1">
        <f t="array" ref="G1500">IFERROR(
  INDEX(Table13[Quartile],
    MATCH(1,
      (Table13[[#This Row],[OrgName]]=Table13[OrgName]) *
      (Table13[[#This Row],[Month Number]]-1=Table13[Month Number]),
    0)
  ),
"")</f>
        <v>FourthQuartile</v>
      </c>
      <c r="H1500" s="9">
        <f>IF(Table13[[#This Row],[Previous Quartile]]="TopQuartile", 1,
 IF(Table13[[#This Row],[Previous Quartile]]="SecondQuartile", 2,
 IF(Table13[[#This Row],[Previous Quartile]]="ThirdQuartile", 3,
 IF(Table13[[#This Row],[Previous Quartile]]="FourthQuartile", 4, ""))))</f>
        <v>4</v>
      </c>
      <c r="I1500" s="9" t="str">
        <f>IF(Table13[[#This Row],[Previous Quartile Value]]="", "",
   IF(Table13[[#This Row],[Quartile Value]] &lt; Table13[[#This Row],[Previous Quartile Value]], "Improved",
   IF(Table13[[#This Row],[Quartile Value]] &gt; Table13[[#This Row],[Previous Quartile Value]], "Dropped", "Same")))</f>
        <v>Same</v>
      </c>
      <c r="J1500" s="10" t="s">
        <v>20</v>
      </c>
      <c r="K1500" s="7" t="str">
        <f>VLOOKUP(J1500,Introduction!$B$6:$C$14,2)</f>
        <v>East of England</v>
      </c>
      <c r="L1500" s="11">
        <v>179</v>
      </c>
      <c r="M1500" s="12" t="s">
        <v>388</v>
      </c>
    </row>
    <row r="1501" spans="1:13" ht="19.95" customHeight="1" x14ac:dyDescent="0.25">
      <c r="A1501" s="41">
        <v>45323</v>
      </c>
      <c r="B1501" s="47">
        <f>MONTH(Table13[[#This Row],[YearMonth]])</f>
        <v>2</v>
      </c>
      <c r="C1501" s="9" t="s">
        <v>125</v>
      </c>
      <c r="D1501" s="14" t="s">
        <v>330</v>
      </c>
      <c r="E1501" s="14">
        <f>IF(Table13[[#This Row],[Quartile]]="TopQuartile", 1,
 IF(Table13[[#This Row],[Quartile]]="SecondQuartile", 2,
 IF(Table13[[#This Row],[Quartile]]="ThirdQuartile", 3,
 IF(Table13[[#This Row],[Quartile]]="FourthQuartile", 4, ""))))</f>
        <v>1</v>
      </c>
      <c r="F1501" s="9" t="s">
        <v>414</v>
      </c>
      <c r="G1501" s="9" t="str" cm="1">
        <f t="array" ref="G1501">IFERROR(
  INDEX(Table13[Quartile],
    MATCH(1,
      (Table13[[#This Row],[OrgName]]=Table13[OrgName]) *
      (Table13[[#This Row],[Month Number]]-1=Table13[Month Number]),
    0)
  ),
"")</f>
        <v>TopQuartile</v>
      </c>
      <c r="H1501" s="9">
        <f>IF(Table13[[#This Row],[Previous Quartile]]="TopQuartile", 1,
 IF(Table13[[#This Row],[Previous Quartile]]="SecondQuartile", 2,
 IF(Table13[[#This Row],[Previous Quartile]]="ThirdQuartile", 3,
 IF(Table13[[#This Row],[Previous Quartile]]="FourthQuartile", 4, ""))))</f>
        <v>1</v>
      </c>
      <c r="I1501" s="9" t="str">
        <f>IF(Table13[[#This Row],[Previous Quartile Value]]="", "",
   IF(Table13[[#This Row],[Quartile Value]] &lt; Table13[[#This Row],[Previous Quartile Value]], "Improved",
   IF(Table13[[#This Row],[Quartile Value]] &gt; Table13[[#This Row],[Previous Quartile Value]], "Dropped", "Same")))</f>
        <v>Same</v>
      </c>
      <c r="J1501" s="10" t="s">
        <v>22</v>
      </c>
      <c r="K1501" s="7" t="str">
        <f>VLOOKUP(J1501,Introduction!$B$6:$C$14,2)</f>
        <v>North West</v>
      </c>
      <c r="L1501" s="11">
        <v>160</v>
      </c>
      <c r="M1501" s="12" t="s">
        <v>408</v>
      </c>
    </row>
    <row r="1502" spans="1:13" ht="19.95" customHeight="1" x14ac:dyDescent="0.25">
      <c r="A1502" s="41">
        <v>45323</v>
      </c>
      <c r="B1502" s="47">
        <f>MONTH(Table13[[#This Row],[YearMonth]])</f>
        <v>2</v>
      </c>
      <c r="C1502" s="9" t="s">
        <v>99</v>
      </c>
      <c r="D1502" s="14" t="s">
        <v>330</v>
      </c>
      <c r="E1502" s="14">
        <f>IF(Table13[[#This Row],[Quartile]]="TopQuartile", 1,
 IF(Table13[[#This Row],[Quartile]]="SecondQuartile", 2,
 IF(Table13[[#This Row],[Quartile]]="ThirdQuartile", 3,
 IF(Table13[[#This Row],[Quartile]]="FourthQuartile", 4, ""))))</f>
        <v>1</v>
      </c>
      <c r="F1502" s="9" t="s">
        <v>411</v>
      </c>
      <c r="G1502" s="9" t="str" cm="1">
        <f t="array" ref="G1502">IFERROR(
  INDEX(Table13[Quartile],
    MATCH(1,
      (Table13[[#This Row],[OrgName]]=Table13[OrgName]) *
      (Table13[[#This Row],[Month Number]]-1=Table13[Month Number]),
    0)
  ),
"")</f>
        <v>TopQuartile</v>
      </c>
      <c r="H1502" s="9">
        <f>IF(Table13[[#This Row],[Previous Quartile]]="TopQuartile", 1,
 IF(Table13[[#This Row],[Previous Quartile]]="SecondQuartile", 2,
 IF(Table13[[#This Row],[Previous Quartile]]="ThirdQuartile", 3,
 IF(Table13[[#This Row],[Previous Quartile]]="FourthQuartile", 4, ""))))</f>
        <v>1</v>
      </c>
      <c r="I1502" s="9" t="str">
        <f>IF(Table13[[#This Row],[Previous Quartile Value]]="", "",
   IF(Table13[[#This Row],[Quartile Value]] &lt; Table13[[#This Row],[Previous Quartile Value]], "Improved",
   IF(Table13[[#This Row],[Quartile Value]] &gt; Table13[[#This Row],[Previous Quartile Value]], "Dropped", "Same")))</f>
        <v>Same</v>
      </c>
      <c r="J1502" s="10" t="s">
        <v>12</v>
      </c>
      <c r="K1502" s="7" t="str">
        <f>VLOOKUP(J1502,Introduction!$B$6:$C$14,2)</f>
        <v>London</v>
      </c>
      <c r="L1502" s="11">
        <v>271</v>
      </c>
      <c r="M1502" s="12" t="s">
        <v>408</v>
      </c>
    </row>
    <row r="1503" spans="1:13" ht="19.95" customHeight="1" x14ac:dyDescent="0.25">
      <c r="A1503" s="41">
        <v>45323</v>
      </c>
      <c r="B1503" s="47">
        <f>MONTH(Table13[[#This Row],[YearMonth]])</f>
        <v>2</v>
      </c>
      <c r="C1503" s="9" t="s">
        <v>56</v>
      </c>
      <c r="D1503" s="14" t="s">
        <v>330</v>
      </c>
      <c r="E1503" s="14">
        <f>IF(Table13[[#This Row],[Quartile]]="TopQuartile", 1,
 IF(Table13[[#This Row],[Quartile]]="SecondQuartile", 2,
 IF(Table13[[#This Row],[Quartile]]="ThirdQuartile", 3,
 IF(Table13[[#This Row],[Quartile]]="FourthQuartile", 4, ""))))</f>
        <v>1</v>
      </c>
      <c r="F1503" s="9" t="s">
        <v>407</v>
      </c>
      <c r="G1503" s="9" t="str" cm="1">
        <f t="array" ref="G1503">IFERROR(
  INDEX(Table13[Quartile],
    MATCH(1,
      (Table13[[#This Row],[OrgName]]=Table13[OrgName]) *
      (Table13[[#This Row],[Month Number]]-1=Table13[Month Number]),
    0)
  ),
"")</f>
        <v>TopQuartile</v>
      </c>
      <c r="H1503" s="9">
        <f>IF(Table13[[#This Row],[Previous Quartile]]="TopQuartile", 1,
 IF(Table13[[#This Row],[Previous Quartile]]="SecondQuartile", 2,
 IF(Table13[[#This Row],[Previous Quartile]]="ThirdQuartile", 3,
 IF(Table13[[#This Row],[Previous Quartile]]="FourthQuartile", 4, ""))))</f>
        <v>1</v>
      </c>
      <c r="I1503" s="9" t="str">
        <f>IF(Table13[[#This Row],[Previous Quartile Value]]="", "",
   IF(Table13[[#This Row],[Quartile Value]] &lt; Table13[[#This Row],[Previous Quartile Value]], "Improved",
   IF(Table13[[#This Row],[Quartile Value]] &gt; Table13[[#This Row],[Previous Quartile Value]], "Dropped", "Same")))</f>
        <v>Same</v>
      </c>
      <c r="J1503" s="10" t="s">
        <v>20</v>
      </c>
      <c r="K1503" s="7" t="str">
        <f>VLOOKUP(J1503,Introduction!$B$6:$C$14,2)</f>
        <v>East of England</v>
      </c>
      <c r="L1503" s="11">
        <v>175</v>
      </c>
      <c r="M1503" s="12" t="s">
        <v>408</v>
      </c>
    </row>
    <row r="1504" spans="1:13" ht="19.95" customHeight="1" x14ac:dyDescent="0.25">
      <c r="A1504" s="41">
        <v>45323</v>
      </c>
      <c r="B1504" s="47">
        <f>MONTH(Table13[[#This Row],[YearMonth]])</f>
        <v>2</v>
      </c>
      <c r="C1504" s="9" t="s">
        <v>108</v>
      </c>
      <c r="D1504" s="14" t="s">
        <v>330</v>
      </c>
      <c r="E1504" s="14">
        <f>IF(Table13[[#This Row],[Quartile]]="TopQuartile", 1,
 IF(Table13[[#This Row],[Quartile]]="SecondQuartile", 2,
 IF(Table13[[#This Row],[Quartile]]="ThirdQuartile", 3,
 IF(Table13[[#This Row],[Quartile]]="FourthQuartile", 4, ""))))</f>
        <v>1</v>
      </c>
      <c r="F1504" s="9" t="s">
        <v>413</v>
      </c>
      <c r="G1504" s="9" t="str" cm="1">
        <f t="array" ref="G1504">IFERROR(
  INDEX(Table13[Quartile],
    MATCH(1,
      (Table13[[#This Row],[OrgName]]=Table13[OrgName]) *
      (Table13[[#This Row],[Month Number]]-1=Table13[Month Number]),
    0)
  ),
"")</f>
        <v>TopQuartile</v>
      </c>
      <c r="H1504" s="9">
        <f>IF(Table13[[#This Row],[Previous Quartile]]="TopQuartile", 1,
 IF(Table13[[#This Row],[Previous Quartile]]="SecondQuartile", 2,
 IF(Table13[[#This Row],[Previous Quartile]]="ThirdQuartile", 3,
 IF(Table13[[#This Row],[Previous Quartile]]="FourthQuartile", 4, ""))))</f>
        <v>1</v>
      </c>
      <c r="I1504" s="9" t="str">
        <f>IF(Table13[[#This Row],[Previous Quartile Value]]="", "",
   IF(Table13[[#This Row],[Quartile Value]] &lt; Table13[[#This Row],[Previous Quartile Value]], "Improved",
   IF(Table13[[#This Row],[Quartile Value]] &gt; Table13[[#This Row],[Previous Quartile Value]], "Dropped", "Same")))</f>
        <v>Same</v>
      </c>
      <c r="J1504" s="10" t="s">
        <v>22</v>
      </c>
      <c r="K1504" s="7" t="str">
        <f>VLOOKUP(J1504,Introduction!$B$6:$C$14,2)</f>
        <v>North West</v>
      </c>
      <c r="L1504" s="11">
        <v>158</v>
      </c>
      <c r="M1504" s="12" t="s">
        <v>408</v>
      </c>
    </row>
    <row r="1505" spans="1:13" ht="19.95" customHeight="1" x14ac:dyDescent="0.25">
      <c r="A1505" s="41">
        <v>45323</v>
      </c>
      <c r="B1505" s="47">
        <f>MONTH(Table13[[#This Row],[YearMonth]])</f>
        <v>2</v>
      </c>
      <c r="C1505" s="9" t="s">
        <v>215</v>
      </c>
      <c r="D1505" s="14" t="s">
        <v>338</v>
      </c>
      <c r="E1505" s="14">
        <f>IF(Table13[[#This Row],[Quartile]]="TopQuartile", 1,
 IF(Table13[[#This Row],[Quartile]]="SecondQuartile", 2,
 IF(Table13[[#This Row],[Quartile]]="ThirdQuartile", 3,
 IF(Table13[[#This Row],[Quartile]]="FourthQuartile", 4, ""))))</f>
        <v>2</v>
      </c>
      <c r="F1505" s="9" t="s">
        <v>419</v>
      </c>
      <c r="G1505" s="9" t="str" cm="1">
        <f t="array" ref="G1505">IFERROR(
  INDEX(Table13[Quartile],
    MATCH(1,
      (Table13[[#This Row],[OrgName]]=Table13[OrgName]) *
      (Table13[[#This Row],[Month Number]]-1=Table13[Month Number]),
    0)
  ),
"")</f>
        <v>SecondQuartile</v>
      </c>
      <c r="H1505" s="9">
        <f>IF(Table13[[#This Row],[Previous Quartile]]="TopQuartile", 1,
 IF(Table13[[#This Row],[Previous Quartile]]="SecondQuartile", 2,
 IF(Table13[[#This Row],[Previous Quartile]]="ThirdQuartile", 3,
 IF(Table13[[#This Row],[Previous Quartile]]="FourthQuartile", 4, ""))))</f>
        <v>2</v>
      </c>
      <c r="I1505" s="9" t="str">
        <f>IF(Table13[[#This Row],[Previous Quartile Value]]="", "",
   IF(Table13[[#This Row],[Quartile Value]] &lt; Table13[[#This Row],[Previous Quartile Value]], "Improved",
   IF(Table13[[#This Row],[Quartile Value]] &gt; Table13[[#This Row],[Previous Quartile Value]], "Dropped", "Same")))</f>
        <v>Same</v>
      </c>
      <c r="J1505" s="10" t="s">
        <v>18</v>
      </c>
      <c r="K1505" s="7" t="str">
        <f>VLOOKUP(J1505,Introduction!$B$6:$C$14,2)</f>
        <v>Midlands</v>
      </c>
      <c r="L1505" s="11">
        <v>224</v>
      </c>
      <c r="M1505" s="12" t="s">
        <v>408</v>
      </c>
    </row>
    <row r="1506" spans="1:13" ht="19.95" customHeight="1" x14ac:dyDescent="0.25">
      <c r="A1506" s="41">
        <v>45323</v>
      </c>
      <c r="B1506" s="47">
        <f>MONTH(Table13[[#This Row],[YearMonth]])</f>
        <v>2</v>
      </c>
      <c r="C1506" s="9" t="s">
        <v>84</v>
      </c>
      <c r="D1506" s="14" t="s">
        <v>338</v>
      </c>
      <c r="E1506" s="14">
        <f>IF(Table13[[#This Row],[Quartile]]="TopQuartile", 1,
 IF(Table13[[#This Row],[Quartile]]="SecondQuartile", 2,
 IF(Table13[[#This Row],[Quartile]]="ThirdQuartile", 3,
 IF(Table13[[#This Row],[Quartile]]="FourthQuartile", 4, ""))))</f>
        <v>2</v>
      </c>
      <c r="F1506" s="9" t="s">
        <v>409</v>
      </c>
      <c r="G1506" s="9" t="str" cm="1">
        <f t="array" ref="G1506">IFERROR(
  INDEX(Table13[Quartile],
    MATCH(1,
      (Table13[[#This Row],[OrgName]]=Table13[OrgName]) *
      (Table13[[#This Row],[Month Number]]-1=Table13[Month Number]),
    0)
  ),
"")</f>
        <v>TopQuartile</v>
      </c>
      <c r="H1506" s="9">
        <f>IF(Table13[[#This Row],[Previous Quartile]]="TopQuartile", 1,
 IF(Table13[[#This Row],[Previous Quartile]]="SecondQuartile", 2,
 IF(Table13[[#This Row],[Previous Quartile]]="ThirdQuartile", 3,
 IF(Table13[[#This Row],[Previous Quartile]]="FourthQuartile", 4, ""))))</f>
        <v>1</v>
      </c>
      <c r="I1506" s="9" t="str">
        <f>IF(Table13[[#This Row],[Previous Quartile Value]]="", "",
   IF(Table13[[#This Row],[Quartile Value]] &lt; Table13[[#This Row],[Previous Quartile Value]], "Improved",
   IF(Table13[[#This Row],[Quartile Value]] &gt; Table13[[#This Row],[Previous Quartile Value]], "Dropped", "Same")))</f>
        <v>Dropped</v>
      </c>
      <c r="J1506" s="10" t="s">
        <v>16</v>
      </c>
      <c r="K1506" s="7" t="str">
        <f>VLOOKUP(J1506,Introduction!$B$6:$C$14,2)</f>
        <v>South East</v>
      </c>
      <c r="L1506" s="11">
        <v>276</v>
      </c>
      <c r="M1506" s="12" t="s">
        <v>408</v>
      </c>
    </row>
    <row r="1507" spans="1:13" ht="19.95" customHeight="1" x14ac:dyDescent="0.25">
      <c r="A1507" s="41">
        <v>45323</v>
      </c>
      <c r="B1507" s="47">
        <f>MONTH(Table13[[#This Row],[YearMonth]])</f>
        <v>2</v>
      </c>
      <c r="C1507" s="9" t="s">
        <v>102</v>
      </c>
      <c r="D1507" s="14" t="s">
        <v>338</v>
      </c>
      <c r="E1507" s="14">
        <f>IF(Table13[[#This Row],[Quartile]]="TopQuartile", 1,
 IF(Table13[[#This Row],[Quartile]]="SecondQuartile", 2,
 IF(Table13[[#This Row],[Quartile]]="ThirdQuartile", 3,
 IF(Table13[[#This Row],[Quartile]]="FourthQuartile", 4, ""))))</f>
        <v>2</v>
      </c>
      <c r="F1507" s="9" t="s">
        <v>412</v>
      </c>
      <c r="G1507" s="9" t="str" cm="1">
        <f t="array" ref="G1507">IFERROR(
  INDEX(Table13[Quartile],
    MATCH(1,
      (Table13[[#This Row],[OrgName]]=Table13[OrgName]) *
      (Table13[[#This Row],[Month Number]]-1=Table13[Month Number]),
    0)
  ),
"")</f>
        <v>SecondQuartile</v>
      </c>
      <c r="H1507" s="9">
        <f>IF(Table13[[#This Row],[Previous Quartile]]="TopQuartile", 1,
 IF(Table13[[#This Row],[Previous Quartile]]="SecondQuartile", 2,
 IF(Table13[[#This Row],[Previous Quartile]]="ThirdQuartile", 3,
 IF(Table13[[#This Row],[Previous Quartile]]="FourthQuartile", 4, ""))))</f>
        <v>2</v>
      </c>
      <c r="I1507" s="9" t="str">
        <f>IF(Table13[[#This Row],[Previous Quartile Value]]="", "",
   IF(Table13[[#This Row],[Quartile Value]] &lt; Table13[[#This Row],[Previous Quartile Value]], "Improved",
   IF(Table13[[#This Row],[Quartile Value]] &gt; Table13[[#This Row],[Previous Quartile Value]], "Dropped", "Same")))</f>
        <v>Same</v>
      </c>
      <c r="J1507" s="10" t="s">
        <v>22</v>
      </c>
      <c r="K1507" s="7" t="str">
        <f>VLOOKUP(J1507,Introduction!$B$6:$C$14,2)</f>
        <v>North West</v>
      </c>
      <c r="L1507" s="11">
        <v>411</v>
      </c>
      <c r="M1507" s="12" t="s">
        <v>408</v>
      </c>
    </row>
    <row r="1508" spans="1:13" ht="19.95" customHeight="1" x14ac:dyDescent="0.25">
      <c r="A1508" s="41">
        <v>45323</v>
      </c>
      <c r="B1508" s="47">
        <f>MONTH(Table13[[#This Row],[YearMonth]])</f>
        <v>2</v>
      </c>
      <c r="C1508" s="9" t="s">
        <v>96</v>
      </c>
      <c r="D1508" s="14" t="s">
        <v>338</v>
      </c>
      <c r="E1508" s="14">
        <f>IF(Table13[[#This Row],[Quartile]]="TopQuartile", 1,
 IF(Table13[[#This Row],[Quartile]]="SecondQuartile", 2,
 IF(Table13[[#This Row],[Quartile]]="ThirdQuartile", 3,
 IF(Table13[[#This Row],[Quartile]]="FourthQuartile", 4, ""))))</f>
        <v>2</v>
      </c>
      <c r="F1508" s="9" t="s">
        <v>410</v>
      </c>
      <c r="G1508" s="9" t="str" cm="1">
        <f t="array" ref="G1508">IFERROR(
  INDEX(Table13[Quartile],
    MATCH(1,
      (Table13[[#This Row],[OrgName]]=Table13[OrgName]) *
      (Table13[[#This Row],[Month Number]]-1=Table13[Month Number]),
    0)
  ),
"")</f>
        <v>SecondQuartile</v>
      </c>
      <c r="H1508" s="9">
        <f>IF(Table13[[#This Row],[Previous Quartile]]="TopQuartile", 1,
 IF(Table13[[#This Row],[Previous Quartile]]="SecondQuartile", 2,
 IF(Table13[[#This Row],[Previous Quartile]]="ThirdQuartile", 3,
 IF(Table13[[#This Row],[Previous Quartile]]="FourthQuartile", 4, ""))))</f>
        <v>2</v>
      </c>
      <c r="I1508" s="9" t="str">
        <f>IF(Table13[[#This Row],[Previous Quartile Value]]="", "",
   IF(Table13[[#This Row],[Quartile Value]] &lt; Table13[[#This Row],[Previous Quartile Value]], "Improved",
   IF(Table13[[#This Row],[Quartile Value]] &gt; Table13[[#This Row],[Previous Quartile Value]], "Dropped", "Same")))</f>
        <v>Same</v>
      </c>
      <c r="J1508" s="10" t="s">
        <v>18</v>
      </c>
      <c r="K1508" s="7" t="str">
        <f>VLOOKUP(J1508,Introduction!$B$6:$C$14,2)</f>
        <v>Midlands</v>
      </c>
      <c r="L1508" s="11">
        <v>303</v>
      </c>
      <c r="M1508" s="12" t="s">
        <v>408</v>
      </c>
    </row>
    <row r="1509" spans="1:13" ht="19.95" customHeight="1" x14ac:dyDescent="0.25">
      <c r="A1509" s="41">
        <v>45323</v>
      </c>
      <c r="B1509" s="47">
        <f>MONTH(Table13[[#This Row],[YearMonth]])</f>
        <v>2</v>
      </c>
      <c r="C1509" s="9" t="s">
        <v>150</v>
      </c>
      <c r="D1509" s="14" t="s">
        <v>338</v>
      </c>
      <c r="E1509" s="14">
        <f>IF(Table13[[#This Row],[Quartile]]="TopQuartile", 1,
 IF(Table13[[#This Row],[Quartile]]="SecondQuartile", 2,
 IF(Table13[[#This Row],[Quartile]]="ThirdQuartile", 3,
 IF(Table13[[#This Row],[Quartile]]="FourthQuartile", 4, ""))))</f>
        <v>2</v>
      </c>
      <c r="F1509" s="9" t="s">
        <v>415</v>
      </c>
      <c r="G1509" s="9" t="str" cm="1">
        <f t="array" ref="G1509">IFERROR(
  INDEX(Table13[Quartile],
    MATCH(1,
      (Table13[[#This Row],[OrgName]]=Table13[OrgName]) *
      (Table13[[#This Row],[Month Number]]-1=Table13[Month Number]),
    0)
  ),
"")</f>
        <v>SecondQuartile</v>
      </c>
      <c r="H1509" s="9">
        <f>IF(Table13[[#This Row],[Previous Quartile]]="TopQuartile", 1,
 IF(Table13[[#This Row],[Previous Quartile]]="SecondQuartile", 2,
 IF(Table13[[#This Row],[Previous Quartile]]="ThirdQuartile", 3,
 IF(Table13[[#This Row],[Previous Quartile]]="FourthQuartile", 4, ""))))</f>
        <v>2</v>
      </c>
      <c r="I1509" s="9" t="str">
        <f>IF(Table13[[#This Row],[Previous Quartile Value]]="", "",
   IF(Table13[[#This Row],[Quartile Value]] &lt; Table13[[#This Row],[Previous Quartile Value]], "Improved",
   IF(Table13[[#This Row],[Quartile Value]] &gt; Table13[[#This Row],[Previous Quartile Value]], "Dropped", "Same")))</f>
        <v>Same</v>
      </c>
      <c r="J1509" s="10" t="s">
        <v>22</v>
      </c>
      <c r="K1509" s="7" t="str">
        <f>VLOOKUP(J1509,Introduction!$B$6:$C$14,2)</f>
        <v>North West</v>
      </c>
      <c r="L1509" s="11">
        <v>413</v>
      </c>
      <c r="M1509" s="12" t="s">
        <v>408</v>
      </c>
    </row>
    <row r="1510" spans="1:13" ht="19.95" customHeight="1" x14ac:dyDescent="0.25">
      <c r="A1510" s="41">
        <v>45323</v>
      </c>
      <c r="B1510" s="47">
        <f>MONTH(Table13[[#This Row],[YearMonth]])</f>
        <v>2</v>
      </c>
      <c r="C1510" s="9" t="s">
        <v>191</v>
      </c>
      <c r="D1510" s="14" t="s">
        <v>341</v>
      </c>
      <c r="E1510" s="14">
        <f>IF(Table13[[#This Row],[Quartile]]="TopQuartile", 1,
 IF(Table13[[#This Row],[Quartile]]="SecondQuartile", 2,
 IF(Table13[[#This Row],[Quartile]]="ThirdQuartile", 3,
 IF(Table13[[#This Row],[Quartile]]="FourthQuartile", 4, ""))))</f>
        <v>3</v>
      </c>
      <c r="F1510" s="9" t="s">
        <v>418</v>
      </c>
      <c r="G1510" s="9" t="str" cm="1">
        <f t="array" ref="G1510">IFERROR(
  INDEX(Table13[Quartile],
    MATCH(1,
      (Table13[[#This Row],[OrgName]]=Table13[OrgName]) *
      (Table13[[#This Row],[Month Number]]-1=Table13[Month Number]),
    0)
  ),
"")</f>
        <v>ThirdQuartile</v>
      </c>
      <c r="H1510" s="9">
        <f>IF(Table13[[#This Row],[Previous Quartile]]="TopQuartile", 1,
 IF(Table13[[#This Row],[Previous Quartile]]="SecondQuartile", 2,
 IF(Table13[[#This Row],[Previous Quartile]]="ThirdQuartile", 3,
 IF(Table13[[#This Row],[Previous Quartile]]="FourthQuartile", 4, ""))))</f>
        <v>3</v>
      </c>
      <c r="I1510" s="9" t="str">
        <f>IF(Table13[[#This Row],[Previous Quartile Value]]="", "",
   IF(Table13[[#This Row],[Quartile Value]] &lt; Table13[[#This Row],[Previous Quartile Value]], "Improved",
   IF(Table13[[#This Row],[Quartile Value]] &gt; Table13[[#This Row],[Previous Quartile Value]], "Dropped", "Same")))</f>
        <v>Same</v>
      </c>
      <c r="J1510" s="10" t="s">
        <v>22</v>
      </c>
      <c r="K1510" s="7" t="str">
        <f>VLOOKUP(J1510,Introduction!$B$6:$C$14,2)</f>
        <v>North West</v>
      </c>
      <c r="L1510" s="11">
        <v>159</v>
      </c>
      <c r="M1510" s="12" t="s">
        <v>408</v>
      </c>
    </row>
    <row r="1511" spans="1:13" ht="19.95" customHeight="1" x14ac:dyDescent="0.25">
      <c r="A1511" s="41">
        <v>45323</v>
      </c>
      <c r="B1511" s="47">
        <f>MONTH(Table13[[#This Row],[YearMonth]])</f>
        <v>2</v>
      </c>
      <c r="C1511" s="9" t="s">
        <v>185</v>
      </c>
      <c r="D1511" s="14" t="s">
        <v>341</v>
      </c>
      <c r="E1511" s="14">
        <f>IF(Table13[[#This Row],[Quartile]]="TopQuartile", 1,
 IF(Table13[[#This Row],[Quartile]]="SecondQuartile", 2,
 IF(Table13[[#This Row],[Quartile]]="ThirdQuartile", 3,
 IF(Table13[[#This Row],[Quartile]]="FourthQuartile", 4, ""))))</f>
        <v>3</v>
      </c>
      <c r="F1511" s="9" t="s">
        <v>417</v>
      </c>
      <c r="G1511" s="9" t="str" cm="1">
        <f t="array" ref="G1511">IFERROR(
  INDEX(Table13[Quartile],
    MATCH(1,
      (Table13[[#This Row],[OrgName]]=Table13[OrgName]) *
      (Table13[[#This Row],[Month Number]]-1=Table13[Month Number]),
    0)
  ),
"")</f>
        <v>SecondQuartile</v>
      </c>
      <c r="H1511" s="9">
        <f>IF(Table13[[#This Row],[Previous Quartile]]="TopQuartile", 1,
 IF(Table13[[#This Row],[Previous Quartile]]="SecondQuartile", 2,
 IF(Table13[[#This Row],[Previous Quartile]]="ThirdQuartile", 3,
 IF(Table13[[#This Row],[Previous Quartile]]="FourthQuartile", 4, ""))))</f>
        <v>2</v>
      </c>
      <c r="I1511" s="9" t="str">
        <f>IF(Table13[[#This Row],[Previous Quartile Value]]="", "",
   IF(Table13[[#This Row],[Quartile Value]] &lt; Table13[[#This Row],[Previous Quartile Value]], "Improved",
   IF(Table13[[#This Row],[Quartile Value]] &gt; Table13[[#This Row],[Previous Quartile Value]], "Dropped", "Same")))</f>
        <v>Dropped</v>
      </c>
      <c r="J1511" s="10" t="s">
        <v>12</v>
      </c>
      <c r="K1511" s="7" t="str">
        <f>VLOOKUP(J1511,Introduction!$B$6:$C$14,2)</f>
        <v>London</v>
      </c>
      <c r="L1511" s="11">
        <v>273</v>
      </c>
      <c r="M1511" s="12" t="s">
        <v>408</v>
      </c>
    </row>
    <row r="1512" spans="1:13" ht="19.95" customHeight="1" x14ac:dyDescent="0.25">
      <c r="A1512" s="41">
        <v>45323</v>
      </c>
      <c r="B1512" s="47">
        <f>MONTH(Table13[[#This Row],[YearMonth]])</f>
        <v>2</v>
      </c>
      <c r="C1512" s="9" t="s">
        <v>184</v>
      </c>
      <c r="D1512" s="14" t="s">
        <v>341</v>
      </c>
      <c r="E1512" s="14">
        <f>IF(Table13[[#This Row],[Quartile]]="TopQuartile", 1,
 IF(Table13[[#This Row],[Quartile]]="SecondQuartile", 2,
 IF(Table13[[#This Row],[Quartile]]="ThirdQuartile", 3,
 IF(Table13[[#This Row],[Quartile]]="FourthQuartile", 4, ""))))</f>
        <v>3</v>
      </c>
      <c r="F1512" s="9" t="s">
        <v>416</v>
      </c>
      <c r="G1512" s="9" t="str" cm="1">
        <f t="array" ref="G1512">IFERROR(
  INDEX(Table13[Quartile],
    MATCH(1,
      (Table13[[#This Row],[OrgName]]=Table13[OrgName]) *
      (Table13[[#This Row],[Month Number]]-1=Table13[Month Number]),
    0)
  ),
"")</f>
        <v>ThirdQuartile</v>
      </c>
      <c r="H1512" s="9">
        <f>IF(Table13[[#This Row],[Previous Quartile]]="TopQuartile", 1,
 IF(Table13[[#This Row],[Previous Quartile]]="SecondQuartile", 2,
 IF(Table13[[#This Row],[Previous Quartile]]="ThirdQuartile", 3,
 IF(Table13[[#This Row],[Previous Quartile]]="FourthQuartile", 4, ""))))</f>
        <v>3</v>
      </c>
      <c r="I1512" s="9" t="str">
        <f>IF(Table13[[#This Row],[Previous Quartile Value]]="", "",
   IF(Table13[[#This Row],[Quartile Value]] &lt; Table13[[#This Row],[Previous Quartile Value]], "Improved",
   IF(Table13[[#This Row],[Quartile Value]] &gt; Table13[[#This Row],[Previous Quartile Value]], "Dropped", "Same")))</f>
        <v>Same</v>
      </c>
      <c r="J1512" s="10" t="s">
        <v>12</v>
      </c>
      <c r="K1512" s="7" t="str">
        <f>VLOOKUP(J1512,Introduction!$B$6:$C$14,2)</f>
        <v>London</v>
      </c>
      <c r="L1512" s="11">
        <v>282</v>
      </c>
      <c r="M1512" s="12" t="s">
        <v>408</v>
      </c>
    </row>
    <row r="1513" spans="1:13" ht="19.95" customHeight="1" x14ac:dyDescent="0.25">
      <c r="A1513" s="41">
        <v>45323</v>
      </c>
      <c r="B1513" s="47">
        <f>MONTH(Table13[[#This Row],[YearMonth]])</f>
        <v>2</v>
      </c>
      <c r="C1513" s="9" t="s">
        <v>239</v>
      </c>
      <c r="D1513" s="14" t="s">
        <v>341</v>
      </c>
      <c r="E1513" s="14">
        <f>IF(Table13[[#This Row],[Quartile]]="TopQuartile", 1,
 IF(Table13[[#This Row],[Quartile]]="SecondQuartile", 2,
 IF(Table13[[#This Row],[Quartile]]="ThirdQuartile", 3,
 IF(Table13[[#This Row],[Quartile]]="FourthQuartile", 4, ""))))</f>
        <v>3</v>
      </c>
      <c r="F1513" s="9" t="s">
        <v>421</v>
      </c>
      <c r="G1513" s="9" t="str" cm="1">
        <f t="array" ref="G1513">IFERROR(
  INDEX(Table13[Quartile],
    MATCH(1,
      (Table13[[#This Row],[OrgName]]=Table13[OrgName]) *
      (Table13[[#This Row],[Month Number]]-1=Table13[Month Number]),
    0)
  ),
"")</f>
        <v>ThirdQuartile</v>
      </c>
      <c r="H1513" s="9">
        <f>IF(Table13[[#This Row],[Previous Quartile]]="TopQuartile", 1,
 IF(Table13[[#This Row],[Previous Quartile]]="SecondQuartile", 2,
 IF(Table13[[#This Row],[Previous Quartile]]="ThirdQuartile", 3,
 IF(Table13[[#This Row],[Previous Quartile]]="FourthQuartile", 4, ""))))</f>
        <v>3</v>
      </c>
      <c r="I1513" s="9" t="str">
        <f>IF(Table13[[#This Row],[Previous Quartile Value]]="", "",
   IF(Table13[[#This Row],[Quartile Value]] &lt; Table13[[#This Row],[Previous Quartile Value]], "Improved",
   IF(Table13[[#This Row],[Quartile Value]] &gt; Table13[[#This Row],[Previous Quartile Value]], "Dropped", "Same")))</f>
        <v>Same</v>
      </c>
      <c r="J1513" s="10" t="s">
        <v>24</v>
      </c>
      <c r="K1513" s="7" t="str">
        <f>VLOOKUP(J1513,Introduction!$B$6:$C$14,2)</f>
        <v>North East and Yorkshire</v>
      </c>
      <c r="L1513" s="11">
        <v>425</v>
      </c>
      <c r="M1513" s="12" t="s">
        <v>408</v>
      </c>
    </row>
    <row r="1514" spans="1:13" ht="19.95" customHeight="1" x14ac:dyDescent="0.25">
      <c r="A1514" s="41">
        <v>45323</v>
      </c>
      <c r="B1514" s="47">
        <f>MONTH(Table13[[#This Row],[YearMonth]])</f>
        <v>2</v>
      </c>
      <c r="C1514" s="9" t="s">
        <v>229</v>
      </c>
      <c r="D1514" s="14" t="s">
        <v>350</v>
      </c>
      <c r="E1514" s="14">
        <f>IF(Table13[[#This Row],[Quartile]]="TopQuartile", 1,
 IF(Table13[[#This Row],[Quartile]]="SecondQuartile", 2,
 IF(Table13[[#This Row],[Quartile]]="ThirdQuartile", 3,
 IF(Table13[[#This Row],[Quartile]]="FourthQuartile", 4, ""))))</f>
        <v>4</v>
      </c>
      <c r="F1514" s="9" t="s">
        <v>420</v>
      </c>
      <c r="G1514" s="9" t="str" cm="1">
        <f t="array" ref="G1514">IFERROR(
  INDEX(Table13[Quartile],
    MATCH(1,
      (Table13[[#This Row],[OrgName]]=Table13[OrgName]) *
      (Table13[[#This Row],[Month Number]]-1=Table13[Month Number]),
    0)
  ),
"")</f>
        <v>FourthQuartile</v>
      </c>
      <c r="H1514" s="9">
        <f>IF(Table13[[#This Row],[Previous Quartile]]="TopQuartile", 1,
 IF(Table13[[#This Row],[Previous Quartile]]="SecondQuartile", 2,
 IF(Table13[[#This Row],[Previous Quartile]]="ThirdQuartile", 3,
 IF(Table13[[#This Row],[Previous Quartile]]="FourthQuartile", 4, ""))))</f>
        <v>4</v>
      </c>
      <c r="I1514" s="9" t="str">
        <f>IF(Table13[[#This Row],[Previous Quartile Value]]="", "",
   IF(Table13[[#This Row],[Quartile Value]] &lt; Table13[[#This Row],[Previous Quartile Value]], "Improved",
   IF(Table13[[#This Row],[Quartile Value]] &gt; Table13[[#This Row],[Previous Quartile Value]], "Dropped", "Same")))</f>
        <v>Same</v>
      </c>
      <c r="J1514" s="10" t="s">
        <v>18</v>
      </c>
      <c r="K1514" s="7" t="str">
        <f>VLOOKUP(J1514,Introduction!$B$6:$C$14,2)</f>
        <v>Midlands</v>
      </c>
      <c r="L1514" s="11">
        <v>284</v>
      </c>
      <c r="M1514" s="12" t="s">
        <v>408</v>
      </c>
    </row>
    <row r="1515" spans="1:13" ht="19.95" customHeight="1" x14ac:dyDescent="0.25">
      <c r="A1515" s="41">
        <v>45323</v>
      </c>
      <c r="B1515" s="47">
        <f>MONTH(Table13[[#This Row],[YearMonth]])</f>
        <v>2</v>
      </c>
      <c r="C1515" s="9" t="s">
        <v>273</v>
      </c>
      <c r="D1515" s="14" t="s">
        <v>350</v>
      </c>
      <c r="E1515" s="14">
        <f>IF(Table13[[#This Row],[Quartile]]="TopQuartile", 1,
 IF(Table13[[#This Row],[Quartile]]="SecondQuartile", 2,
 IF(Table13[[#This Row],[Quartile]]="ThirdQuartile", 3,
 IF(Table13[[#This Row],[Quartile]]="FourthQuartile", 4, ""))))</f>
        <v>4</v>
      </c>
      <c r="F1515" s="9" t="s">
        <v>422</v>
      </c>
      <c r="G1515" s="9" t="str" cm="1">
        <f t="array" ref="G1515">IFERROR(
  INDEX(Table13[Quartile],
    MATCH(1,
      (Table13[[#This Row],[OrgName]]=Table13[OrgName]) *
      (Table13[[#This Row],[Month Number]]-1=Table13[Month Number]),
    0)
  ),
"")</f>
        <v>FourthQuartile</v>
      </c>
      <c r="H1515" s="9">
        <f>IF(Table13[[#This Row],[Previous Quartile]]="TopQuartile", 1,
 IF(Table13[[#This Row],[Previous Quartile]]="SecondQuartile", 2,
 IF(Table13[[#This Row],[Previous Quartile]]="ThirdQuartile", 3,
 IF(Table13[[#This Row],[Previous Quartile]]="FourthQuartile", 4, ""))))</f>
        <v>4</v>
      </c>
      <c r="I1515" s="9" t="str">
        <f>IF(Table13[[#This Row],[Previous Quartile Value]]="", "",
   IF(Table13[[#This Row],[Quartile Value]] &lt; Table13[[#This Row],[Previous Quartile Value]], "Improved",
   IF(Table13[[#This Row],[Quartile Value]] &gt; Table13[[#This Row],[Previous Quartile Value]], "Dropped", "Same")))</f>
        <v>Same</v>
      </c>
      <c r="J1515" s="10" t="s">
        <v>12</v>
      </c>
      <c r="K1515" s="7" t="str">
        <f>VLOOKUP(J1515,Introduction!$B$6:$C$14,2)</f>
        <v>London</v>
      </c>
      <c r="L1515" s="11">
        <v>392</v>
      </c>
      <c r="M1515" s="12" t="s">
        <v>408</v>
      </c>
    </row>
    <row r="1516" spans="1:13" ht="19.95" customHeight="1" x14ac:dyDescent="0.25">
      <c r="A1516" s="41">
        <v>45323</v>
      </c>
      <c r="B1516" s="47">
        <f>MONTH(Table13[[#This Row],[YearMonth]])</f>
        <v>2</v>
      </c>
      <c r="C1516" s="9" t="s">
        <v>296</v>
      </c>
      <c r="D1516" s="14" t="s">
        <v>350</v>
      </c>
      <c r="E1516" s="14">
        <f>IF(Table13[[#This Row],[Quartile]]="TopQuartile", 1,
 IF(Table13[[#This Row],[Quartile]]="SecondQuartile", 2,
 IF(Table13[[#This Row],[Quartile]]="ThirdQuartile", 3,
 IF(Table13[[#This Row],[Quartile]]="FourthQuartile", 4, ""))))</f>
        <v>4</v>
      </c>
      <c r="F1516" s="9" t="s">
        <v>423</v>
      </c>
      <c r="G1516" s="9" t="str" cm="1">
        <f t="array" ref="G1516">IFERROR(
  INDEX(Table13[Quartile],
    MATCH(1,
      (Table13[[#This Row],[OrgName]]=Table13[OrgName]) *
      (Table13[[#This Row],[Month Number]]-1=Table13[Month Number]),
    0)
  ),
"")</f>
        <v>FourthQuartile</v>
      </c>
      <c r="H1516" s="9">
        <f>IF(Table13[[#This Row],[Previous Quartile]]="TopQuartile", 1,
 IF(Table13[[#This Row],[Previous Quartile]]="SecondQuartile", 2,
 IF(Table13[[#This Row],[Previous Quartile]]="ThirdQuartile", 3,
 IF(Table13[[#This Row],[Previous Quartile]]="FourthQuartile", 4, ""))))</f>
        <v>4</v>
      </c>
      <c r="I1516" s="9" t="str">
        <f>IF(Table13[[#This Row],[Previous Quartile Value]]="", "",
   IF(Table13[[#This Row],[Quartile Value]] &lt; Table13[[#This Row],[Previous Quartile Value]], "Improved",
   IF(Table13[[#This Row],[Quartile Value]] &gt; Table13[[#This Row],[Previous Quartile Value]], "Dropped", "Same")))</f>
        <v>Same</v>
      </c>
      <c r="J1516" s="10" t="s">
        <v>22</v>
      </c>
      <c r="K1516" s="7" t="str">
        <f>VLOOKUP(J1516,Introduction!$B$6:$C$14,2)</f>
        <v>North West</v>
      </c>
      <c r="L1516" s="11">
        <v>410</v>
      </c>
      <c r="M1516" s="12" t="s">
        <v>408</v>
      </c>
    </row>
    <row r="1517" spans="1:13" ht="19.95" customHeight="1" x14ac:dyDescent="0.25">
      <c r="A1517" s="41">
        <v>45323</v>
      </c>
      <c r="B1517" s="47">
        <f>MONTH(Table13[[#This Row],[YearMonth]])</f>
        <v>2</v>
      </c>
      <c r="C1517" s="9" t="s">
        <v>207</v>
      </c>
      <c r="D1517" s="14" t="s">
        <v>330</v>
      </c>
      <c r="E1517" s="14">
        <f>IF(Table13[[#This Row],[Quartile]]="TopQuartile", 1,
 IF(Table13[[#This Row],[Quartile]]="SecondQuartile", 2,
 IF(Table13[[#This Row],[Quartile]]="ThirdQuartile", 3,
 IF(Table13[[#This Row],[Quartile]]="FourthQuartile", 4, ""))))</f>
        <v>1</v>
      </c>
      <c r="F1517" s="9" t="s">
        <v>455</v>
      </c>
      <c r="G1517" s="9" t="str" cm="1">
        <f t="array" ref="G1517">IFERROR(
  INDEX(Table13[Quartile],
    MATCH(1,
      (Table13[[#This Row],[OrgName]]=Table13[OrgName]) *
      (Table13[[#This Row],[Month Number]]-1=Table13[Month Number]),
    0)
  ),
"")</f>
        <v>TopQuartile</v>
      </c>
      <c r="H1517" s="9">
        <f>IF(Table13[[#This Row],[Previous Quartile]]="TopQuartile", 1,
 IF(Table13[[#This Row],[Previous Quartile]]="SecondQuartile", 2,
 IF(Table13[[#This Row],[Previous Quartile]]="ThirdQuartile", 3,
 IF(Table13[[#This Row],[Previous Quartile]]="FourthQuartile", 4, ""))))</f>
        <v>1</v>
      </c>
      <c r="I1517" s="9" t="str">
        <f>IF(Table13[[#This Row],[Previous Quartile Value]]="", "",
   IF(Table13[[#This Row],[Quartile Value]] &lt; Table13[[#This Row],[Previous Quartile Value]], "Improved",
   IF(Table13[[#This Row],[Quartile Value]] &gt; Table13[[#This Row],[Previous Quartile Value]], "Dropped", "Same")))</f>
        <v>Same</v>
      </c>
      <c r="J1517" s="10" t="s">
        <v>20</v>
      </c>
      <c r="K1517" s="7" t="str">
        <f>VLOOKUP(J1517,Introduction!$B$6:$C$14,2)</f>
        <v>East of England</v>
      </c>
      <c r="L1517" s="11">
        <v>177</v>
      </c>
      <c r="M1517" s="12" t="s">
        <v>425</v>
      </c>
    </row>
    <row r="1518" spans="1:13" ht="19.95" customHeight="1" x14ac:dyDescent="0.25">
      <c r="A1518" s="41">
        <v>45323</v>
      </c>
      <c r="B1518" s="47">
        <f>MONTH(Table13[[#This Row],[YearMonth]])</f>
        <v>2</v>
      </c>
      <c r="C1518" s="9" t="s">
        <v>88</v>
      </c>
      <c r="D1518" s="14" t="s">
        <v>330</v>
      </c>
      <c r="E1518" s="14">
        <f>IF(Table13[[#This Row],[Quartile]]="TopQuartile", 1,
 IF(Table13[[#This Row],[Quartile]]="SecondQuartile", 2,
 IF(Table13[[#This Row],[Quartile]]="ThirdQuartile", 3,
 IF(Table13[[#This Row],[Quartile]]="FourthQuartile", 4, ""))))</f>
        <v>1</v>
      </c>
      <c r="F1518" s="9" t="s">
        <v>428</v>
      </c>
      <c r="G1518" s="9" t="str" cm="1">
        <f t="array" ref="G1518">IFERROR(
  INDEX(Table13[Quartile],
    MATCH(1,
      (Table13[[#This Row],[OrgName]]=Table13[OrgName]) *
      (Table13[[#This Row],[Month Number]]-1=Table13[Month Number]),
    0)
  ),
"")</f>
        <v>TopQuartile</v>
      </c>
      <c r="H1518" s="9">
        <f>IF(Table13[[#This Row],[Previous Quartile]]="TopQuartile", 1,
 IF(Table13[[#This Row],[Previous Quartile]]="SecondQuartile", 2,
 IF(Table13[[#This Row],[Previous Quartile]]="ThirdQuartile", 3,
 IF(Table13[[#This Row],[Previous Quartile]]="FourthQuartile", 4, ""))))</f>
        <v>1</v>
      </c>
      <c r="I1518" s="9" t="str">
        <f>IF(Table13[[#This Row],[Previous Quartile Value]]="", "",
   IF(Table13[[#This Row],[Quartile Value]] &lt; Table13[[#This Row],[Previous Quartile Value]], "Improved",
   IF(Table13[[#This Row],[Quartile Value]] &gt; Table13[[#This Row],[Previous Quartile Value]], "Dropped", "Same")))</f>
        <v>Same</v>
      </c>
      <c r="J1518" s="10" t="s">
        <v>22</v>
      </c>
      <c r="K1518" s="7" t="str">
        <f>VLOOKUP(J1518,Introduction!$B$6:$C$14,2)</f>
        <v>North West</v>
      </c>
      <c r="L1518" s="11">
        <v>408</v>
      </c>
      <c r="M1518" s="12" t="s">
        <v>425</v>
      </c>
    </row>
    <row r="1519" spans="1:13" ht="19.95" customHeight="1" x14ac:dyDescent="0.25">
      <c r="A1519" s="41">
        <v>45323</v>
      </c>
      <c r="B1519" s="47">
        <f>MONTH(Table13[[#This Row],[YearMonth]])</f>
        <v>2</v>
      </c>
      <c r="C1519" s="9" t="s">
        <v>94</v>
      </c>
      <c r="D1519" s="14" t="s">
        <v>330</v>
      </c>
      <c r="E1519" s="14">
        <f>IF(Table13[[#This Row],[Quartile]]="TopQuartile", 1,
 IF(Table13[[#This Row],[Quartile]]="SecondQuartile", 2,
 IF(Table13[[#This Row],[Quartile]]="ThirdQuartile", 3,
 IF(Table13[[#This Row],[Quartile]]="FourthQuartile", 4, ""))))</f>
        <v>1</v>
      </c>
      <c r="F1519" s="9" t="s">
        <v>429</v>
      </c>
      <c r="G1519" s="9" t="str" cm="1">
        <f t="array" ref="G1519">IFERROR(
  INDEX(Table13[Quartile],
    MATCH(1,
      (Table13[[#This Row],[OrgName]]=Table13[OrgName]) *
      (Table13[[#This Row],[Month Number]]-1=Table13[Month Number]),
    0)
  ),
"")</f>
        <v>TopQuartile</v>
      </c>
      <c r="H1519" s="9">
        <f>IF(Table13[[#This Row],[Previous Quartile]]="TopQuartile", 1,
 IF(Table13[[#This Row],[Previous Quartile]]="SecondQuartile", 2,
 IF(Table13[[#This Row],[Previous Quartile]]="ThirdQuartile", 3,
 IF(Table13[[#This Row],[Previous Quartile]]="FourthQuartile", 4, ""))))</f>
        <v>1</v>
      </c>
      <c r="I1519" s="9" t="str">
        <f>IF(Table13[[#This Row],[Previous Quartile Value]]="", "",
   IF(Table13[[#This Row],[Quartile Value]] &lt; Table13[[#This Row],[Previous Quartile Value]], "Improved",
   IF(Table13[[#This Row],[Quartile Value]] &gt; Table13[[#This Row],[Previous Quartile Value]], "Dropped", "Same")))</f>
        <v>Same</v>
      </c>
      <c r="J1519" s="10" t="s">
        <v>22</v>
      </c>
      <c r="K1519" s="7" t="str">
        <f>VLOOKUP(J1519,Introduction!$B$6:$C$14,2)</f>
        <v>North West</v>
      </c>
      <c r="L1519" s="11">
        <v>438</v>
      </c>
      <c r="M1519" s="12" t="s">
        <v>425</v>
      </c>
    </row>
    <row r="1520" spans="1:13" ht="19.95" customHeight="1" x14ac:dyDescent="0.25">
      <c r="A1520" s="41">
        <v>45323</v>
      </c>
      <c r="B1520" s="47">
        <f>MONTH(Table13[[#This Row],[YearMonth]])</f>
        <v>2</v>
      </c>
      <c r="C1520" s="9" t="s">
        <v>69</v>
      </c>
      <c r="D1520" s="14" t="s">
        <v>330</v>
      </c>
      <c r="E1520" s="14">
        <f>IF(Table13[[#This Row],[Quartile]]="TopQuartile", 1,
 IF(Table13[[#This Row],[Quartile]]="SecondQuartile", 2,
 IF(Table13[[#This Row],[Quartile]]="ThirdQuartile", 3,
 IF(Table13[[#This Row],[Quartile]]="FourthQuartile", 4, ""))))</f>
        <v>1</v>
      </c>
      <c r="F1520" s="9" t="s">
        <v>426</v>
      </c>
      <c r="G1520" s="9" t="str" cm="1">
        <f t="array" ref="G1520">IFERROR(
  INDEX(Table13[Quartile],
    MATCH(1,
      (Table13[[#This Row],[OrgName]]=Table13[OrgName]) *
      (Table13[[#This Row],[Month Number]]-1=Table13[Month Number]),
    0)
  ),
"")</f>
        <v>TopQuartile</v>
      </c>
      <c r="H1520" s="9">
        <f>IF(Table13[[#This Row],[Previous Quartile]]="TopQuartile", 1,
 IF(Table13[[#This Row],[Previous Quartile]]="SecondQuartile", 2,
 IF(Table13[[#This Row],[Previous Quartile]]="ThirdQuartile", 3,
 IF(Table13[[#This Row],[Previous Quartile]]="FourthQuartile", 4, ""))))</f>
        <v>1</v>
      </c>
      <c r="I1520" s="9" t="str">
        <f>IF(Table13[[#This Row],[Previous Quartile Value]]="", "",
   IF(Table13[[#This Row],[Quartile Value]] &lt; Table13[[#This Row],[Previous Quartile Value]], "Improved",
   IF(Table13[[#This Row],[Quartile Value]] &gt; Table13[[#This Row],[Previous Quartile Value]], "Dropped", "Same")))</f>
        <v>Same</v>
      </c>
      <c r="J1520" s="10" t="s">
        <v>18</v>
      </c>
      <c r="K1520" s="7" t="str">
        <f>VLOOKUP(J1520,Introduction!$B$6:$C$14,2)</f>
        <v>Midlands</v>
      </c>
      <c r="L1520" s="11">
        <v>320</v>
      </c>
      <c r="M1520" s="12" t="s">
        <v>425</v>
      </c>
    </row>
    <row r="1521" spans="1:13" ht="19.95" customHeight="1" x14ac:dyDescent="0.25">
      <c r="A1521" s="41">
        <v>45323</v>
      </c>
      <c r="B1521" s="47">
        <f>MONTH(Table13[[#This Row],[YearMonth]])</f>
        <v>2</v>
      </c>
      <c r="C1521" s="9" t="s">
        <v>41</v>
      </c>
      <c r="D1521" s="14" t="s">
        <v>330</v>
      </c>
      <c r="E1521" s="14">
        <f>IF(Table13[[#This Row],[Quartile]]="TopQuartile", 1,
 IF(Table13[[#This Row],[Quartile]]="SecondQuartile", 2,
 IF(Table13[[#This Row],[Quartile]]="ThirdQuartile", 3,
 IF(Table13[[#This Row],[Quartile]]="FourthQuartile", 4, ""))))</f>
        <v>1</v>
      </c>
      <c r="F1521" s="9" t="s">
        <v>424</v>
      </c>
      <c r="G1521" s="9" t="str" cm="1">
        <f t="array" ref="G1521">IFERROR(
  INDEX(Table13[Quartile],
    MATCH(1,
      (Table13[[#This Row],[OrgName]]=Table13[OrgName]) *
      (Table13[[#This Row],[Month Number]]-1=Table13[Month Number]),
    0)
  ),
"")</f>
        <v>TopQuartile</v>
      </c>
      <c r="H1521" s="9">
        <f>IF(Table13[[#This Row],[Previous Quartile]]="TopQuartile", 1,
 IF(Table13[[#This Row],[Previous Quartile]]="SecondQuartile", 2,
 IF(Table13[[#This Row],[Previous Quartile]]="ThirdQuartile", 3,
 IF(Table13[[#This Row],[Previous Quartile]]="FourthQuartile", 4, ""))))</f>
        <v>1</v>
      </c>
      <c r="I1521" s="9" t="str">
        <f>IF(Table13[[#This Row],[Previous Quartile Value]]="", "",
   IF(Table13[[#This Row],[Quartile Value]] &lt; Table13[[#This Row],[Previous Quartile Value]], "Improved",
   IF(Table13[[#This Row],[Quartile Value]] &gt; Table13[[#This Row],[Previous Quartile Value]], "Dropped", "Same")))</f>
        <v>Same</v>
      </c>
      <c r="J1521" s="10" t="s">
        <v>24</v>
      </c>
      <c r="K1521" s="7" t="str">
        <f>VLOOKUP(J1521,Introduction!$B$6:$C$14,2)</f>
        <v>North East and Yorkshire</v>
      </c>
      <c r="L1521" s="11">
        <v>389</v>
      </c>
      <c r="M1521" s="12" t="s">
        <v>425</v>
      </c>
    </row>
    <row r="1522" spans="1:13" ht="19.95" customHeight="1" x14ac:dyDescent="0.25">
      <c r="A1522" s="41">
        <v>45323</v>
      </c>
      <c r="B1522" s="47">
        <f>MONTH(Table13[[#This Row],[YearMonth]])</f>
        <v>2</v>
      </c>
      <c r="C1522" s="9" t="s">
        <v>103</v>
      </c>
      <c r="D1522" s="14" t="s">
        <v>330</v>
      </c>
      <c r="E1522" s="14">
        <f>IF(Table13[[#This Row],[Quartile]]="TopQuartile", 1,
 IF(Table13[[#This Row],[Quartile]]="SecondQuartile", 2,
 IF(Table13[[#This Row],[Quartile]]="ThirdQuartile", 3,
 IF(Table13[[#This Row],[Quartile]]="FourthQuartile", 4, ""))))</f>
        <v>1</v>
      </c>
      <c r="F1522" s="9" t="s">
        <v>431</v>
      </c>
      <c r="G1522" s="9" t="str" cm="1">
        <f t="array" ref="G1522">IFERROR(
  INDEX(Table13[Quartile],
    MATCH(1,
      (Table13[[#This Row],[OrgName]]=Table13[OrgName]) *
      (Table13[[#This Row],[Month Number]]-1=Table13[Month Number]),
    0)
  ),
"")</f>
        <v>TopQuartile</v>
      </c>
      <c r="H1522" s="9">
        <f>IF(Table13[[#This Row],[Previous Quartile]]="TopQuartile", 1,
 IF(Table13[[#This Row],[Previous Quartile]]="SecondQuartile", 2,
 IF(Table13[[#This Row],[Previous Quartile]]="ThirdQuartile", 3,
 IF(Table13[[#This Row],[Previous Quartile]]="FourthQuartile", 4, ""))))</f>
        <v>1</v>
      </c>
      <c r="I1522" s="9" t="str">
        <f>IF(Table13[[#This Row],[Previous Quartile Value]]="", "",
   IF(Table13[[#This Row],[Quartile Value]] &lt; Table13[[#This Row],[Previous Quartile Value]], "Improved",
   IF(Table13[[#This Row],[Quartile Value]] &gt; Table13[[#This Row],[Previous Quartile Value]], "Dropped", "Same")))</f>
        <v>Same</v>
      </c>
      <c r="J1522" s="10" t="s">
        <v>16</v>
      </c>
      <c r="K1522" s="7" t="str">
        <f>VLOOKUP(J1522,Introduction!$B$6:$C$14,2)</f>
        <v>South East</v>
      </c>
      <c r="L1522" s="11">
        <v>188</v>
      </c>
      <c r="M1522" s="12" t="s">
        <v>425</v>
      </c>
    </row>
    <row r="1523" spans="1:13" ht="19.95" customHeight="1" x14ac:dyDescent="0.25">
      <c r="A1523" s="41">
        <v>45323</v>
      </c>
      <c r="B1523" s="47">
        <f>MONTH(Table13[[#This Row],[YearMonth]])</f>
        <v>2</v>
      </c>
      <c r="C1523" s="9" t="s">
        <v>82</v>
      </c>
      <c r="D1523" s="14" t="s">
        <v>338</v>
      </c>
      <c r="E1523" s="14">
        <f>IF(Table13[[#This Row],[Quartile]]="TopQuartile", 1,
 IF(Table13[[#This Row],[Quartile]]="SecondQuartile", 2,
 IF(Table13[[#This Row],[Quartile]]="ThirdQuartile", 3,
 IF(Table13[[#This Row],[Quartile]]="FourthQuartile", 4, ""))))</f>
        <v>2</v>
      </c>
      <c r="F1523" s="9" t="s">
        <v>427</v>
      </c>
      <c r="G1523" s="9" t="str" cm="1">
        <f t="array" ref="G1523">IFERROR(
  INDEX(Table13[Quartile],
    MATCH(1,
      (Table13[[#This Row],[OrgName]]=Table13[OrgName]) *
      (Table13[[#This Row],[Month Number]]-1=Table13[Month Number]),
    0)
  ),
"")</f>
        <v>SecondQuartile</v>
      </c>
      <c r="H1523" s="9">
        <f>IF(Table13[[#This Row],[Previous Quartile]]="TopQuartile", 1,
 IF(Table13[[#This Row],[Previous Quartile]]="SecondQuartile", 2,
 IF(Table13[[#This Row],[Previous Quartile]]="ThirdQuartile", 3,
 IF(Table13[[#This Row],[Previous Quartile]]="FourthQuartile", 4, ""))))</f>
        <v>2</v>
      </c>
      <c r="I1523" s="9" t="str">
        <f>IF(Table13[[#This Row],[Previous Quartile Value]]="", "",
   IF(Table13[[#This Row],[Quartile Value]] &lt; Table13[[#This Row],[Previous Quartile Value]], "Improved",
   IF(Table13[[#This Row],[Quartile Value]] &gt; Table13[[#This Row],[Previous Quartile Value]], "Dropped", "Same")))</f>
        <v>Same</v>
      </c>
      <c r="J1523" s="10" t="s">
        <v>20</v>
      </c>
      <c r="K1523" s="7" t="str">
        <f>VLOOKUP(J1523,Introduction!$B$6:$C$14,2)</f>
        <v>East of England</v>
      </c>
      <c r="L1523" s="11">
        <v>180</v>
      </c>
      <c r="M1523" s="12" t="s">
        <v>425</v>
      </c>
    </row>
    <row r="1524" spans="1:13" ht="19.95" customHeight="1" x14ac:dyDescent="0.25">
      <c r="A1524" s="41">
        <v>45323</v>
      </c>
      <c r="B1524" s="47">
        <f>MONTH(Table13[[#This Row],[YearMonth]])</f>
        <v>2</v>
      </c>
      <c r="C1524" s="9" t="s">
        <v>144</v>
      </c>
      <c r="D1524" s="14" t="s">
        <v>338</v>
      </c>
      <c r="E1524" s="14">
        <f>IF(Table13[[#This Row],[Quartile]]="TopQuartile", 1,
 IF(Table13[[#This Row],[Quartile]]="SecondQuartile", 2,
 IF(Table13[[#This Row],[Quartile]]="ThirdQuartile", 3,
 IF(Table13[[#This Row],[Quartile]]="FourthQuartile", 4, ""))))</f>
        <v>2</v>
      </c>
      <c r="F1524" s="9" t="s">
        <v>436</v>
      </c>
      <c r="G1524" s="9" t="str" cm="1">
        <f t="array" ref="G1524">IFERROR(
  INDEX(Table13[Quartile],
    MATCH(1,
      (Table13[[#This Row],[OrgName]]=Table13[OrgName]) *
      (Table13[[#This Row],[Month Number]]-1=Table13[Month Number]),
    0)
  ),
"")</f>
        <v>TopQuartile</v>
      </c>
      <c r="H1524" s="9">
        <f>IF(Table13[[#This Row],[Previous Quartile]]="TopQuartile", 1,
 IF(Table13[[#This Row],[Previous Quartile]]="SecondQuartile", 2,
 IF(Table13[[#This Row],[Previous Quartile]]="ThirdQuartile", 3,
 IF(Table13[[#This Row],[Previous Quartile]]="FourthQuartile", 4, ""))))</f>
        <v>1</v>
      </c>
      <c r="I1524" s="9" t="str">
        <f>IF(Table13[[#This Row],[Previous Quartile Value]]="", "",
   IF(Table13[[#This Row],[Quartile Value]] &lt; Table13[[#This Row],[Previous Quartile Value]], "Improved",
   IF(Table13[[#This Row],[Quartile Value]] &gt; Table13[[#This Row],[Previous Quartile Value]], "Dropped", "Same")))</f>
        <v>Dropped</v>
      </c>
      <c r="J1524" s="10" t="s">
        <v>24</v>
      </c>
      <c r="K1524" s="7" t="str">
        <f>VLOOKUP(J1524,Introduction!$B$6:$C$14,2)</f>
        <v>North East and Yorkshire</v>
      </c>
      <c r="L1524" s="11">
        <v>190</v>
      </c>
      <c r="M1524" s="12" t="s">
        <v>425</v>
      </c>
    </row>
    <row r="1525" spans="1:13" ht="19.95" customHeight="1" x14ac:dyDescent="0.25">
      <c r="A1525" s="41">
        <v>45323</v>
      </c>
      <c r="B1525" s="47">
        <f>MONTH(Table13[[#This Row],[YearMonth]])</f>
        <v>2</v>
      </c>
      <c r="C1525" s="9" t="s">
        <v>128</v>
      </c>
      <c r="D1525" s="14" t="s">
        <v>338</v>
      </c>
      <c r="E1525" s="14">
        <f>IF(Table13[[#This Row],[Quartile]]="TopQuartile", 1,
 IF(Table13[[#This Row],[Quartile]]="SecondQuartile", 2,
 IF(Table13[[#This Row],[Quartile]]="ThirdQuartile", 3,
 IF(Table13[[#This Row],[Quartile]]="FourthQuartile", 4, ""))))</f>
        <v>2</v>
      </c>
      <c r="F1525" s="9" t="s">
        <v>433</v>
      </c>
      <c r="G1525" s="9" t="str" cm="1">
        <f t="array" ref="G1525">IFERROR(
  INDEX(Table13[Quartile],
    MATCH(1,
      (Table13[[#This Row],[OrgName]]=Table13[OrgName]) *
      (Table13[[#This Row],[Month Number]]-1=Table13[Month Number]),
    0)
  ),
"")</f>
        <v>SecondQuartile</v>
      </c>
      <c r="H1525" s="9">
        <f>IF(Table13[[#This Row],[Previous Quartile]]="TopQuartile", 1,
 IF(Table13[[#This Row],[Previous Quartile]]="SecondQuartile", 2,
 IF(Table13[[#This Row],[Previous Quartile]]="ThirdQuartile", 3,
 IF(Table13[[#This Row],[Previous Quartile]]="FourthQuartile", 4, ""))))</f>
        <v>2</v>
      </c>
      <c r="I1525" s="9" t="str">
        <f>IF(Table13[[#This Row],[Previous Quartile Value]]="", "",
   IF(Table13[[#This Row],[Quartile Value]] &lt; Table13[[#This Row],[Previous Quartile Value]], "Improved",
   IF(Table13[[#This Row],[Quartile Value]] &gt; Table13[[#This Row],[Previous Quartile Value]], "Dropped", "Same")))</f>
        <v>Same</v>
      </c>
      <c r="J1525" s="10" t="s">
        <v>12</v>
      </c>
      <c r="K1525" s="7" t="str">
        <f>VLOOKUP(J1525,Introduction!$B$6:$C$14,2)</f>
        <v>London</v>
      </c>
      <c r="L1525" s="11">
        <v>162</v>
      </c>
      <c r="M1525" s="12" t="s">
        <v>425</v>
      </c>
    </row>
    <row r="1526" spans="1:13" ht="19.95" customHeight="1" x14ac:dyDescent="0.25">
      <c r="A1526" s="41">
        <v>45323</v>
      </c>
      <c r="B1526" s="47">
        <f>MONTH(Table13[[#This Row],[YearMonth]])</f>
        <v>2</v>
      </c>
      <c r="C1526" s="9" t="s">
        <v>140</v>
      </c>
      <c r="D1526" s="14" t="s">
        <v>338</v>
      </c>
      <c r="E1526" s="14">
        <f>IF(Table13[[#This Row],[Quartile]]="TopQuartile", 1,
 IF(Table13[[#This Row],[Quartile]]="SecondQuartile", 2,
 IF(Table13[[#This Row],[Quartile]]="ThirdQuartile", 3,
 IF(Table13[[#This Row],[Quartile]]="FourthQuartile", 4, ""))))</f>
        <v>2</v>
      </c>
      <c r="F1526" s="9" t="s">
        <v>434</v>
      </c>
      <c r="G1526" s="9" t="str" cm="1">
        <f t="array" ref="G1526">IFERROR(
  INDEX(Table13[Quartile],
    MATCH(1,
      (Table13[[#This Row],[OrgName]]=Table13[OrgName]) *
      (Table13[[#This Row],[Month Number]]-1=Table13[Month Number]),
    0)
  ),
"")</f>
        <v>TopQuartile</v>
      </c>
      <c r="H1526" s="9">
        <f>IF(Table13[[#This Row],[Previous Quartile]]="TopQuartile", 1,
 IF(Table13[[#This Row],[Previous Quartile]]="SecondQuartile", 2,
 IF(Table13[[#This Row],[Previous Quartile]]="ThirdQuartile", 3,
 IF(Table13[[#This Row],[Previous Quartile]]="FourthQuartile", 4, ""))))</f>
        <v>1</v>
      </c>
      <c r="I1526" s="9" t="str">
        <f>IF(Table13[[#This Row],[Previous Quartile Value]]="", "",
   IF(Table13[[#This Row],[Quartile Value]] &lt; Table13[[#This Row],[Previous Quartile Value]], "Improved",
   IF(Table13[[#This Row],[Quartile Value]] &gt; Table13[[#This Row],[Previous Quartile Value]], "Dropped", "Same")))</f>
        <v>Dropped</v>
      </c>
      <c r="J1526" s="10" t="s">
        <v>18</v>
      </c>
      <c r="K1526" s="7" t="str">
        <f>VLOOKUP(J1526,Introduction!$B$6:$C$14,2)</f>
        <v>Midlands</v>
      </c>
      <c r="L1526" s="11">
        <v>203</v>
      </c>
      <c r="M1526" s="12" t="s">
        <v>425</v>
      </c>
    </row>
    <row r="1527" spans="1:13" ht="19.95" customHeight="1" x14ac:dyDescent="0.25">
      <c r="A1527" s="41">
        <v>45323</v>
      </c>
      <c r="B1527" s="47">
        <f>MONTH(Table13[[#This Row],[YearMonth]])</f>
        <v>2</v>
      </c>
      <c r="C1527" s="9" t="s">
        <v>147</v>
      </c>
      <c r="D1527" s="14" t="s">
        <v>338</v>
      </c>
      <c r="E1527" s="14">
        <f>IF(Table13[[#This Row],[Quartile]]="TopQuartile", 1,
 IF(Table13[[#This Row],[Quartile]]="SecondQuartile", 2,
 IF(Table13[[#This Row],[Quartile]]="ThirdQuartile", 3,
 IF(Table13[[#This Row],[Quartile]]="FourthQuartile", 4, ""))))</f>
        <v>2</v>
      </c>
      <c r="F1527" s="9" t="s">
        <v>437</v>
      </c>
      <c r="G1527" s="9" t="str" cm="1">
        <f t="array" ref="G1527">IFERROR(
  INDEX(Table13[Quartile],
    MATCH(1,
      (Table13[[#This Row],[OrgName]]=Table13[OrgName]) *
      (Table13[[#This Row],[Month Number]]-1=Table13[Month Number]),
    0)
  ),
"")</f>
        <v>SecondQuartile</v>
      </c>
      <c r="H1527" s="9">
        <f>IF(Table13[[#This Row],[Previous Quartile]]="TopQuartile", 1,
 IF(Table13[[#This Row],[Previous Quartile]]="SecondQuartile", 2,
 IF(Table13[[#This Row],[Previous Quartile]]="ThirdQuartile", 3,
 IF(Table13[[#This Row],[Previous Quartile]]="FourthQuartile", 4, ""))))</f>
        <v>2</v>
      </c>
      <c r="I1527" s="9" t="str">
        <f>IF(Table13[[#This Row],[Previous Quartile Value]]="", "",
   IF(Table13[[#This Row],[Quartile Value]] &lt; Table13[[#This Row],[Previous Quartile Value]], "Improved",
   IF(Table13[[#This Row],[Quartile Value]] &gt; Table13[[#This Row],[Previous Quartile Value]], "Dropped", "Same")))</f>
        <v>Same</v>
      </c>
      <c r="J1527" s="10" t="s">
        <v>22</v>
      </c>
      <c r="K1527" s="7" t="str">
        <f>VLOOKUP(J1527,Introduction!$B$6:$C$14,2)</f>
        <v>North West</v>
      </c>
      <c r="L1527" s="11">
        <v>331</v>
      </c>
      <c r="M1527" s="12" t="s">
        <v>425</v>
      </c>
    </row>
    <row r="1528" spans="1:13" ht="19.95" customHeight="1" x14ac:dyDescent="0.25">
      <c r="A1528" s="41">
        <v>45323</v>
      </c>
      <c r="B1528" s="47">
        <f>MONTH(Table13[[#This Row],[YearMonth]])</f>
        <v>2</v>
      </c>
      <c r="C1528" s="9" t="s">
        <v>119</v>
      </c>
      <c r="D1528" s="14" t="s">
        <v>338</v>
      </c>
      <c r="E1528" s="14">
        <f>IF(Table13[[#This Row],[Quartile]]="TopQuartile", 1,
 IF(Table13[[#This Row],[Quartile]]="SecondQuartile", 2,
 IF(Table13[[#This Row],[Quartile]]="ThirdQuartile", 3,
 IF(Table13[[#This Row],[Quartile]]="FourthQuartile", 4, ""))))</f>
        <v>2</v>
      </c>
      <c r="F1528" s="9" t="s">
        <v>432</v>
      </c>
      <c r="G1528" s="9" t="str" cm="1">
        <f t="array" ref="G1528">IFERROR(
  INDEX(Table13[Quartile],
    MATCH(1,
      (Table13[[#This Row],[OrgName]]=Table13[OrgName]) *
      (Table13[[#This Row],[Month Number]]-1=Table13[Month Number]),
    0)
  ),
"")</f>
        <v>SecondQuartile</v>
      </c>
      <c r="H1528" s="9">
        <f>IF(Table13[[#This Row],[Previous Quartile]]="TopQuartile", 1,
 IF(Table13[[#This Row],[Previous Quartile]]="SecondQuartile", 2,
 IF(Table13[[#This Row],[Previous Quartile]]="ThirdQuartile", 3,
 IF(Table13[[#This Row],[Previous Quartile]]="FourthQuartile", 4, ""))))</f>
        <v>2</v>
      </c>
      <c r="I1528" s="9" t="str">
        <f>IF(Table13[[#This Row],[Previous Quartile Value]]="", "",
   IF(Table13[[#This Row],[Quartile Value]] &lt; Table13[[#This Row],[Previous Quartile Value]], "Improved",
   IF(Table13[[#This Row],[Quartile Value]] &gt; Table13[[#This Row],[Previous Quartile Value]], "Dropped", "Same")))</f>
        <v>Same</v>
      </c>
      <c r="J1528" s="10" t="s">
        <v>22</v>
      </c>
      <c r="K1528" s="7" t="str">
        <f>VLOOKUP(J1528,Introduction!$B$6:$C$14,2)</f>
        <v>North West</v>
      </c>
      <c r="L1528" s="11">
        <v>236</v>
      </c>
      <c r="M1528" s="12" t="s">
        <v>425</v>
      </c>
    </row>
    <row r="1529" spans="1:13" ht="19.95" customHeight="1" x14ac:dyDescent="0.25">
      <c r="A1529" s="41">
        <v>45323</v>
      </c>
      <c r="B1529" s="47">
        <f>MONTH(Table13[[#This Row],[YearMonth]])</f>
        <v>2</v>
      </c>
      <c r="C1529" s="9" t="s">
        <v>157</v>
      </c>
      <c r="D1529" s="14" t="s">
        <v>338</v>
      </c>
      <c r="E1529" s="14">
        <f>IF(Table13[[#This Row],[Quartile]]="TopQuartile", 1,
 IF(Table13[[#This Row],[Quartile]]="SecondQuartile", 2,
 IF(Table13[[#This Row],[Quartile]]="ThirdQuartile", 3,
 IF(Table13[[#This Row],[Quartile]]="FourthQuartile", 4, ""))))</f>
        <v>2</v>
      </c>
      <c r="F1529" s="9" t="s">
        <v>440</v>
      </c>
      <c r="G1529" s="9" t="str" cm="1">
        <f t="array" ref="G1529">IFERROR(
  INDEX(Table13[Quartile],
    MATCH(1,
      (Table13[[#This Row],[OrgName]]=Table13[OrgName]) *
      (Table13[[#This Row],[Month Number]]-1=Table13[Month Number]),
    0)
  ),
"")</f>
        <v>SecondQuartile</v>
      </c>
      <c r="H1529" s="9">
        <f>IF(Table13[[#This Row],[Previous Quartile]]="TopQuartile", 1,
 IF(Table13[[#This Row],[Previous Quartile]]="SecondQuartile", 2,
 IF(Table13[[#This Row],[Previous Quartile]]="ThirdQuartile", 3,
 IF(Table13[[#This Row],[Previous Quartile]]="FourthQuartile", 4, ""))))</f>
        <v>2</v>
      </c>
      <c r="I1529" s="9" t="str">
        <f>IF(Table13[[#This Row],[Previous Quartile Value]]="", "",
   IF(Table13[[#This Row],[Quartile Value]] &lt; Table13[[#This Row],[Previous Quartile Value]], "Improved",
   IF(Table13[[#This Row],[Quartile Value]] &gt; Table13[[#This Row],[Previous Quartile Value]], "Dropped", "Same")))</f>
        <v>Same</v>
      </c>
      <c r="J1529" s="10" t="s">
        <v>12</v>
      </c>
      <c r="K1529" s="7" t="str">
        <f>VLOOKUP(J1529,Introduction!$B$6:$C$14,2)</f>
        <v>London</v>
      </c>
      <c r="L1529" s="11">
        <v>391</v>
      </c>
      <c r="M1529" s="12" t="s">
        <v>425</v>
      </c>
    </row>
    <row r="1530" spans="1:13" ht="19.95" customHeight="1" x14ac:dyDescent="0.25">
      <c r="A1530" s="41">
        <v>45323</v>
      </c>
      <c r="B1530" s="47">
        <f>MONTH(Table13[[#This Row],[YearMonth]])</f>
        <v>2</v>
      </c>
      <c r="C1530" s="9" t="s">
        <v>149</v>
      </c>
      <c r="D1530" s="14" t="s">
        <v>338</v>
      </c>
      <c r="E1530" s="14">
        <f>IF(Table13[[#This Row],[Quartile]]="TopQuartile", 1,
 IF(Table13[[#This Row],[Quartile]]="SecondQuartile", 2,
 IF(Table13[[#This Row],[Quartile]]="ThirdQuartile", 3,
 IF(Table13[[#This Row],[Quartile]]="FourthQuartile", 4, ""))))</f>
        <v>2</v>
      </c>
      <c r="F1530" s="9" t="s">
        <v>438</v>
      </c>
      <c r="G1530" s="9" t="str" cm="1">
        <f t="array" ref="G1530">IFERROR(
  INDEX(Table13[Quartile],
    MATCH(1,
      (Table13[[#This Row],[OrgName]]=Table13[OrgName]) *
      (Table13[[#This Row],[Month Number]]-1=Table13[Month Number]),
    0)
  ),
"")</f>
        <v>SecondQuartile</v>
      </c>
      <c r="H1530" s="9">
        <f>IF(Table13[[#This Row],[Previous Quartile]]="TopQuartile", 1,
 IF(Table13[[#This Row],[Previous Quartile]]="SecondQuartile", 2,
 IF(Table13[[#This Row],[Previous Quartile]]="ThirdQuartile", 3,
 IF(Table13[[#This Row],[Previous Quartile]]="FourthQuartile", 4, ""))))</f>
        <v>2</v>
      </c>
      <c r="I1530" s="9" t="str">
        <f>IF(Table13[[#This Row],[Previous Quartile Value]]="", "",
   IF(Table13[[#This Row],[Quartile Value]] &lt; Table13[[#This Row],[Previous Quartile Value]], "Improved",
   IF(Table13[[#This Row],[Quartile Value]] &gt; Table13[[#This Row],[Previous Quartile Value]], "Dropped", "Same")))</f>
        <v>Same</v>
      </c>
      <c r="J1530" s="10" t="s">
        <v>16</v>
      </c>
      <c r="K1530" s="7" t="str">
        <f>VLOOKUP(J1530,Introduction!$B$6:$C$14,2)</f>
        <v>South East</v>
      </c>
      <c r="L1530" s="11">
        <v>279</v>
      </c>
      <c r="M1530" s="12" t="s">
        <v>425</v>
      </c>
    </row>
    <row r="1531" spans="1:13" ht="19.95" customHeight="1" x14ac:dyDescent="0.25">
      <c r="A1531" s="41">
        <v>45323</v>
      </c>
      <c r="B1531" s="47">
        <f>MONTH(Table13[[#This Row],[YearMonth]])</f>
        <v>2</v>
      </c>
      <c r="C1531" s="9" t="s">
        <v>153</v>
      </c>
      <c r="D1531" s="14" t="s">
        <v>338</v>
      </c>
      <c r="E1531" s="14">
        <f>IF(Table13[[#This Row],[Quartile]]="TopQuartile", 1,
 IF(Table13[[#This Row],[Quartile]]="SecondQuartile", 2,
 IF(Table13[[#This Row],[Quartile]]="ThirdQuartile", 3,
 IF(Table13[[#This Row],[Quartile]]="FourthQuartile", 4, ""))))</f>
        <v>2</v>
      </c>
      <c r="F1531" s="9" t="s">
        <v>439</v>
      </c>
      <c r="G1531" s="9" t="str" cm="1">
        <f t="array" ref="G1531">IFERROR(
  INDEX(Table13[Quartile],
    MATCH(1,
      (Table13[[#This Row],[OrgName]]=Table13[OrgName]) *
      (Table13[[#This Row],[Month Number]]-1=Table13[Month Number]),
    0)
  ),
"")</f>
        <v>SecondQuartile</v>
      </c>
      <c r="H1531" s="9">
        <f>IF(Table13[[#This Row],[Previous Quartile]]="TopQuartile", 1,
 IF(Table13[[#This Row],[Previous Quartile]]="SecondQuartile", 2,
 IF(Table13[[#This Row],[Previous Quartile]]="ThirdQuartile", 3,
 IF(Table13[[#This Row],[Previous Quartile]]="FourthQuartile", 4, ""))))</f>
        <v>2</v>
      </c>
      <c r="I1531" s="9" t="str">
        <f>IF(Table13[[#This Row],[Previous Quartile Value]]="", "",
   IF(Table13[[#This Row],[Quartile Value]] &lt; Table13[[#This Row],[Previous Quartile Value]], "Improved",
   IF(Table13[[#This Row],[Quartile Value]] &gt; Table13[[#This Row],[Previous Quartile Value]], "Dropped", "Same")))</f>
        <v>Same</v>
      </c>
      <c r="J1531" s="10" t="s">
        <v>12</v>
      </c>
      <c r="K1531" s="7" t="str">
        <f>VLOOKUP(J1531,Introduction!$B$6:$C$14,2)</f>
        <v>London</v>
      </c>
      <c r="L1531" s="11">
        <v>293</v>
      </c>
      <c r="M1531" s="12" t="s">
        <v>425</v>
      </c>
    </row>
    <row r="1532" spans="1:13" ht="19.95" customHeight="1" x14ac:dyDescent="0.25">
      <c r="A1532" s="41">
        <v>45323</v>
      </c>
      <c r="B1532" s="47">
        <f>MONTH(Table13[[#This Row],[YearMonth]])</f>
        <v>2</v>
      </c>
      <c r="C1532" s="9" t="s">
        <v>198</v>
      </c>
      <c r="D1532" s="14" t="s">
        <v>338</v>
      </c>
      <c r="E1532" s="14">
        <f>IF(Table13[[#This Row],[Quartile]]="TopQuartile", 1,
 IF(Table13[[#This Row],[Quartile]]="SecondQuartile", 2,
 IF(Table13[[#This Row],[Quartile]]="ThirdQuartile", 3,
 IF(Table13[[#This Row],[Quartile]]="FourthQuartile", 4, ""))))</f>
        <v>2</v>
      </c>
      <c r="F1532" s="9" t="s">
        <v>454</v>
      </c>
      <c r="G1532" s="9" t="str" cm="1">
        <f t="array" ref="G1532">IFERROR(
  INDEX(Table13[Quartile],
    MATCH(1,
      (Table13[[#This Row],[OrgName]]=Table13[OrgName]) *
      (Table13[[#This Row],[Month Number]]-1=Table13[Month Number]),
    0)
  ),
"")</f>
        <v>SecondQuartile</v>
      </c>
      <c r="H1532" s="9">
        <f>IF(Table13[[#This Row],[Previous Quartile]]="TopQuartile", 1,
 IF(Table13[[#This Row],[Previous Quartile]]="SecondQuartile", 2,
 IF(Table13[[#This Row],[Previous Quartile]]="ThirdQuartile", 3,
 IF(Table13[[#This Row],[Previous Quartile]]="FourthQuartile", 4, ""))))</f>
        <v>2</v>
      </c>
      <c r="I1532" s="9" t="str">
        <f>IF(Table13[[#This Row],[Previous Quartile Value]]="", "",
   IF(Table13[[#This Row],[Quartile Value]] &lt; Table13[[#This Row],[Previous Quartile Value]], "Improved",
   IF(Table13[[#This Row],[Quartile Value]] &gt; Table13[[#This Row],[Previous Quartile Value]], "Dropped", "Same")))</f>
        <v>Same</v>
      </c>
      <c r="J1532" s="10" t="s">
        <v>22</v>
      </c>
      <c r="K1532" s="7" t="str">
        <f>VLOOKUP(J1532,Introduction!$B$6:$C$14,2)</f>
        <v>North West</v>
      </c>
      <c r="L1532" s="11">
        <v>370</v>
      </c>
      <c r="M1532" s="12" t="s">
        <v>425</v>
      </c>
    </row>
    <row r="1533" spans="1:13" ht="19.95" customHeight="1" x14ac:dyDescent="0.25">
      <c r="A1533" s="41">
        <v>45323</v>
      </c>
      <c r="B1533" s="47">
        <f>MONTH(Table13[[#This Row],[YearMonth]])</f>
        <v>2</v>
      </c>
      <c r="C1533" s="9" t="s">
        <v>142</v>
      </c>
      <c r="D1533" s="14" t="s">
        <v>338</v>
      </c>
      <c r="E1533" s="14">
        <f>IF(Table13[[#This Row],[Quartile]]="TopQuartile", 1,
 IF(Table13[[#This Row],[Quartile]]="SecondQuartile", 2,
 IF(Table13[[#This Row],[Quartile]]="ThirdQuartile", 3,
 IF(Table13[[#This Row],[Quartile]]="FourthQuartile", 4, ""))))</f>
        <v>2</v>
      </c>
      <c r="F1533" s="9" t="s">
        <v>435</v>
      </c>
      <c r="G1533" s="9" t="str" cm="1">
        <f t="array" ref="G1533">IFERROR(
  INDEX(Table13[Quartile],
    MATCH(1,
      (Table13[[#This Row],[OrgName]]=Table13[OrgName]) *
      (Table13[[#This Row],[Month Number]]-1=Table13[Month Number]),
    0)
  ),
"")</f>
        <v>SecondQuartile</v>
      </c>
      <c r="H1533" s="9">
        <f>IF(Table13[[#This Row],[Previous Quartile]]="TopQuartile", 1,
 IF(Table13[[#This Row],[Previous Quartile]]="SecondQuartile", 2,
 IF(Table13[[#This Row],[Previous Quartile]]="ThirdQuartile", 3,
 IF(Table13[[#This Row],[Previous Quartile]]="FourthQuartile", 4, ""))))</f>
        <v>2</v>
      </c>
      <c r="I1533" s="9" t="str">
        <f>IF(Table13[[#This Row],[Previous Quartile Value]]="", "",
   IF(Table13[[#This Row],[Quartile Value]] &lt; Table13[[#This Row],[Previous Quartile Value]], "Improved",
   IF(Table13[[#This Row],[Quartile Value]] &gt; Table13[[#This Row],[Previous Quartile Value]], "Dropped", "Same")))</f>
        <v>Same</v>
      </c>
      <c r="J1533" s="10" t="s">
        <v>22</v>
      </c>
      <c r="K1533" s="7" t="str">
        <f>VLOOKUP(J1533,Introduction!$B$6:$C$14,2)</f>
        <v>North West</v>
      </c>
      <c r="L1533" s="27">
        <v>96</v>
      </c>
      <c r="M1533" s="12" t="s">
        <v>425</v>
      </c>
    </row>
    <row r="1534" spans="1:13" ht="19.95" customHeight="1" x14ac:dyDescent="0.25">
      <c r="A1534" s="41">
        <v>45323</v>
      </c>
      <c r="B1534" s="47">
        <f>MONTH(Table13[[#This Row],[YearMonth]])</f>
        <v>2</v>
      </c>
      <c r="C1534" s="9" t="s">
        <v>142</v>
      </c>
      <c r="D1534" s="14" t="s">
        <v>338</v>
      </c>
      <c r="E1534" s="14">
        <f>IF(Table13[[#This Row],[Quartile]]="TopQuartile", 1,
 IF(Table13[[#This Row],[Quartile]]="SecondQuartile", 2,
 IF(Table13[[#This Row],[Quartile]]="ThirdQuartile", 3,
 IF(Table13[[#This Row],[Quartile]]="FourthQuartile", 4, ""))))</f>
        <v>2</v>
      </c>
      <c r="F1534" s="9" t="s">
        <v>435</v>
      </c>
      <c r="G1534" s="9" t="str" cm="1">
        <f t="array" ref="G1534">IFERROR(
  INDEX(Table13[Quartile],
    MATCH(1,
      (Table13[[#This Row],[OrgName]]=Table13[OrgName]) *
      (Table13[[#This Row],[Month Number]]-1=Table13[Month Number]),
    0)
  ),
"")</f>
        <v>SecondQuartile</v>
      </c>
      <c r="H1534" s="9">
        <f>IF(Table13[[#This Row],[Previous Quartile]]="TopQuartile", 1,
 IF(Table13[[#This Row],[Previous Quartile]]="SecondQuartile", 2,
 IF(Table13[[#This Row],[Previous Quartile]]="ThirdQuartile", 3,
 IF(Table13[[#This Row],[Previous Quartile]]="FourthQuartile", 4, ""))))</f>
        <v>2</v>
      </c>
      <c r="I1534" s="9" t="str">
        <f>IF(Table13[[#This Row],[Previous Quartile Value]]="", "",
   IF(Table13[[#This Row],[Quartile Value]] &lt; Table13[[#This Row],[Previous Quartile Value]], "Improved",
   IF(Table13[[#This Row],[Quartile Value]] &gt; Table13[[#This Row],[Previous Quartile Value]], "Dropped", "Same")))</f>
        <v>Same</v>
      </c>
      <c r="J1534" s="10" t="s">
        <v>22</v>
      </c>
      <c r="K1534" s="7" t="str">
        <f>VLOOKUP(J1534,Introduction!$B$6:$C$14,2)</f>
        <v>North West</v>
      </c>
      <c r="L1534" s="27">
        <v>347</v>
      </c>
      <c r="M1534" s="12" t="s">
        <v>425</v>
      </c>
    </row>
    <row r="1535" spans="1:13" ht="19.95" customHeight="1" x14ac:dyDescent="0.25">
      <c r="A1535" s="41">
        <v>45323</v>
      </c>
      <c r="B1535" s="47">
        <f>MONTH(Table13[[#This Row],[YearMonth]])</f>
        <v>2</v>
      </c>
      <c r="C1535" s="9" t="s">
        <v>142</v>
      </c>
      <c r="D1535" s="14" t="s">
        <v>338</v>
      </c>
      <c r="E1535" s="14">
        <f>IF(Table13[[#This Row],[Quartile]]="TopQuartile", 1,
 IF(Table13[[#This Row],[Quartile]]="SecondQuartile", 2,
 IF(Table13[[#This Row],[Quartile]]="ThirdQuartile", 3,
 IF(Table13[[#This Row],[Quartile]]="FourthQuartile", 4, ""))))</f>
        <v>2</v>
      </c>
      <c r="F1535" s="9" t="s">
        <v>435</v>
      </c>
      <c r="G1535" s="9" t="str" cm="1">
        <f t="array" ref="G1535">IFERROR(
  INDEX(Table13[Quartile],
    MATCH(1,
      (Table13[[#This Row],[OrgName]]=Table13[OrgName]) *
      (Table13[[#This Row],[Month Number]]-1=Table13[Month Number]),
    0)
  ),
"")</f>
        <v>SecondQuartile</v>
      </c>
      <c r="H1535" s="9">
        <f>IF(Table13[[#This Row],[Previous Quartile]]="TopQuartile", 1,
 IF(Table13[[#This Row],[Previous Quartile]]="SecondQuartile", 2,
 IF(Table13[[#This Row],[Previous Quartile]]="ThirdQuartile", 3,
 IF(Table13[[#This Row],[Previous Quartile]]="FourthQuartile", 4, ""))))</f>
        <v>2</v>
      </c>
      <c r="I1535" s="9" t="str">
        <f>IF(Table13[[#This Row],[Previous Quartile Value]]="", "",
   IF(Table13[[#This Row],[Quartile Value]] &lt; Table13[[#This Row],[Previous Quartile Value]], "Improved",
   IF(Table13[[#This Row],[Quartile Value]] &gt; Table13[[#This Row],[Previous Quartile Value]], "Dropped", "Same")))</f>
        <v>Same</v>
      </c>
      <c r="J1535" s="10" t="s">
        <v>22</v>
      </c>
      <c r="K1535" s="7" t="str">
        <f>VLOOKUP(J1535,Introduction!$B$6:$C$14,2)</f>
        <v>North West</v>
      </c>
      <c r="L1535" s="27">
        <v>409</v>
      </c>
      <c r="M1535" s="12" t="s">
        <v>425</v>
      </c>
    </row>
    <row r="1536" spans="1:13" ht="19.95" customHeight="1" x14ac:dyDescent="0.25">
      <c r="A1536" s="41">
        <v>45323</v>
      </c>
      <c r="B1536" s="47">
        <f>MONTH(Table13[[#This Row],[YearMonth]])</f>
        <v>2</v>
      </c>
      <c r="C1536" s="9" t="s">
        <v>95</v>
      </c>
      <c r="D1536" s="14" t="s">
        <v>338</v>
      </c>
      <c r="E1536" s="14">
        <f>IF(Table13[[#This Row],[Quartile]]="TopQuartile", 1,
 IF(Table13[[#This Row],[Quartile]]="SecondQuartile", 2,
 IF(Table13[[#This Row],[Quartile]]="ThirdQuartile", 3,
 IF(Table13[[#This Row],[Quartile]]="FourthQuartile", 4, ""))))</f>
        <v>2</v>
      </c>
      <c r="F1536" s="9" t="s">
        <v>430</v>
      </c>
      <c r="G1536" s="9" t="str" cm="1">
        <f t="array" ref="G1536">IFERROR(
  INDEX(Table13[Quartile],
    MATCH(1,
      (Table13[[#This Row],[OrgName]]=Table13[OrgName]) *
      (Table13[[#This Row],[Month Number]]-1=Table13[Month Number]),
    0)
  ),
"")</f>
        <v>SecondQuartile</v>
      </c>
      <c r="H1536" s="9">
        <f>IF(Table13[[#This Row],[Previous Quartile]]="TopQuartile", 1,
 IF(Table13[[#This Row],[Previous Quartile]]="SecondQuartile", 2,
 IF(Table13[[#This Row],[Previous Quartile]]="ThirdQuartile", 3,
 IF(Table13[[#This Row],[Previous Quartile]]="FourthQuartile", 4, ""))))</f>
        <v>2</v>
      </c>
      <c r="I1536" s="9" t="str">
        <f>IF(Table13[[#This Row],[Previous Quartile Value]]="", "",
   IF(Table13[[#This Row],[Quartile Value]] &lt; Table13[[#This Row],[Previous Quartile Value]], "Improved",
   IF(Table13[[#This Row],[Quartile Value]] &gt; Table13[[#This Row],[Previous Quartile Value]], "Dropped", "Same")))</f>
        <v>Same</v>
      </c>
      <c r="J1536" s="10" t="s">
        <v>24</v>
      </c>
      <c r="K1536" s="7" t="str">
        <f>VLOOKUP(J1536,Introduction!$B$6:$C$14,2)</f>
        <v>North East and Yorkshire</v>
      </c>
      <c r="L1536" s="11">
        <v>317</v>
      </c>
      <c r="M1536" s="12" t="s">
        <v>425</v>
      </c>
    </row>
    <row r="1537" spans="1:13" ht="19.95" customHeight="1" x14ac:dyDescent="0.25">
      <c r="A1537" s="41">
        <v>45323</v>
      </c>
      <c r="B1537" s="47">
        <f>MONTH(Table13[[#This Row],[YearMonth]])</f>
        <v>2</v>
      </c>
      <c r="C1537" s="9" t="s">
        <v>177</v>
      </c>
      <c r="D1537" s="14" t="s">
        <v>338</v>
      </c>
      <c r="E1537" s="14">
        <f>IF(Table13[[#This Row],[Quartile]]="TopQuartile", 1,
 IF(Table13[[#This Row],[Quartile]]="SecondQuartile", 2,
 IF(Table13[[#This Row],[Quartile]]="ThirdQuartile", 3,
 IF(Table13[[#This Row],[Quartile]]="FourthQuartile", 4, ""))))</f>
        <v>2</v>
      </c>
      <c r="F1537" s="9" t="s">
        <v>446</v>
      </c>
      <c r="G1537" s="9" t="str" cm="1">
        <f t="array" ref="G1537">IFERROR(
  INDEX(Table13[Quartile],
    MATCH(1,
      (Table13[[#This Row],[OrgName]]=Table13[OrgName]) *
      (Table13[[#This Row],[Month Number]]-1=Table13[Month Number]),
    0)
  ),
"")</f>
        <v>SecondQuartile</v>
      </c>
      <c r="H1537" s="9">
        <f>IF(Table13[[#This Row],[Previous Quartile]]="TopQuartile", 1,
 IF(Table13[[#This Row],[Previous Quartile]]="SecondQuartile", 2,
 IF(Table13[[#This Row],[Previous Quartile]]="ThirdQuartile", 3,
 IF(Table13[[#This Row],[Previous Quartile]]="FourthQuartile", 4, ""))))</f>
        <v>2</v>
      </c>
      <c r="I1537" s="9" t="str">
        <f>IF(Table13[[#This Row],[Previous Quartile Value]]="", "",
   IF(Table13[[#This Row],[Quartile Value]] &lt; Table13[[#This Row],[Previous Quartile Value]], "Improved",
   IF(Table13[[#This Row],[Quartile Value]] &gt; Table13[[#This Row],[Previous Quartile Value]], "Dropped", "Same")))</f>
        <v>Same</v>
      </c>
      <c r="J1537" s="10" t="s">
        <v>18</v>
      </c>
      <c r="K1537" s="7" t="str">
        <f>VLOOKUP(J1537,Introduction!$B$6:$C$14,2)</f>
        <v>Midlands</v>
      </c>
      <c r="L1537" s="11">
        <v>358</v>
      </c>
      <c r="M1537" s="12" t="s">
        <v>425</v>
      </c>
    </row>
    <row r="1538" spans="1:13" ht="19.95" customHeight="1" x14ac:dyDescent="0.25">
      <c r="A1538" s="41">
        <v>45323</v>
      </c>
      <c r="B1538" s="47">
        <f>MONTH(Table13[[#This Row],[YearMonth]])</f>
        <v>2</v>
      </c>
      <c r="C1538" s="9" t="s">
        <v>197</v>
      </c>
      <c r="D1538" s="14" t="s">
        <v>338</v>
      </c>
      <c r="E1538" s="14">
        <f>IF(Table13[[#This Row],[Quartile]]="TopQuartile", 1,
 IF(Table13[[#This Row],[Quartile]]="SecondQuartile", 2,
 IF(Table13[[#This Row],[Quartile]]="ThirdQuartile", 3,
 IF(Table13[[#This Row],[Quartile]]="FourthQuartile", 4, ""))))</f>
        <v>2</v>
      </c>
      <c r="F1538" s="9" t="s">
        <v>453</v>
      </c>
      <c r="G1538" s="9" t="str" cm="1">
        <f t="array" ref="G1538">IFERROR(
  INDEX(Table13[Quartile],
    MATCH(1,
      (Table13[[#This Row],[OrgName]]=Table13[OrgName]) *
      (Table13[[#This Row],[Month Number]]-1=Table13[Month Number]),
    0)
  ),
"")</f>
        <v>SecondQuartile</v>
      </c>
      <c r="H1538" s="9">
        <f>IF(Table13[[#This Row],[Previous Quartile]]="TopQuartile", 1,
 IF(Table13[[#This Row],[Previous Quartile]]="SecondQuartile", 2,
 IF(Table13[[#This Row],[Previous Quartile]]="ThirdQuartile", 3,
 IF(Table13[[#This Row],[Previous Quartile]]="FourthQuartile", 4, ""))))</f>
        <v>2</v>
      </c>
      <c r="I1538" s="9" t="str">
        <f>IF(Table13[[#This Row],[Previous Quartile Value]]="", "",
   IF(Table13[[#This Row],[Quartile Value]] &lt; Table13[[#This Row],[Previous Quartile Value]], "Improved",
   IF(Table13[[#This Row],[Quartile Value]] &gt; Table13[[#This Row],[Previous Quartile Value]], "Dropped", "Same")))</f>
        <v>Same</v>
      </c>
      <c r="J1538" s="10" t="s">
        <v>24</v>
      </c>
      <c r="K1538" s="7" t="str">
        <f>VLOOKUP(J1538,Introduction!$B$6:$C$14,2)</f>
        <v>North East and Yorkshire</v>
      </c>
      <c r="L1538" s="11">
        <v>328</v>
      </c>
      <c r="M1538" s="12" t="s">
        <v>425</v>
      </c>
    </row>
    <row r="1539" spans="1:13" ht="19.95" customHeight="1" x14ac:dyDescent="0.25">
      <c r="A1539" s="41">
        <v>45323</v>
      </c>
      <c r="B1539" s="47">
        <f>MONTH(Table13[[#This Row],[YearMonth]])</f>
        <v>2</v>
      </c>
      <c r="C1539" s="9" t="s">
        <v>161</v>
      </c>
      <c r="D1539" s="14" t="s">
        <v>341</v>
      </c>
      <c r="E1539" s="14">
        <f>IF(Table13[[#This Row],[Quartile]]="TopQuartile", 1,
 IF(Table13[[#This Row],[Quartile]]="SecondQuartile", 2,
 IF(Table13[[#This Row],[Quartile]]="ThirdQuartile", 3,
 IF(Table13[[#This Row],[Quartile]]="FourthQuartile", 4, ""))))</f>
        <v>3</v>
      </c>
      <c r="F1539" s="9" t="s">
        <v>442</v>
      </c>
      <c r="G1539" s="9" t="str" cm="1">
        <f t="array" ref="G1539">IFERROR(
  INDEX(Table13[Quartile],
    MATCH(1,
      (Table13[[#This Row],[OrgName]]=Table13[OrgName]) *
      (Table13[[#This Row],[Month Number]]-1=Table13[Month Number]),
    0)
  ),
"")</f>
        <v>SecondQuartile</v>
      </c>
      <c r="H1539" s="9">
        <f>IF(Table13[[#This Row],[Previous Quartile]]="TopQuartile", 1,
 IF(Table13[[#This Row],[Previous Quartile]]="SecondQuartile", 2,
 IF(Table13[[#This Row],[Previous Quartile]]="ThirdQuartile", 3,
 IF(Table13[[#This Row],[Previous Quartile]]="FourthQuartile", 4, ""))))</f>
        <v>2</v>
      </c>
      <c r="I1539" s="9" t="str">
        <f>IF(Table13[[#This Row],[Previous Quartile Value]]="", "",
   IF(Table13[[#This Row],[Quartile Value]] &lt; Table13[[#This Row],[Previous Quartile Value]], "Improved",
   IF(Table13[[#This Row],[Quartile Value]] &gt; Table13[[#This Row],[Previous Quartile Value]], "Dropped", "Same")))</f>
        <v>Dropped</v>
      </c>
      <c r="J1539" s="10" t="s">
        <v>16</v>
      </c>
      <c r="K1539" s="7" t="str">
        <f>VLOOKUP(J1539,Introduction!$B$6:$C$14,2)</f>
        <v>South East</v>
      </c>
      <c r="L1539" s="11">
        <v>344</v>
      </c>
      <c r="M1539" s="12" t="s">
        <v>425</v>
      </c>
    </row>
    <row r="1540" spans="1:13" ht="19.95" customHeight="1" x14ac:dyDescent="0.25">
      <c r="A1540" s="41">
        <v>45323</v>
      </c>
      <c r="B1540" s="47">
        <f>MONTH(Table13[[#This Row],[YearMonth]])</f>
        <v>2</v>
      </c>
      <c r="C1540" s="9" t="s">
        <v>165</v>
      </c>
      <c r="D1540" s="14" t="s">
        <v>341</v>
      </c>
      <c r="E1540" s="14">
        <f>IF(Table13[[#This Row],[Quartile]]="TopQuartile", 1,
 IF(Table13[[#This Row],[Quartile]]="SecondQuartile", 2,
 IF(Table13[[#This Row],[Quartile]]="ThirdQuartile", 3,
 IF(Table13[[#This Row],[Quartile]]="FourthQuartile", 4, ""))))</f>
        <v>3</v>
      </c>
      <c r="F1540" s="9" t="s">
        <v>443</v>
      </c>
      <c r="G1540" s="9" t="str" cm="1">
        <f t="array" ref="G1540">IFERROR(
  INDEX(Table13[Quartile],
    MATCH(1,
      (Table13[[#This Row],[OrgName]]=Table13[OrgName]) *
      (Table13[[#This Row],[Month Number]]-1=Table13[Month Number]),
    0)
  ),
"")</f>
        <v>ThirdQuartile</v>
      </c>
      <c r="H1540" s="9">
        <f>IF(Table13[[#This Row],[Previous Quartile]]="TopQuartile", 1,
 IF(Table13[[#This Row],[Previous Quartile]]="SecondQuartile", 2,
 IF(Table13[[#This Row],[Previous Quartile]]="ThirdQuartile", 3,
 IF(Table13[[#This Row],[Previous Quartile]]="FourthQuartile", 4, ""))))</f>
        <v>3</v>
      </c>
      <c r="I1540" s="9" t="str">
        <f>IF(Table13[[#This Row],[Previous Quartile Value]]="", "",
   IF(Table13[[#This Row],[Quartile Value]] &lt; Table13[[#This Row],[Previous Quartile Value]], "Improved",
   IF(Table13[[#This Row],[Quartile Value]] &gt; Table13[[#This Row],[Previous Quartile Value]], "Dropped", "Same")))</f>
        <v>Same</v>
      </c>
      <c r="J1540" s="10" t="s">
        <v>24</v>
      </c>
      <c r="K1540" s="7" t="str">
        <f>VLOOKUP(J1540,Introduction!$B$6:$C$14,2)</f>
        <v>North East and Yorkshire</v>
      </c>
      <c r="L1540" s="11">
        <v>356</v>
      </c>
      <c r="M1540" s="12" t="s">
        <v>425</v>
      </c>
    </row>
    <row r="1541" spans="1:13" ht="19.95" customHeight="1" x14ac:dyDescent="0.25">
      <c r="A1541" s="41">
        <v>45323</v>
      </c>
      <c r="B1541" s="47">
        <f>MONTH(Table13[[#This Row],[YearMonth]])</f>
        <v>2</v>
      </c>
      <c r="C1541" s="9" t="s">
        <v>170</v>
      </c>
      <c r="D1541" s="14" t="s">
        <v>341</v>
      </c>
      <c r="E1541" s="14">
        <f>IF(Table13[[#This Row],[Quartile]]="TopQuartile", 1,
 IF(Table13[[#This Row],[Quartile]]="SecondQuartile", 2,
 IF(Table13[[#This Row],[Quartile]]="ThirdQuartile", 3,
 IF(Table13[[#This Row],[Quartile]]="FourthQuartile", 4, ""))))</f>
        <v>3</v>
      </c>
      <c r="F1541" s="9" t="s">
        <v>445</v>
      </c>
      <c r="G1541" s="9" t="str" cm="1">
        <f t="array" ref="G1541">IFERROR(
  INDEX(Table13[Quartile],
    MATCH(1,
      (Table13[[#This Row],[OrgName]]=Table13[OrgName]) *
      (Table13[[#This Row],[Month Number]]-1=Table13[Month Number]),
    0)
  ),
"")</f>
        <v>ThirdQuartile</v>
      </c>
      <c r="H1541" s="9">
        <f>IF(Table13[[#This Row],[Previous Quartile]]="TopQuartile", 1,
 IF(Table13[[#This Row],[Previous Quartile]]="SecondQuartile", 2,
 IF(Table13[[#This Row],[Previous Quartile]]="ThirdQuartile", 3,
 IF(Table13[[#This Row],[Previous Quartile]]="FourthQuartile", 4, ""))))</f>
        <v>3</v>
      </c>
      <c r="I1541" s="9" t="str">
        <f>IF(Table13[[#This Row],[Previous Quartile Value]]="", "",
   IF(Table13[[#This Row],[Quartile Value]] &lt; Table13[[#This Row],[Previous Quartile Value]], "Improved",
   IF(Table13[[#This Row],[Quartile Value]] &gt; Table13[[#This Row],[Previous Quartile Value]], "Dropped", "Same")))</f>
        <v>Same</v>
      </c>
      <c r="J1541" s="10" t="s">
        <v>18</v>
      </c>
      <c r="K1541" s="7" t="str">
        <f>VLOOKUP(J1541,Introduction!$B$6:$C$14,2)</f>
        <v>Midlands</v>
      </c>
      <c r="L1541" s="11">
        <v>218</v>
      </c>
      <c r="M1541" s="12" t="s">
        <v>425</v>
      </c>
    </row>
    <row r="1542" spans="1:13" ht="19.95" customHeight="1" x14ac:dyDescent="0.25">
      <c r="A1542" s="41">
        <v>45323</v>
      </c>
      <c r="B1542" s="47">
        <f>MONTH(Table13[[#This Row],[YearMonth]])</f>
        <v>2</v>
      </c>
      <c r="C1542" s="9" t="s">
        <v>189</v>
      </c>
      <c r="D1542" s="14" t="s">
        <v>341</v>
      </c>
      <c r="E1542" s="14">
        <f>IF(Table13[[#This Row],[Quartile]]="TopQuartile", 1,
 IF(Table13[[#This Row],[Quartile]]="SecondQuartile", 2,
 IF(Table13[[#This Row],[Quartile]]="ThirdQuartile", 3,
 IF(Table13[[#This Row],[Quartile]]="FourthQuartile", 4, ""))))</f>
        <v>3</v>
      </c>
      <c r="F1542" s="9" t="s">
        <v>448</v>
      </c>
      <c r="G1542" s="9" t="str" cm="1">
        <f t="array" ref="G1542">IFERROR(
  INDEX(Table13[Quartile],
    MATCH(1,
      (Table13[[#This Row],[OrgName]]=Table13[OrgName]) *
      (Table13[[#This Row],[Month Number]]-1=Table13[Month Number]),
    0)
  ),
"")</f>
        <v>ThirdQuartile</v>
      </c>
      <c r="H1542" s="9">
        <f>IF(Table13[[#This Row],[Previous Quartile]]="TopQuartile", 1,
 IF(Table13[[#This Row],[Previous Quartile]]="SecondQuartile", 2,
 IF(Table13[[#This Row],[Previous Quartile]]="ThirdQuartile", 3,
 IF(Table13[[#This Row],[Previous Quartile]]="FourthQuartile", 4, ""))))</f>
        <v>3</v>
      </c>
      <c r="I1542" s="9" t="str">
        <f>IF(Table13[[#This Row],[Previous Quartile Value]]="", "",
   IF(Table13[[#This Row],[Quartile Value]] &lt; Table13[[#This Row],[Previous Quartile Value]], "Improved",
   IF(Table13[[#This Row],[Quartile Value]] &gt; Table13[[#This Row],[Previous Quartile Value]], "Dropped", "Same")))</f>
        <v>Same</v>
      </c>
      <c r="J1542" s="10" t="s">
        <v>12</v>
      </c>
      <c r="K1542" s="7" t="str">
        <f>VLOOKUP(J1542,Introduction!$B$6:$C$14,2)</f>
        <v>London</v>
      </c>
      <c r="L1542" s="11">
        <v>343</v>
      </c>
      <c r="M1542" s="12" t="s">
        <v>425</v>
      </c>
    </row>
    <row r="1543" spans="1:13" ht="19.95" customHeight="1" x14ac:dyDescent="0.25">
      <c r="A1543" s="41">
        <v>45323</v>
      </c>
      <c r="B1543" s="47">
        <f>MONTH(Table13[[#This Row],[YearMonth]])</f>
        <v>2</v>
      </c>
      <c r="C1543" s="9" t="s">
        <v>194</v>
      </c>
      <c r="D1543" s="14" t="s">
        <v>341</v>
      </c>
      <c r="E1543" s="14">
        <f>IF(Table13[[#This Row],[Quartile]]="TopQuartile", 1,
 IF(Table13[[#This Row],[Quartile]]="SecondQuartile", 2,
 IF(Table13[[#This Row],[Quartile]]="ThirdQuartile", 3,
 IF(Table13[[#This Row],[Quartile]]="FourthQuartile", 4, ""))))</f>
        <v>3</v>
      </c>
      <c r="F1543" s="9" t="s">
        <v>451</v>
      </c>
      <c r="G1543" s="9" t="str" cm="1">
        <f t="array" ref="G1543">IFERROR(
  INDEX(Table13[Quartile],
    MATCH(1,
      (Table13[[#This Row],[OrgName]]=Table13[OrgName]) *
      (Table13[[#This Row],[Month Number]]-1=Table13[Month Number]),
    0)
  ),
"")</f>
        <v>ThirdQuartile</v>
      </c>
      <c r="H1543" s="9">
        <f>IF(Table13[[#This Row],[Previous Quartile]]="TopQuartile", 1,
 IF(Table13[[#This Row],[Previous Quartile]]="SecondQuartile", 2,
 IF(Table13[[#This Row],[Previous Quartile]]="ThirdQuartile", 3,
 IF(Table13[[#This Row],[Previous Quartile]]="FourthQuartile", 4, ""))))</f>
        <v>3</v>
      </c>
      <c r="I1543" s="9" t="str">
        <f>IF(Table13[[#This Row],[Previous Quartile Value]]="", "",
   IF(Table13[[#This Row],[Quartile Value]] &lt; Table13[[#This Row],[Previous Quartile Value]], "Improved",
   IF(Table13[[#This Row],[Quartile Value]] &gt; Table13[[#This Row],[Previous Quartile Value]], "Dropped", "Same")))</f>
        <v>Same</v>
      </c>
      <c r="J1543" s="10" t="s">
        <v>12</v>
      </c>
      <c r="K1543" s="7" t="str">
        <f>VLOOKUP(J1543,Introduction!$B$6:$C$14,2)</f>
        <v>London</v>
      </c>
      <c r="L1543" s="11">
        <v>393</v>
      </c>
      <c r="M1543" s="12" t="s">
        <v>425</v>
      </c>
    </row>
    <row r="1544" spans="1:13" ht="19.95" customHeight="1" x14ac:dyDescent="0.25">
      <c r="A1544" s="41">
        <v>45323</v>
      </c>
      <c r="B1544" s="47">
        <f>MONTH(Table13[[#This Row],[YearMonth]])</f>
        <v>2</v>
      </c>
      <c r="C1544" s="9" t="s">
        <v>192</v>
      </c>
      <c r="D1544" s="14" t="s">
        <v>341</v>
      </c>
      <c r="E1544" s="14">
        <f>IF(Table13[[#This Row],[Quartile]]="TopQuartile", 1,
 IF(Table13[[#This Row],[Quartile]]="SecondQuartile", 2,
 IF(Table13[[#This Row],[Quartile]]="ThirdQuartile", 3,
 IF(Table13[[#This Row],[Quartile]]="FourthQuartile", 4, ""))))</f>
        <v>3</v>
      </c>
      <c r="F1544" s="9" t="s">
        <v>450</v>
      </c>
      <c r="G1544" s="9" t="str" cm="1">
        <f t="array" ref="G1544">IFERROR(
  INDEX(Table13[Quartile],
    MATCH(1,
      (Table13[[#This Row],[OrgName]]=Table13[OrgName]) *
      (Table13[[#This Row],[Month Number]]-1=Table13[Month Number]),
    0)
  ),
"")</f>
        <v>ThirdQuartile</v>
      </c>
      <c r="H1544" s="9">
        <f>IF(Table13[[#This Row],[Previous Quartile]]="TopQuartile", 1,
 IF(Table13[[#This Row],[Previous Quartile]]="SecondQuartile", 2,
 IF(Table13[[#This Row],[Previous Quartile]]="ThirdQuartile", 3,
 IF(Table13[[#This Row],[Previous Quartile]]="FourthQuartile", 4, ""))))</f>
        <v>3</v>
      </c>
      <c r="I1544" s="9" t="str">
        <f>IF(Table13[[#This Row],[Previous Quartile Value]]="", "",
   IF(Table13[[#This Row],[Quartile Value]] &lt; Table13[[#This Row],[Previous Quartile Value]], "Improved",
   IF(Table13[[#This Row],[Quartile Value]] &gt; Table13[[#This Row],[Previous Quartile Value]], "Dropped", "Same")))</f>
        <v>Same</v>
      </c>
      <c r="J1544" s="10" t="s">
        <v>12</v>
      </c>
      <c r="K1544" s="7" t="str">
        <f>VLOOKUP(J1544,Introduction!$B$6:$C$14,2)</f>
        <v>London</v>
      </c>
      <c r="L1544" s="11">
        <v>259</v>
      </c>
      <c r="M1544" s="12" t="s">
        <v>425</v>
      </c>
    </row>
    <row r="1545" spans="1:13" ht="19.95" customHeight="1" x14ac:dyDescent="0.25">
      <c r="A1545" s="41">
        <v>45323</v>
      </c>
      <c r="B1545" s="47">
        <f>MONTH(Table13[[#This Row],[YearMonth]])</f>
        <v>2</v>
      </c>
      <c r="C1545" s="9" t="s">
        <v>210</v>
      </c>
      <c r="D1545" s="14" t="s">
        <v>341</v>
      </c>
      <c r="E1545" s="14">
        <f>IF(Table13[[#This Row],[Quartile]]="TopQuartile", 1,
 IF(Table13[[#This Row],[Quartile]]="SecondQuartile", 2,
 IF(Table13[[#This Row],[Quartile]]="ThirdQuartile", 3,
 IF(Table13[[#This Row],[Quartile]]="FourthQuartile", 4, ""))))</f>
        <v>3</v>
      </c>
      <c r="F1545" s="9" t="s">
        <v>456</v>
      </c>
      <c r="G1545" s="9" t="str" cm="1">
        <f t="array" ref="G1545">IFERROR(
  INDEX(Table13[Quartile],
    MATCH(1,
      (Table13[[#This Row],[OrgName]]=Table13[OrgName]) *
      (Table13[[#This Row],[Month Number]]-1=Table13[Month Number]),
    0)
  ),
"")</f>
        <v>ThirdQuartile</v>
      </c>
      <c r="H1545" s="9">
        <f>IF(Table13[[#This Row],[Previous Quartile]]="TopQuartile", 1,
 IF(Table13[[#This Row],[Previous Quartile]]="SecondQuartile", 2,
 IF(Table13[[#This Row],[Previous Quartile]]="ThirdQuartile", 3,
 IF(Table13[[#This Row],[Previous Quartile]]="FourthQuartile", 4, ""))))</f>
        <v>3</v>
      </c>
      <c r="I1545" s="9" t="str">
        <f>IF(Table13[[#This Row],[Previous Quartile Value]]="", "",
   IF(Table13[[#This Row],[Quartile Value]] &lt; Table13[[#This Row],[Previous Quartile Value]], "Improved",
   IF(Table13[[#This Row],[Quartile Value]] &gt; Table13[[#This Row],[Previous Quartile Value]], "Dropped", "Same")))</f>
        <v>Same</v>
      </c>
      <c r="J1545" s="10" t="s">
        <v>20</v>
      </c>
      <c r="K1545" s="7" t="str">
        <f>VLOOKUP(J1545,Introduction!$B$6:$C$14,2)</f>
        <v>East of England</v>
      </c>
      <c r="L1545" s="11">
        <v>360</v>
      </c>
      <c r="M1545" s="12" t="s">
        <v>425</v>
      </c>
    </row>
    <row r="1546" spans="1:13" ht="19.95" customHeight="1" x14ac:dyDescent="0.25">
      <c r="A1546" s="41">
        <v>45323</v>
      </c>
      <c r="B1546" s="47">
        <f>MONTH(Table13[[#This Row],[YearMonth]])</f>
        <v>2</v>
      </c>
      <c r="C1546" s="9" t="s">
        <v>190</v>
      </c>
      <c r="D1546" s="14" t="s">
        <v>341</v>
      </c>
      <c r="E1546" s="14">
        <f>IF(Table13[[#This Row],[Quartile]]="TopQuartile", 1,
 IF(Table13[[#This Row],[Quartile]]="SecondQuartile", 2,
 IF(Table13[[#This Row],[Quartile]]="ThirdQuartile", 3,
 IF(Table13[[#This Row],[Quartile]]="FourthQuartile", 4, ""))))</f>
        <v>3</v>
      </c>
      <c r="F1546" s="9" t="s">
        <v>449</v>
      </c>
      <c r="G1546" s="9" t="str" cm="1">
        <f t="array" ref="G1546">IFERROR(
  INDEX(Table13[Quartile],
    MATCH(1,
      (Table13[[#This Row],[OrgName]]=Table13[OrgName]) *
      (Table13[[#This Row],[Month Number]]-1=Table13[Month Number]),
    0)
  ),
"")</f>
        <v>ThirdQuartile</v>
      </c>
      <c r="H1546" s="9">
        <f>IF(Table13[[#This Row],[Previous Quartile]]="TopQuartile", 1,
 IF(Table13[[#This Row],[Previous Quartile]]="SecondQuartile", 2,
 IF(Table13[[#This Row],[Previous Quartile]]="ThirdQuartile", 3,
 IF(Table13[[#This Row],[Previous Quartile]]="FourthQuartile", 4, ""))))</f>
        <v>3</v>
      </c>
      <c r="I1546" s="9" t="str">
        <f>IF(Table13[[#This Row],[Previous Quartile Value]]="", "",
   IF(Table13[[#This Row],[Quartile Value]] &lt; Table13[[#This Row],[Previous Quartile Value]], "Improved",
   IF(Table13[[#This Row],[Quartile Value]] &gt; Table13[[#This Row],[Previous Quartile Value]], "Dropped", "Same")))</f>
        <v>Same</v>
      </c>
      <c r="J1546" s="10" t="s">
        <v>12</v>
      </c>
      <c r="K1546" s="7" t="str">
        <f>VLOOKUP(J1546,Introduction!$B$6:$C$14,2)</f>
        <v>London</v>
      </c>
      <c r="L1546" s="11">
        <v>200</v>
      </c>
      <c r="M1546" s="12" t="s">
        <v>425</v>
      </c>
    </row>
    <row r="1547" spans="1:13" ht="19.95" customHeight="1" x14ac:dyDescent="0.25">
      <c r="A1547" s="41">
        <v>45323</v>
      </c>
      <c r="B1547" s="47">
        <f>MONTH(Table13[[#This Row],[YearMonth]])</f>
        <v>2</v>
      </c>
      <c r="C1547" s="9" t="s">
        <v>179</v>
      </c>
      <c r="D1547" s="14" t="s">
        <v>341</v>
      </c>
      <c r="E1547" s="14">
        <f>IF(Table13[[#This Row],[Quartile]]="TopQuartile", 1,
 IF(Table13[[#This Row],[Quartile]]="SecondQuartile", 2,
 IF(Table13[[#This Row],[Quartile]]="ThirdQuartile", 3,
 IF(Table13[[#This Row],[Quartile]]="FourthQuartile", 4, ""))))</f>
        <v>3</v>
      </c>
      <c r="F1547" s="9" t="s">
        <v>447</v>
      </c>
      <c r="G1547" s="9" t="str" cm="1">
        <f t="array" ref="G1547">IFERROR(
  INDEX(Table13[Quartile],
    MATCH(1,
      (Table13[[#This Row],[OrgName]]=Table13[OrgName]) *
      (Table13[[#This Row],[Month Number]]-1=Table13[Month Number]),
    0)
  ),
"")</f>
        <v>ThirdQuartile</v>
      </c>
      <c r="H1547" s="9">
        <f>IF(Table13[[#This Row],[Previous Quartile]]="TopQuartile", 1,
 IF(Table13[[#This Row],[Previous Quartile]]="SecondQuartile", 2,
 IF(Table13[[#This Row],[Previous Quartile]]="ThirdQuartile", 3,
 IF(Table13[[#This Row],[Previous Quartile]]="FourthQuartile", 4, ""))))</f>
        <v>3</v>
      </c>
      <c r="I1547" s="9" t="str">
        <f>IF(Table13[[#This Row],[Previous Quartile Value]]="", "",
   IF(Table13[[#This Row],[Quartile Value]] &lt; Table13[[#This Row],[Previous Quartile Value]], "Improved",
   IF(Table13[[#This Row],[Quartile Value]] &gt; Table13[[#This Row],[Previous Quartile Value]], "Dropped", "Same")))</f>
        <v>Same</v>
      </c>
      <c r="J1547" s="10" t="s">
        <v>20</v>
      </c>
      <c r="K1547" s="7" t="str">
        <f>VLOOKUP(J1547,Introduction!$B$6:$C$14,2)</f>
        <v>East of England</v>
      </c>
      <c r="L1547" s="11">
        <v>430</v>
      </c>
      <c r="M1547" s="12" t="s">
        <v>425</v>
      </c>
    </row>
    <row r="1548" spans="1:13" ht="19.95" customHeight="1" x14ac:dyDescent="0.25">
      <c r="A1548" s="41">
        <v>45323</v>
      </c>
      <c r="B1548" s="47">
        <f>MONTH(Table13[[#This Row],[YearMonth]])</f>
        <v>2</v>
      </c>
      <c r="C1548" s="9" t="s">
        <v>168</v>
      </c>
      <c r="D1548" s="14" t="s">
        <v>341</v>
      </c>
      <c r="E1548" s="14">
        <f>IF(Table13[[#This Row],[Quartile]]="TopQuartile", 1,
 IF(Table13[[#This Row],[Quartile]]="SecondQuartile", 2,
 IF(Table13[[#This Row],[Quartile]]="ThirdQuartile", 3,
 IF(Table13[[#This Row],[Quartile]]="FourthQuartile", 4, ""))))</f>
        <v>3</v>
      </c>
      <c r="F1548" s="9" t="s">
        <v>444</v>
      </c>
      <c r="G1548" s="9" t="str" cm="1">
        <f t="array" ref="G1548">IFERROR(
  INDEX(Table13[Quartile],
    MATCH(1,
      (Table13[[#This Row],[OrgName]]=Table13[OrgName]) *
      (Table13[[#This Row],[Month Number]]-1=Table13[Month Number]),
    0)
  ),
"")</f>
        <v>ThirdQuartile</v>
      </c>
      <c r="H1548" s="9">
        <f>IF(Table13[[#This Row],[Previous Quartile]]="TopQuartile", 1,
 IF(Table13[[#This Row],[Previous Quartile]]="SecondQuartile", 2,
 IF(Table13[[#This Row],[Previous Quartile]]="ThirdQuartile", 3,
 IF(Table13[[#This Row],[Previous Quartile]]="FourthQuartile", 4, ""))))</f>
        <v>3</v>
      </c>
      <c r="I1548" s="9" t="str">
        <f>IF(Table13[[#This Row],[Previous Quartile Value]]="", "",
   IF(Table13[[#This Row],[Quartile Value]] &lt; Table13[[#This Row],[Previous Quartile Value]], "Improved",
   IF(Table13[[#This Row],[Quartile Value]] &gt; Table13[[#This Row],[Previous Quartile Value]], "Dropped", "Same")))</f>
        <v>Same</v>
      </c>
      <c r="J1548" s="10" t="s">
        <v>12</v>
      </c>
      <c r="K1548" s="7" t="str">
        <f>VLOOKUP(J1548,Introduction!$B$6:$C$14,2)</f>
        <v>London</v>
      </c>
      <c r="L1548" s="11">
        <v>309</v>
      </c>
      <c r="M1548" s="12" t="s">
        <v>425</v>
      </c>
    </row>
    <row r="1549" spans="1:13" ht="19.95" customHeight="1" x14ac:dyDescent="0.25">
      <c r="A1549" s="41">
        <v>45323</v>
      </c>
      <c r="B1549" s="47">
        <f>MONTH(Table13[[#This Row],[YearMonth]])</f>
        <v>2</v>
      </c>
      <c r="C1549" s="9" t="s">
        <v>222</v>
      </c>
      <c r="D1549" s="14" t="s">
        <v>341</v>
      </c>
      <c r="E1549" s="14">
        <f>IF(Table13[[#This Row],[Quartile]]="TopQuartile", 1,
 IF(Table13[[#This Row],[Quartile]]="SecondQuartile", 2,
 IF(Table13[[#This Row],[Quartile]]="ThirdQuartile", 3,
 IF(Table13[[#This Row],[Quartile]]="FourthQuartile", 4, ""))))</f>
        <v>3</v>
      </c>
      <c r="F1549" s="9" t="s">
        <v>458</v>
      </c>
      <c r="G1549" s="9" t="str" cm="1">
        <f t="array" ref="G1549">IFERROR(
  INDEX(Table13[Quartile],
    MATCH(1,
      (Table13[[#This Row],[OrgName]]=Table13[OrgName]) *
      (Table13[[#This Row],[Month Number]]-1=Table13[Month Number]),
    0)
  ),
"")</f>
        <v>ThirdQuartile</v>
      </c>
      <c r="H1549" s="9">
        <f>IF(Table13[[#This Row],[Previous Quartile]]="TopQuartile", 1,
 IF(Table13[[#This Row],[Previous Quartile]]="SecondQuartile", 2,
 IF(Table13[[#This Row],[Previous Quartile]]="ThirdQuartile", 3,
 IF(Table13[[#This Row],[Previous Quartile]]="FourthQuartile", 4, ""))))</f>
        <v>3</v>
      </c>
      <c r="I1549" s="9" t="str">
        <f>IF(Table13[[#This Row],[Previous Quartile Value]]="", "",
   IF(Table13[[#This Row],[Quartile Value]] &lt; Table13[[#This Row],[Previous Quartile Value]], "Improved",
   IF(Table13[[#This Row],[Quartile Value]] &gt; Table13[[#This Row],[Previous Quartile Value]], "Dropped", "Same")))</f>
        <v>Same</v>
      </c>
      <c r="J1549" s="10" t="s">
        <v>24</v>
      </c>
      <c r="K1549" s="7" t="str">
        <f>VLOOKUP(J1549,Introduction!$B$6:$C$14,2)</f>
        <v>North East and Yorkshire</v>
      </c>
      <c r="L1549" s="11">
        <v>298</v>
      </c>
      <c r="M1549" s="12" t="s">
        <v>425</v>
      </c>
    </row>
    <row r="1550" spans="1:13" ht="19.95" customHeight="1" x14ac:dyDescent="0.25">
      <c r="A1550" s="41">
        <v>45323</v>
      </c>
      <c r="B1550" s="47">
        <f>MONTH(Table13[[#This Row],[YearMonth]])</f>
        <v>2</v>
      </c>
      <c r="C1550" s="9" t="s">
        <v>223</v>
      </c>
      <c r="D1550" s="14" t="s">
        <v>341</v>
      </c>
      <c r="E1550" s="14">
        <f>IF(Table13[[#This Row],[Quartile]]="TopQuartile", 1,
 IF(Table13[[#This Row],[Quartile]]="SecondQuartile", 2,
 IF(Table13[[#This Row],[Quartile]]="ThirdQuartile", 3,
 IF(Table13[[#This Row],[Quartile]]="FourthQuartile", 4, ""))))</f>
        <v>3</v>
      </c>
      <c r="F1550" s="9" t="s">
        <v>459</v>
      </c>
      <c r="G1550" s="9" t="str" cm="1">
        <f t="array" ref="G1550">IFERROR(
  INDEX(Table13[Quartile],
    MATCH(1,
      (Table13[[#This Row],[OrgName]]=Table13[OrgName]) *
      (Table13[[#This Row],[Month Number]]-1=Table13[Month Number]),
    0)
  ),
"")</f>
        <v>ThirdQuartile</v>
      </c>
      <c r="H1550" s="9">
        <f>IF(Table13[[#This Row],[Previous Quartile]]="TopQuartile", 1,
 IF(Table13[[#This Row],[Previous Quartile]]="SecondQuartile", 2,
 IF(Table13[[#This Row],[Previous Quartile]]="ThirdQuartile", 3,
 IF(Table13[[#This Row],[Previous Quartile]]="FourthQuartile", 4, ""))))</f>
        <v>3</v>
      </c>
      <c r="I1550" s="9" t="str">
        <f>IF(Table13[[#This Row],[Previous Quartile Value]]="", "",
   IF(Table13[[#This Row],[Quartile Value]] &lt; Table13[[#This Row],[Previous Quartile Value]], "Improved",
   IF(Table13[[#This Row],[Quartile Value]] &gt; Table13[[#This Row],[Previous Quartile Value]], "Dropped", "Same")))</f>
        <v>Same</v>
      </c>
      <c r="J1550" s="10" t="s">
        <v>22</v>
      </c>
      <c r="K1550" s="7" t="str">
        <f>VLOOKUP(J1550,Introduction!$B$6:$C$14,2)</f>
        <v>North West</v>
      </c>
      <c r="L1550" s="11">
        <v>382</v>
      </c>
      <c r="M1550" s="12" t="s">
        <v>425</v>
      </c>
    </row>
    <row r="1551" spans="1:13" ht="19.95" customHeight="1" x14ac:dyDescent="0.25">
      <c r="A1551" s="41">
        <v>45323</v>
      </c>
      <c r="B1551" s="47">
        <f>MONTH(Table13[[#This Row],[YearMonth]])</f>
        <v>2</v>
      </c>
      <c r="C1551" s="9" t="s">
        <v>225</v>
      </c>
      <c r="D1551" s="14" t="s">
        <v>341</v>
      </c>
      <c r="E1551" s="14">
        <f>IF(Table13[[#This Row],[Quartile]]="TopQuartile", 1,
 IF(Table13[[#This Row],[Quartile]]="SecondQuartile", 2,
 IF(Table13[[#This Row],[Quartile]]="ThirdQuartile", 3,
 IF(Table13[[#This Row],[Quartile]]="FourthQuartile", 4, ""))))</f>
        <v>3</v>
      </c>
      <c r="F1551" s="9" t="s">
        <v>460</v>
      </c>
      <c r="G1551" s="9" t="str" cm="1">
        <f t="array" ref="G1551">IFERROR(
  INDEX(Table13[Quartile],
    MATCH(1,
      (Table13[[#This Row],[OrgName]]=Table13[OrgName]) *
      (Table13[[#This Row],[Month Number]]-1=Table13[Month Number]),
    0)
  ),
"")</f>
        <v>ThirdQuartile</v>
      </c>
      <c r="H1551" s="9">
        <f>IF(Table13[[#This Row],[Previous Quartile]]="TopQuartile", 1,
 IF(Table13[[#This Row],[Previous Quartile]]="SecondQuartile", 2,
 IF(Table13[[#This Row],[Previous Quartile]]="ThirdQuartile", 3,
 IF(Table13[[#This Row],[Previous Quartile]]="FourthQuartile", 4, ""))))</f>
        <v>3</v>
      </c>
      <c r="I1551" s="9" t="str">
        <f>IF(Table13[[#This Row],[Previous Quartile Value]]="", "",
   IF(Table13[[#This Row],[Quartile Value]] &lt; Table13[[#This Row],[Previous Quartile Value]], "Improved",
   IF(Table13[[#This Row],[Quartile Value]] &gt; Table13[[#This Row],[Previous Quartile Value]], "Dropped", "Same")))</f>
        <v>Same</v>
      </c>
      <c r="J1551" s="10" t="s">
        <v>14</v>
      </c>
      <c r="K1551" s="7" t="str">
        <f>VLOOKUP(J1551,Introduction!$B$6:$C$14,2)</f>
        <v>South West</v>
      </c>
      <c r="L1551" s="11">
        <v>216</v>
      </c>
      <c r="M1551" s="12" t="s">
        <v>425</v>
      </c>
    </row>
    <row r="1552" spans="1:13" ht="19.95" customHeight="1" x14ac:dyDescent="0.25">
      <c r="A1552" s="41">
        <v>45323</v>
      </c>
      <c r="B1552" s="47">
        <f>MONTH(Table13[[#This Row],[YearMonth]])</f>
        <v>2</v>
      </c>
      <c r="C1552" s="9" t="s">
        <v>195</v>
      </c>
      <c r="D1552" s="14" t="s">
        <v>341</v>
      </c>
      <c r="E1552" s="14">
        <f>IF(Table13[[#This Row],[Quartile]]="TopQuartile", 1,
 IF(Table13[[#This Row],[Quartile]]="SecondQuartile", 2,
 IF(Table13[[#This Row],[Quartile]]="ThirdQuartile", 3,
 IF(Table13[[#This Row],[Quartile]]="FourthQuartile", 4, ""))))</f>
        <v>3</v>
      </c>
      <c r="F1552" s="9" t="s">
        <v>452</v>
      </c>
      <c r="G1552" s="9" t="str" cm="1">
        <f t="array" ref="G1552">IFERROR(
  INDEX(Table13[Quartile],
    MATCH(1,
      (Table13[[#This Row],[OrgName]]=Table13[OrgName]) *
      (Table13[[#This Row],[Month Number]]-1=Table13[Month Number]),
    0)
  ),
"")</f>
        <v>ThirdQuartile</v>
      </c>
      <c r="H1552" s="9">
        <f>IF(Table13[[#This Row],[Previous Quartile]]="TopQuartile", 1,
 IF(Table13[[#This Row],[Previous Quartile]]="SecondQuartile", 2,
 IF(Table13[[#This Row],[Previous Quartile]]="ThirdQuartile", 3,
 IF(Table13[[#This Row],[Previous Quartile]]="FourthQuartile", 4, ""))))</f>
        <v>3</v>
      </c>
      <c r="I1552" s="9" t="str">
        <f>IF(Table13[[#This Row],[Previous Quartile Value]]="", "",
   IF(Table13[[#This Row],[Quartile Value]] &lt; Table13[[#This Row],[Previous Quartile Value]], "Improved",
   IF(Table13[[#This Row],[Quartile Value]] &gt; Table13[[#This Row],[Previous Quartile Value]], "Dropped", "Same")))</f>
        <v>Same</v>
      </c>
      <c r="J1552" s="10" t="s">
        <v>24</v>
      </c>
      <c r="K1552" s="7" t="str">
        <f>VLOOKUP(J1552,Introduction!$B$6:$C$14,2)</f>
        <v>North East and Yorkshire</v>
      </c>
      <c r="L1552" s="11">
        <v>377</v>
      </c>
      <c r="M1552" s="12" t="s">
        <v>425</v>
      </c>
    </row>
    <row r="1553" spans="1:13" ht="19.95" customHeight="1" x14ac:dyDescent="0.25">
      <c r="A1553" s="41">
        <v>45323</v>
      </c>
      <c r="B1553" s="47">
        <f>MONTH(Table13[[#This Row],[YearMonth]])</f>
        <v>2</v>
      </c>
      <c r="C1553" s="9" t="s">
        <v>241</v>
      </c>
      <c r="D1553" s="14" t="s">
        <v>341</v>
      </c>
      <c r="E1553" s="14">
        <f>IF(Table13[[#This Row],[Quartile]]="TopQuartile", 1,
 IF(Table13[[#This Row],[Quartile]]="SecondQuartile", 2,
 IF(Table13[[#This Row],[Quartile]]="ThirdQuartile", 3,
 IF(Table13[[#This Row],[Quartile]]="FourthQuartile", 4, ""))))</f>
        <v>3</v>
      </c>
      <c r="F1553" s="9" t="s">
        <v>462</v>
      </c>
      <c r="G1553" s="9" t="str" cm="1">
        <f t="array" ref="G1553">IFERROR(
  INDEX(Table13[Quartile],
    MATCH(1,
      (Table13[[#This Row],[OrgName]]=Table13[OrgName]) *
      (Table13[[#This Row],[Month Number]]-1=Table13[Month Number]),
    0)
  ),
"")</f>
        <v>ThirdQuartile</v>
      </c>
      <c r="H1553" s="9">
        <f>IF(Table13[[#This Row],[Previous Quartile]]="TopQuartile", 1,
 IF(Table13[[#This Row],[Previous Quartile]]="SecondQuartile", 2,
 IF(Table13[[#This Row],[Previous Quartile]]="ThirdQuartile", 3,
 IF(Table13[[#This Row],[Previous Quartile]]="FourthQuartile", 4, ""))))</f>
        <v>3</v>
      </c>
      <c r="I1553" s="9" t="str">
        <f>IF(Table13[[#This Row],[Previous Quartile Value]]="", "",
   IF(Table13[[#This Row],[Quartile Value]] &lt; Table13[[#This Row],[Previous Quartile Value]], "Improved",
   IF(Table13[[#This Row],[Quartile Value]] &gt; Table13[[#This Row],[Previous Quartile Value]], "Dropped", "Same")))</f>
        <v>Same</v>
      </c>
      <c r="J1553" s="10" t="s">
        <v>22</v>
      </c>
      <c r="K1553" s="7" t="str">
        <f>VLOOKUP(J1553,Introduction!$B$6:$C$14,2)</f>
        <v>North West</v>
      </c>
      <c r="L1553" s="11">
        <v>287</v>
      </c>
      <c r="M1553" s="12" t="s">
        <v>425</v>
      </c>
    </row>
    <row r="1554" spans="1:13" ht="19.95" customHeight="1" x14ac:dyDescent="0.25">
      <c r="A1554" s="41">
        <v>45323</v>
      </c>
      <c r="B1554" s="47">
        <f>MONTH(Table13[[#This Row],[YearMonth]])</f>
        <v>2</v>
      </c>
      <c r="C1554" s="9" t="s">
        <v>251</v>
      </c>
      <c r="D1554" s="14" t="s">
        <v>341</v>
      </c>
      <c r="E1554" s="14">
        <f>IF(Table13[[#This Row],[Quartile]]="TopQuartile", 1,
 IF(Table13[[#This Row],[Quartile]]="SecondQuartile", 2,
 IF(Table13[[#This Row],[Quartile]]="ThirdQuartile", 3,
 IF(Table13[[#This Row],[Quartile]]="FourthQuartile", 4, ""))))</f>
        <v>3</v>
      </c>
      <c r="F1554" s="9" t="s">
        <v>463</v>
      </c>
      <c r="G1554" s="9" t="str" cm="1">
        <f t="array" ref="G1554">IFERROR(
  INDEX(Table13[Quartile],
    MATCH(1,
      (Table13[[#This Row],[OrgName]]=Table13[OrgName]) *
      (Table13[[#This Row],[Month Number]]-1=Table13[Month Number]),
    0)
  ),
"")</f>
        <v>FourthQuartile</v>
      </c>
      <c r="H1554" s="9">
        <f>IF(Table13[[#This Row],[Previous Quartile]]="TopQuartile", 1,
 IF(Table13[[#This Row],[Previous Quartile]]="SecondQuartile", 2,
 IF(Table13[[#This Row],[Previous Quartile]]="ThirdQuartile", 3,
 IF(Table13[[#This Row],[Previous Quartile]]="FourthQuartile", 4, ""))))</f>
        <v>4</v>
      </c>
      <c r="I1554" s="9" t="str">
        <f>IF(Table13[[#This Row],[Previous Quartile Value]]="", "",
   IF(Table13[[#This Row],[Quartile Value]] &lt; Table13[[#This Row],[Previous Quartile Value]], "Improved",
   IF(Table13[[#This Row],[Quartile Value]] &gt; Table13[[#This Row],[Previous Quartile Value]], "Dropped", "Same")))</f>
        <v>Improved</v>
      </c>
      <c r="J1554" s="10" t="s">
        <v>22</v>
      </c>
      <c r="K1554" s="7" t="str">
        <f>VLOOKUP(J1554,Introduction!$B$6:$C$14,2)</f>
        <v>North West</v>
      </c>
      <c r="L1554" s="11">
        <v>349</v>
      </c>
      <c r="M1554" s="12" t="s">
        <v>425</v>
      </c>
    </row>
    <row r="1555" spans="1:13" ht="19.95" customHeight="1" x14ac:dyDescent="0.25">
      <c r="A1555" s="41">
        <v>45323</v>
      </c>
      <c r="B1555" s="47">
        <f>MONTH(Table13[[#This Row],[YearMonth]])</f>
        <v>2</v>
      </c>
      <c r="C1555" s="9" t="s">
        <v>253</v>
      </c>
      <c r="D1555" s="14" t="s">
        <v>350</v>
      </c>
      <c r="E1555" s="14">
        <f>IF(Table13[[#This Row],[Quartile]]="TopQuartile", 1,
 IF(Table13[[#This Row],[Quartile]]="SecondQuartile", 2,
 IF(Table13[[#This Row],[Quartile]]="ThirdQuartile", 3,
 IF(Table13[[#This Row],[Quartile]]="FourthQuartile", 4, ""))))</f>
        <v>4</v>
      </c>
      <c r="F1555" s="9" t="s">
        <v>464</v>
      </c>
      <c r="G1555" s="9" t="str" cm="1">
        <f t="array" ref="G1555">IFERROR(
  INDEX(Table13[Quartile],
    MATCH(1,
      (Table13[[#This Row],[OrgName]]=Table13[OrgName]) *
      (Table13[[#This Row],[Month Number]]-1=Table13[Month Number]),
    0)
  ),
"")</f>
        <v>FourthQuartile</v>
      </c>
      <c r="H1555" s="9">
        <f>IF(Table13[[#This Row],[Previous Quartile]]="TopQuartile", 1,
 IF(Table13[[#This Row],[Previous Quartile]]="SecondQuartile", 2,
 IF(Table13[[#This Row],[Previous Quartile]]="ThirdQuartile", 3,
 IF(Table13[[#This Row],[Previous Quartile]]="FourthQuartile", 4, ""))))</f>
        <v>4</v>
      </c>
      <c r="I1555" s="9" t="str">
        <f>IF(Table13[[#This Row],[Previous Quartile Value]]="", "",
   IF(Table13[[#This Row],[Quartile Value]] &lt; Table13[[#This Row],[Previous Quartile Value]], "Improved",
   IF(Table13[[#This Row],[Quartile Value]] &gt; Table13[[#This Row],[Previous Quartile Value]], "Dropped", "Same")))</f>
        <v>Same</v>
      </c>
      <c r="J1555" s="10" t="s">
        <v>12</v>
      </c>
      <c r="K1555" s="7" t="str">
        <f>VLOOKUP(J1555,Introduction!$B$6:$C$14,2)</f>
        <v>London</v>
      </c>
      <c r="L1555" s="11">
        <v>196</v>
      </c>
      <c r="M1555" s="12" t="s">
        <v>425</v>
      </c>
    </row>
    <row r="1556" spans="1:13" ht="19.95" customHeight="1" x14ac:dyDescent="0.25">
      <c r="A1556" s="41">
        <v>45323</v>
      </c>
      <c r="B1556" s="47">
        <f>MONTH(Table13[[#This Row],[YearMonth]])</f>
        <v>2</v>
      </c>
      <c r="C1556" s="9" t="s">
        <v>235</v>
      </c>
      <c r="D1556" s="14" t="s">
        <v>350</v>
      </c>
      <c r="E1556" s="14">
        <f>IF(Table13[[#This Row],[Quartile]]="TopQuartile", 1,
 IF(Table13[[#This Row],[Quartile]]="SecondQuartile", 2,
 IF(Table13[[#This Row],[Quartile]]="ThirdQuartile", 3,
 IF(Table13[[#This Row],[Quartile]]="FourthQuartile", 4, ""))))</f>
        <v>4</v>
      </c>
      <c r="F1556" s="9" t="s">
        <v>461</v>
      </c>
      <c r="G1556" s="9" t="str" cm="1">
        <f t="array" ref="G1556">IFERROR(
  INDEX(Table13[Quartile],
    MATCH(1,
      (Table13[[#This Row],[OrgName]]=Table13[OrgName]) *
      (Table13[[#This Row],[Month Number]]-1=Table13[Month Number]),
    0)
  ),
"")</f>
        <v>ThirdQuartile</v>
      </c>
      <c r="H1556" s="9">
        <f>IF(Table13[[#This Row],[Previous Quartile]]="TopQuartile", 1,
 IF(Table13[[#This Row],[Previous Quartile]]="SecondQuartile", 2,
 IF(Table13[[#This Row],[Previous Quartile]]="ThirdQuartile", 3,
 IF(Table13[[#This Row],[Previous Quartile]]="FourthQuartile", 4, ""))))</f>
        <v>3</v>
      </c>
      <c r="I1556" s="9" t="str">
        <f>IF(Table13[[#This Row],[Previous Quartile Value]]="", "",
   IF(Table13[[#This Row],[Quartile Value]] &lt; Table13[[#This Row],[Previous Quartile Value]], "Improved",
   IF(Table13[[#This Row],[Quartile Value]] &gt; Table13[[#This Row],[Previous Quartile Value]], "Dropped", "Same")))</f>
        <v>Dropped</v>
      </c>
      <c r="J1556" s="10" t="s">
        <v>12</v>
      </c>
      <c r="K1556" s="7" t="str">
        <f>VLOOKUP(J1556,Introduction!$B$6:$C$14,2)</f>
        <v>London</v>
      </c>
      <c r="L1556" s="11">
        <v>337</v>
      </c>
      <c r="M1556" s="12" t="s">
        <v>425</v>
      </c>
    </row>
    <row r="1557" spans="1:13" ht="19.95" customHeight="1" x14ac:dyDescent="0.25">
      <c r="A1557" s="41">
        <v>45323</v>
      </c>
      <c r="B1557" s="47">
        <f>MONTH(Table13[[#This Row],[YearMonth]])</f>
        <v>2</v>
      </c>
      <c r="C1557" s="9" t="s">
        <v>160</v>
      </c>
      <c r="D1557" s="14" t="s">
        <v>350</v>
      </c>
      <c r="E1557" s="14">
        <f>IF(Table13[[#This Row],[Quartile]]="TopQuartile", 1,
 IF(Table13[[#This Row],[Quartile]]="SecondQuartile", 2,
 IF(Table13[[#This Row],[Quartile]]="ThirdQuartile", 3,
 IF(Table13[[#This Row],[Quartile]]="FourthQuartile", 4, ""))))</f>
        <v>4</v>
      </c>
      <c r="F1557" s="9" t="s">
        <v>441</v>
      </c>
      <c r="G1557" s="9" t="str" cm="1">
        <f t="array" ref="G1557">IFERROR(
  INDEX(Table13[Quartile],
    MATCH(1,
      (Table13[[#This Row],[OrgName]]=Table13[OrgName]) *
      (Table13[[#This Row],[Month Number]]-1=Table13[Month Number]),
    0)
  ),
"")</f>
        <v>FourthQuartile</v>
      </c>
      <c r="H1557" s="9">
        <f>IF(Table13[[#This Row],[Previous Quartile]]="TopQuartile", 1,
 IF(Table13[[#This Row],[Previous Quartile]]="SecondQuartile", 2,
 IF(Table13[[#This Row],[Previous Quartile]]="ThirdQuartile", 3,
 IF(Table13[[#This Row],[Previous Quartile]]="FourthQuartile", 4, ""))))</f>
        <v>4</v>
      </c>
      <c r="I1557" s="9" t="str">
        <f>IF(Table13[[#This Row],[Previous Quartile Value]]="", "",
   IF(Table13[[#This Row],[Quartile Value]] &lt; Table13[[#This Row],[Previous Quartile Value]], "Improved",
   IF(Table13[[#This Row],[Quartile Value]] &gt; Table13[[#This Row],[Previous Quartile Value]], "Dropped", "Same")))</f>
        <v>Same</v>
      </c>
      <c r="J1557" s="10" t="s">
        <v>24</v>
      </c>
      <c r="K1557" s="7" t="str">
        <f>VLOOKUP(J1557,Introduction!$B$6:$C$14,2)</f>
        <v>North East and Yorkshire</v>
      </c>
      <c r="L1557" s="11">
        <v>272</v>
      </c>
      <c r="M1557" s="12" t="s">
        <v>425</v>
      </c>
    </row>
    <row r="1558" spans="1:13" ht="19.95" customHeight="1" x14ac:dyDescent="0.25">
      <c r="A1558" s="41">
        <v>45323</v>
      </c>
      <c r="B1558" s="47">
        <f>MONTH(Table13[[#This Row],[YearMonth]])</f>
        <v>2</v>
      </c>
      <c r="C1558" s="9" t="s">
        <v>258</v>
      </c>
      <c r="D1558" s="14" t="s">
        <v>350</v>
      </c>
      <c r="E1558" s="14">
        <f>IF(Table13[[#This Row],[Quartile]]="TopQuartile", 1,
 IF(Table13[[#This Row],[Quartile]]="SecondQuartile", 2,
 IF(Table13[[#This Row],[Quartile]]="ThirdQuartile", 3,
 IF(Table13[[#This Row],[Quartile]]="FourthQuartile", 4, ""))))</f>
        <v>4</v>
      </c>
      <c r="F1558" s="9" t="s">
        <v>465</v>
      </c>
      <c r="G1558" s="9" t="str" cm="1">
        <f t="array" ref="G1558">IFERROR(
  INDEX(Table13[Quartile],
    MATCH(1,
      (Table13[[#This Row],[OrgName]]=Table13[OrgName]) *
      (Table13[[#This Row],[Month Number]]-1=Table13[Month Number]),
    0)
  ),
"")</f>
        <v>FourthQuartile</v>
      </c>
      <c r="H1558" s="9">
        <f>IF(Table13[[#This Row],[Previous Quartile]]="TopQuartile", 1,
 IF(Table13[[#This Row],[Previous Quartile]]="SecondQuartile", 2,
 IF(Table13[[#This Row],[Previous Quartile]]="ThirdQuartile", 3,
 IF(Table13[[#This Row],[Previous Quartile]]="FourthQuartile", 4, ""))))</f>
        <v>4</v>
      </c>
      <c r="I1558" s="9" t="str">
        <f>IF(Table13[[#This Row],[Previous Quartile Value]]="", "",
   IF(Table13[[#This Row],[Quartile Value]] &lt; Table13[[#This Row],[Previous Quartile Value]], "Improved",
   IF(Table13[[#This Row],[Quartile Value]] &gt; Table13[[#This Row],[Previous Quartile Value]], "Dropped", "Same")))</f>
        <v>Same</v>
      </c>
      <c r="J1558" s="10" t="s">
        <v>16</v>
      </c>
      <c r="K1558" s="7" t="str">
        <f>VLOOKUP(J1558,Introduction!$B$6:$C$14,2)</f>
        <v>South East</v>
      </c>
      <c r="L1558" s="11">
        <v>321</v>
      </c>
      <c r="M1558" s="12" t="s">
        <v>425</v>
      </c>
    </row>
    <row r="1559" spans="1:13" ht="19.95" customHeight="1" x14ac:dyDescent="0.25">
      <c r="A1559" s="41">
        <v>45323</v>
      </c>
      <c r="B1559" s="47">
        <f>MONTH(Table13[[#This Row],[YearMonth]])</f>
        <v>2</v>
      </c>
      <c r="C1559" s="9" t="s">
        <v>267</v>
      </c>
      <c r="D1559" s="14" t="s">
        <v>350</v>
      </c>
      <c r="E1559" s="14">
        <f>IF(Table13[[#This Row],[Quartile]]="TopQuartile", 1,
 IF(Table13[[#This Row],[Quartile]]="SecondQuartile", 2,
 IF(Table13[[#This Row],[Quartile]]="ThirdQuartile", 3,
 IF(Table13[[#This Row],[Quartile]]="FourthQuartile", 4, ""))))</f>
        <v>4</v>
      </c>
      <c r="F1559" s="9" t="s">
        <v>466</v>
      </c>
      <c r="G1559" s="9" t="str" cm="1">
        <f t="array" ref="G1559">IFERROR(
  INDEX(Table13[Quartile],
    MATCH(1,
      (Table13[[#This Row],[OrgName]]=Table13[OrgName]) *
      (Table13[[#This Row],[Month Number]]-1=Table13[Month Number]),
    0)
  ),
"")</f>
        <v>FourthQuartile</v>
      </c>
      <c r="H1559" s="9">
        <f>IF(Table13[[#This Row],[Previous Quartile]]="TopQuartile", 1,
 IF(Table13[[#This Row],[Previous Quartile]]="SecondQuartile", 2,
 IF(Table13[[#This Row],[Previous Quartile]]="ThirdQuartile", 3,
 IF(Table13[[#This Row],[Previous Quartile]]="FourthQuartile", 4, ""))))</f>
        <v>4</v>
      </c>
      <c r="I1559" s="9" t="str">
        <f>IF(Table13[[#This Row],[Previous Quartile Value]]="", "",
   IF(Table13[[#This Row],[Quartile Value]] &lt; Table13[[#This Row],[Previous Quartile Value]], "Improved",
   IF(Table13[[#This Row],[Quartile Value]] &gt; Table13[[#This Row],[Previous Quartile Value]], "Dropped", "Same")))</f>
        <v>Same</v>
      </c>
      <c r="J1559" s="10" t="s">
        <v>18</v>
      </c>
      <c r="K1559" s="7" t="str">
        <f>VLOOKUP(J1559,Introduction!$B$6:$C$14,2)</f>
        <v>Midlands</v>
      </c>
      <c r="L1559" s="11">
        <v>304</v>
      </c>
      <c r="M1559" s="12" t="s">
        <v>425</v>
      </c>
    </row>
    <row r="1560" spans="1:13" ht="19.95" customHeight="1" x14ac:dyDescent="0.25">
      <c r="A1560" s="41">
        <v>45323</v>
      </c>
      <c r="B1560" s="47">
        <f>MONTH(Table13[[#This Row],[YearMonth]])</f>
        <v>2</v>
      </c>
      <c r="C1560" s="9" t="s">
        <v>211</v>
      </c>
      <c r="D1560" s="14" t="s">
        <v>350</v>
      </c>
      <c r="E1560" s="14">
        <f>IF(Table13[[#This Row],[Quartile]]="TopQuartile", 1,
 IF(Table13[[#This Row],[Quartile]]="SecondQuartile", 2,
 IF(Table13[[#This Row],[Quartile]]="ThirdQuartile", 3,
 IF(Table13[[#This Row],[Quartile]]="FourthQuartile", 4, ""))))</f>
        <v>4</v>
      </c>
      <c r="F1560" s="9" t="s">
        <v>457</v>
      </c>
      <c r="G1560" s="9" t="str" cm="1">
        <f t="array" ref="G1560">IFERROR(
  INDEX(Table13[Quartile],
    MATCH(1,
      (Table13[[#This Row],[OrgName]]=Table13[OrgName]) *
      (Table13[[#This Row],[Month Number]]-1=Table13[Month Number]),
    0)
  ),
"")</f>
        <v>FourthQuartile</v>
      </c>
      <c r="H1560" s="9">
        <f>IF(Table13[[#This Row],[Previous Quartile]]="TopQuartile", 1,
 IF(Table13[[#This Row],[Previous Quartile]]="SecondQuartile", 2,
 IF(Table13[[#This Row],[Previous Quartile]]="ThirdQuartile", 3,
 IF(Table13[[#This Row],[Previous Quartile]]="FourthQuartile", 4, ""))))</f>
        <v>4</v>
      </c>
      <c r="I1560" s="9" t="str">
        <f>IF(Table13[[#This Row],[Previous Quartile Value]]="", "",
   IF(Table13[[#This Row],[Quartile Value]] &lt; Table13[[#This Row],[Previous Quartile Value]], "Improved",
   IF(Table13[[#This Row],[Quartile Value]] &gt; Table13[[#This Row],[Previous Quartile Value]], "Dropped", "Same")))</f>
        <v>Same</v>
      </c>
      <c r="J1560" s="10" t="s">
        <v>12</v>
      </c>
      <c r="K1560" s="7" t="str">
        <f>VLOOKUP(J1560,Introduction!$B$6:$C$14,2)</f>
        <v>London</v>
      </c>
      <c r="L1560" s="11">
        <v>213</v>
      </c>
      <c r="M1560" s="12" t="s">
        <v>425</v>
      </c>
    </row>
    <row r="1561" spans="1:13" ht="19.95" customHeight="1" x14ac:dyDescent="0.25">
      <c r="A1561" s="41">
        <v>45323</v>
      </c>
      <c r="B1561" s="47">
        <f>MONTH(Table13[[#This Row],[YearMonth]])</f>
        <v>2</v>
      </c>
      <c r="C1561" s="9" t="s">
        <v>269</v>
      </c>
      <c r="D1561" s="14" t="s">
        <v>350</v>
      </c>
      <c r="E1561" s="14">
        <f>IF(Table13[[#This Row],[Quartile]]="TopQuartile", 1,
 IF(Table13[[#This Row],[Quartile]]="SecondQuartile", 2,
 IF(Table13[[#This Row],[Quartile]]="ThirdQuartile", 3,
 IF(Table13[[#This Row],[Quartile]]="FourthQuartile", 4, ""))))</f>
        <v>4</v>
      </c>
      <c r="F1561" s="9" t="s">
        <v>467</v>
      </c>
      <c r="G1561" s="9" t="str" cm="1">
        <f t="array" ref="G1561">IFERROR(
  INDEX(Table13[Quartile],
    MATCH(1,
      (Table13[[#This Row],[OrgName]]=Table13[OrgName]) *
      (Table13[[#This Row],[Month Number]]-1=Table13[Month Number]),
    0)
  ),
"")</f>
        <v>FourthQuartile</v>
      </c>
      <c r="H1561" s="9">
        <f>IF(Table13[[#This Row],[Previous Quartile]]="TopQuartile", 1,
 IF(Table13[[#This Row],[Previous Quartile]]="SecondQuartile", 2,
 IF(Table13[[#This Row],[Previous Quartile]]="ThirdQuartile", 3,
 IF(Table13[[#This Row],[Previous Quartile]]="FourthQuartile", 4, ""))))</f>
        <v>4</v>
      </c>
      <c r="I1561" s="9" t="str">
        <f>IF(Table13[[#This Row],[Previous Quartile Value]]="", "",
   IF(Table13[[#This Row],[Quartile Value]] &lt; Table13[[#This Row],[Previous Quartile Value]], "Improved",
   IF(Table13[[#This Row],[Quartile Value]] &gt; Table13[[#This Row],[Previous Quartile Value]], "Dropped", "Same")))</f>
        <v>Same</v>
      </c>
      <c r="J1561" s="10" t="s">
        <v>14</v>
      </c>
      <c r="K1561" s="7" t="str">
        <f>VLOOKUP(J1561,Introduction!$B$6:$C$14,2)</f>
        <v>South West</v>
      </c>
      <c r="L1561" s="11">
        <v>387</v>
      </c>
      <c r="M1561" s="12" t="s">
        <v>425</v>
      </c>
    </row>
    <row r="1562" spans="1:13" ht="19.95" customHeight="1" x14ac:dyDescent="0.25">
      <c r="A1562" s="41">
        <v>45323</v>
      </c>
      <c r="B1562" s="47">
        <f>MONTH(Table13[[#This Row],[YearMonth]])</f>
        <v>2</v>
      </c>
      <c r="C1562" s="9" t="s">
        <v>281</v>
      </c>
      <c r="D1562" s="14" t="s">
        <v>350</v>
      </c>
      <c r="E1562" s="14">
        <f>IF(Table13[[#This Row],[Quartile]]="TopQuartile", 1,
 IF(Table13[[#This Row],[Quartile]]="SecondQuartile", 2,
 IF(Table13[[#This Row],[Quartile]]="ThirdQuartile", 3,
 IF(Table13[[#This Row],[Quartile]]="FourthQuartile", 4, ""))))</f>
        <v>4</v>
      </c>
      <c r="F1562" s="9" t="s">
        <v>469</v>
      </c>
      <c r="G1562" s="9" t="str" cm="1">
        <f t="array" ref="G1562">IFERROR(
  INDEX(Table13[Quartile],
    MATCH(1,
      (Table13[[#This Row],[OrgName]]=Table13[OrgName]) *
      (Table13[[#This Row],[Month Number]]-1=Table13[Month Number]),
    0)
  ),
"")</f>
        <v>FourthQuartile</v>
      </c>
      <c r="H1562" s="9">
        <f>IF(Table13[[#This Row],[Previous Quartile]]="TopQuartile", 1,
 IF(Table13[[#This Row],[Previous Quartile]]="SecondQuartile", 2,
 IF(Table13[[#This Row],[Previous Quartile]]="ThirdQuartile", 3,
 IF(Table13[[#This Row],[Previous Quartile]]="FourthQuartile", 4, ""))))</f>
        <v>4</v>
      </c>
      <c r="I1562" s="9" t="str">
        <f>IF(Table13[[#This Row],[Previous Quartile Value]]="", "",
   IF(Table13[[#This Row],[Quartile Value]] &lt; Table13[[#This Row],[Previous Quartile Value]], "Improved",
   IF(Table13[[#This Row],[Quartile Value]] &gt; Table13[[#This Row],[Previous Quartile Value]], "Dropped", "Same")))</f>
        <v>Same</v>
      </c>
      <c r="J1562" s="10" t="s">
        <v>18</v>
      </c>
      <c r="K1562" s="7" t="str">
        <f>VLOOKUP(J1562,Introduction!$B$6:$C$14,2)</f>
        <v>Midlands</v>
      </c>
      <c r="L1562" s="11">
        <v>205</v>
      </c>
      <c r="M1562" s="12" t="s">
        <v>425</v>
      </c>
    </row>
    <row r="1563" spans="1:13" ht="19.95" customHeight="1" x14ac:dyDescent="0.25">
      <c r="A1563" s="41">
        <v>45323</v>
      </c>
      <c r="B1563" s="47">
        <f>MONTH(Table13[[#This Row],[YearMonth]])</f>
        <v>2</v>
      </c>
      <c r="C1563" s="9" t="s">
        <v>277</v>
      </c>
      <c r="D1563" s="14" t="s">
        <v>350</v>
      </c>
      <c r="E1563" s="14">
        <f>IF(Table13[[#This Row],[Quartile]]="TopQuartile", 1,
 IF(Table13[[#This Row],[Quartile]]="SecondQuartile", 2,
 IF(Table13[[#This Row],[Quartile]]="ThirdQuartile", 3,
 IF(Table13[[#This Row],[Quartile]]="FourthQuartile", 4, ""))))</f>
        <v>4</v>
      </c>
      <c r="F1563" s="9" t="s">
        <v>468</v>
      </c>
      <c r="G1563" s="9" t="str" cm="1">
        <f t="array" ref="G1563">IFERROR(
  INDEX(Table13[Quartile],
    MATCH(1,
      (Table13[[#This Row],[OrgName]]=Table13[OrgName]) *
      (Table13[[#This Row],[Month Number]]-1=Table13[Month Number]),
    0)
  ),
"")</f>
        <v>FourthQuartile</v>
      </c>
      <c r="H1563" s="9">
        <f>IF(Table13[[#This Row],[Previous Quartile]]="TopQuartile", 1,
 IF(Table13[[#This Row],[Previous Quartile]]="SecondQuartile", 2,
 IF(Table13[[#This Row],[Previous Quartile]]="ThirdQuartile", 3,
 IF(Table13[[#This Row],[Previous Quartile]]="FourthQuartile", 4, ""))))</f>
        <v>4</v>
      </c>
      <c r="I1563" s="9" t="str">
        <f>IF(Table13[[#This Row],[Previous Quartile Value]]="", "",
   IF(Table13[[#This Row],[Quartile Value]] &lt; Table13[[#This Row],[Previous Quartile Value]], "Improved",
   IF(Table13[[#This Row],[Quartile Value]] &gt; Table13[[#This Row],[Previous Quartile Value]], "Dropped", "Same")))</f>
        <v>Same</v>
      </c>
      <c r="J1563" s="10" t="s">
        <v>24</v>
      </c>
      <c r="K1563" s="7" t="str">
        <f>VLOOKUP(J1563,Introduction!$B$6:$C$14,2)</f>
        <v>North East and Yorkshire</v>
      </c>
      <c r="L1563" s="11">
        <v>419</v>
      </c>
      <c r="M1563" s="12" t="s">
        <v>425</v>
      </c>
    </row>
    <row r="1564" spans="1:13" ht="19.95" customHeight="1" x14ac:dyDescent="0.25">
      <c r="A1564" s="41">
        <v>45323</v>
      </c>
      <c r="B1564" s="47">
        <f>MONTH(Table13[[#This Row],[YearMonth]])</f>
        <v>2</v>
      </c>
      <c r="C1564" s="9" t="s">
        <v>282</v>
      </c>
      <c r="D1564" s="14" t="s">
        <v>350</v>
      </c>
      <c r="E1564" s="14">
        <f>IF(Table13[[#This Row],[Quartile]]="TopQuartile", 1,
 IF(Table13[[#This Row],[Quartile]]="SecondQuartile", 2,
 IF(Table13[[#This Row],[Quartile]]="ThirdQuartile", 3,
 IF(Table13[[#This Row],[Quartile]]="FourthQuartile", 4, ""))))</f>
        <v>4</v>
      </c>
      <c r="F1564" s="9" t="s">
        <v>470</v>
      </c>
      <c r="G1564" s="9" t="str" cm="1">
        <f t="array" ref="G1564">IFERROR(
  INDEX(Table13[Quartile],
    MATCH(1,
      (Table13[[#This Row],[OrgName]]=Table13[OrgName]) *
      (Table13[[#This Row],[Month Number]]-1=Table13[Month Number]),
    0)
  ),
"")</f>
        <v>FourthQuartile</v>
      </c>
      <c r="H1564" s="9">
        <f>IF(Table13[[#This Row],[Previous Quartile]]="TopQuartile", 1,
 IF(Table13[[#This Row],[Previous Quartile]]="SecondQuartile", 2,
 IF(Table13[[#This Row],[Previous Quartile]]="ThirdQuartile", 3,
 IF(Table13[[#This Row],[Previous Quartile]]="FourthQuartile", 4, ""))))</f>
        <v>4</v>
      </c>
      <c r="I1564" s="9" t="str">
        <f>IF(Table13[[#This Row],[Previous Quartile Value]]="", "",
   IF(Table13[[#This Row],[Quartile Value]] &lt; Table13[[#This Row],[Previous Quartile Value]], "Improved",
   IF(Table13[[#This Row],[Quartile Value]] &gt; Table13[[#This Row],[Previous Quartile Value]], "Dropped", "Same")))</f>
        <v>Same</v>
      </c>
      <c r="J1564" s="10" t="s">
        <v>12</v>
      </c>
      <c r="K1564" s="7" t="str">
        <f>VLOOKUP(J1564,Introduction!$B$6:$C$14,2)</f>
        <v>London</v>
      </c>
      <c r="L1564" s="11">
        <v>290</v>
      </c>
      <c r="M1564" s="12" t="s">
        <v>425</v>
      </c>
    </row>
    <row r="1565" spans="1:13" ht="19.95" customHeight="1" x14ac:dyDescent="0.25">
      <c r="A1565" s="41">
        <v>45323</v>
      </c>
      <c r="B1565" s="47">
        <f>MONTH(Table13[[#This Row],[YearMonth]])</f>
        <v>2</v>
      </c>
      <c r="C1565" s="9" t="s">
        <v>287</v>
      </c>
      <c r="D1565" s="14" t="s">
        <v>350</v>
      </c>
      <c r="E1565" s="14">
        <f>IF(Table13[[#This Row],[Quartile]]="TopQuartile", 1,
 IF(Table13[[#This Row],[Quartile]]="SecondQuartile", 2,
 IF(Table13[[#This Row],[Quartile]]="ThirdQuartile", 3,
 IF(Table13[[#This Row],[Quartile]]="FourthQuartile", 4, ""))))</f>
        <v>4</v>
      </c>
      <c r="F1565" s="9" t="s">
        <v>471</v>
      </c>
      <c r="G1565" s="9" t="str" cm="1">
        <f t="array" ref="G1565">IFERROR(
  INDEX(Table13[Quartile],
    MATCH(1,
      (Table13[[#This Row],[OrgName]]=Table13[OrgName]) *
      (Table13[[#This Row],[Month Number]]-1=Table13[Month Number]),
    0)
  ),
"")</f>
        <v>FourthQuartile</v>
      </c>
      <c r="H1565" s="9">
        <f>IF(Table13[[#This Row],[Previous Quartile]]="TopQuartile", 1,
 IF(Table13[[#This Row],[Previous Quartile]]="SecondQuartile", 2,
 IF(Table13[[#This Row],[Previous Quartile]]="ThirdQuartile", 3,
 IF(Table13[[#This Row],[Previous Quartile]]="FourthQuartile", 4, ""))))</f>
        <v>4</v>
      </c>
      <c r="I1565" s="9" t="str">
        <f>IF(Table13[[#This Row],[Previous Quartile Value]]="", "",
   IF(Table13[[#This Row],[Quartile Value]] &lt; Table13[[#This Row],[Previous Quartile Value]], "Improved",
   IF(Table13[[#This Row],[Quartile Value]] &gt; Table13[[#This Row],[Previous Quartile Value]], "Dropped", "Same")))</f>
        <v>Same</v>
      </c>
      <c r="J1565" s="10" t="s">
        <v>12</v>
      </c>
      <c r="K1565" s="7" t="str">
        <f>VLOOKUP(J1565,Introduction!$B$6:$C$14,2)</f>
        <v>London</v>
      </c>
      <c r="L1565" s="11">
        <v>289</v>
      </c>
      <c r="M1565" s="12" t="s">
        <v>425</v>
      </c>
    </row>
    <row r="1566" spans="1:13" ht="19.95" customHeight="1" x14ac:dyDescent="0.25">
      <c r="A1566" s="41">
        <v>45323</v>
      </c>
      <c r="B1566" s="47">
        <f>MONTH(Table13[[#This Row],[YearMonth]])</f>
        <v>2</v>
      </c>
      <c r="C1566" s="9" t="s">
        <v>301</v>
      </c>
      <c r="D1566" s="14" t="s">
        <v>350</v>
      </c>
      <c r="E1566" s="14">
        <f>IF(Table13[[#This Row],[Quartile]]="TopQuartile", 1,
 IF(Table13[[#This Row],[Quartile]]="SecondQuartile", 2,
 IF(Table13[[#This Row],[Quartile]]="ThirdQuartile", 3,
 IF(Table13[[#This Row],[Quartile]]="FourthQuartile", 4, ""))))</f>
        <v>4</v>
      </c>
      <c r="F1566" s="9" t="s">
        <v>472</v>
      </c>
      <c r="G1566" s="9" t="str" cm="1">
        <f t="array" ref="G1566">IFERROR(
  INDEX(Table13[Quartile],
    MATCH(1,
      (Table13[[#This Row],[OrgName]]=Table13[OrgName]) *
      (Table13[[#This Row],[Month Number]]-1=Table13[Month Number]),
    0)
  ),
"")</f>
        <v>FourthQuartile</v>
      </c>
      <c r="H1566" s="9">
        <f>IF(Table13[[#This Row],[Previous Quartile]]="TopQuartile", 1,
 IF(Table13[[#This Row],[Previous Quartile]]="SecondQuartile", 2,
 IF(Table13[[#This Row],[Previous Quartile]]="ThirdQuartile", 3,
 IF(Table13[[#This Row],[Previous Quartile]]="FourthQuartile", 4, ""))))</f>
        <v>4</v>
      </c>
      <c r="I1566" s="9" t="str">
        <f>IF(Table13[[#This Row],[Previous Quartile Value]]="", "",
   IF(Table13[[#This Row],[Quartile Value]] &lt; Table13[[#This Row],[Previous Quartile Value]], "Improved",
   IF(Table13[[#This Row],[Quartile Value]] &gt; Table13[[#This Row],[Previous Quartile Value]], "Dropped", "Same")))</f>
        <v>Same</v>
      </c>
      <c r="J1566" s="10" t="s">
        <v>14</v>
      </c>
      <c r="K1566" s="7" t="str">
        <f>VLOOKUP(J1566,Introduction!$B$6:$C$14,2)</f>
        <v>South West</v>
      </c>
      <c r="L1566" s="11">
        <v>153</v>
      </c>
      <c r="M1566" s="12" t="s">
        <v>425</v>
      </c>
    </row>
    <row r="1567" spans="1:13" ht="19.95" customHeight="1" x14ac:dyDescent="0.25">
      <c r="A1567" s="41">
        <v>45323</v>
      </c>
      <c r="B1567" s="47">
        <f>MONTH(Table13[[#This Row],[YearMonth]])</f>
        <v>2</v>
      </c>
      <c r="C1567" s="9" t="s">
        <v>309</v>
      </c>
      <c r="D1567" s="14" t="s">
        <v>350</v>
      </c>
      <c r="E1567" s="14">
        <f>IF(Table13[[#This Row],[Quartile]]="TopQuartile", 1,
 IF(Table13[[#This Row],[Quartile]]="SecondQuartile", 2,
 IF(Table13[[#This Row],[Quartile]]="ThirdQuartile", 3,
 IF(Table13[[#This Row],[Quartile]]="FourthQuartile", 4, ""))))</f>
        <v>4</v>
      </c>
      <c r="F1567" s="9" t="s">
        <v>474</v>
      </c>
      <c r="G1567" s="9" t="str" cm="1">
        <f t="array" ref="G1567">IFERROR(
  INDEX(Table13[Quartile],
    MATCH(1,
      (Table13[[#This Row],[OrgName]]=Table13[OrgName]) *
      (Table13[[#This Row],[Month Number]]-1=Table13[Month Number]),
    0)
  ),
"")</f>
        <v>FourthQuartile</v>
      </c>
      <c r="H1567" s="9">
        <f>IF(Table13[[#This Row],[Previous Quartile]]="TopQuartile", 1,
 IF(Table13[[#This Row],[Previous Quartile]]="SecondQuartile", 2,
 IF(Table13[[#This Row],[Previous Quartile]]="ThirdQuartile", 3,
 IF(Table13[[#This Row],[Previous Quartile]]="FourthQuartile", 4, ""))))</f>
        <v>4</v>
      </c>
      <c r="I1567" s="9" t="str">
        <f>IF(Table13[[#This Row],[Previous Quartile Value]]="", "",
   IF(Table13[[#This Row],[Quartile Value]] &lt; Table13[[#This Row],[Previous Quartile Value]], "Improved",
   IF(Table13[[#This Row],[Quartile Value]] &gt; Table13[[#This Row],[Previous Quartile Value]], "Dropped", "Same")))</f>
        <v>Same</v>
      </c>
      <c r="J1567" s="10" t="s">
        <v>20</v>
      </c>
      <c r="K1567" s="7" t="str">
        <f>VLOOKUP(J1567,Introduction!$B$6:$C$14,2)</f>
        <v>East of England</v>
      </c>
      <c r="L1567" s="11">
        <v>234</v>
      </c>
      <c r="M1567" s="12" t="s">
        <v>425</v>
      </c>
    </row>
    <row r="1568" spans="1:13" ht="19.95" customHeight="1" x14ac:dyDescent="0.25">
      <c r="A1568" s="41">
        <v>45323</v>
      </c>
      <c r="B1568" s="47">
        <f>MONTH(Table13[[#This Row],[YearMonth]])</f>
        <v>2</v>
      </c>
      <c r="C1568" s="9" t="s">
        <v>307</v>
      </c>
      <c r="D1568" s="14" t="s">
        <v>350</v>
      </c>
      <c r="E1568" s="14">
        <f>IF(Table13[[#This Row],[Quartile]]="TopQuartile", 1,
 IF(Table13[[#This Row],[Quartile]]="SecondQuartile", 2,
 IF(Table13[[#This Row],[Quartile]]="ThirdQuartile", 3,
 IF(Table13[[#This Row],[Quartile]]="FourthQuartile", 4, ""))))</f>
        <v>4</v>
      </c>
      <c r="F1568" s="9" t="s">
        <v>473</v>
      </c>
      <c r="G1568" s="9" t="str" cm="1">
        <f t="array" ref="G1568">IFERROR(
  INDEX(Table13[Quartile],
    MATCH(1,
      (Table13[[#This Row],[OrgName]]=Table13[OrgName]) *
      (Table13[[#This Row],[Month Number]]-1=Table13[Month Number]),
    0)
  ),
"")</f>
        <v>FourthQuartile</v>
      </c>
      <c r="H1568" s="9">
        <f>IF(Table13[[#This Row],[Previous Quartile]]="TopQuartile", 1,
 IF(Table13[[#This Row],[Previous Quartile]]="SecondQuartile", 2,
 IF(Table13[[#This Row],[Previous Quartile]]="ThirdQuartile", 3,
 IF(Table13[[#This Row],[Previous Quartile]]="FourthQuartile", 4, ""))))</f>
        <v>4</v>
      </c>
      <c r="I1568" s="9" t="str">
        <f>IF(Table13[[#This Row],[Previous Quartile Value]]="", "",
   IF(Table13[[#This Row],[Quartile Value]] &lt; Table13[[#This Row],[Previous Quartile Value]], "Improved",
   IF(Table13[[#This Row],[Quartile Value]] &gt; Table13[[#This Row],[Previous Quartile Value]], "Dropped", "Same")))</f>
        <v>Same</v>
      </c>
      <c r="J1568" s="10" t="s">
        <v>18</v>
      </c>
      <c r="K1568" s="7" t="str">
        <f>VLOOKUP(J1568,Introduction!$B$6:$C$14,2)</f>
        <v>Midlands</v>
      </c>
      <c r="L1568" s="11">
        <v>164</v>
      </c>
      <c r="M1568" s="12" t="s">
        <v>425</v>
      </c>
    </row>
    <row r="1569" spans="1:13" ht="19.95" customHeight="1" x14ac:dyDescent="0.25">
      <c r="A1569" s="41">
        <v>45323</v>
      </c>
      <c r="B1569" s="47">
        <f>MONTH(Table13[[#This Row],[YearMonth]])</f>
        <v>2</v>
      </c>
      <c r="C1569" s="9" t="s">
        <v>183</v>
      </c>
      <c r="D1569" s="14" t="s">
        <v>338</v>
      </c>
      <c r="E1569" s="14">
        <f>IF(Table13[[#This Row],[Quartile]]="TopQuartile", 1,
 IF(Table13[[#This Row],[Quartile]]="SecondQuartile", 2,
 IF(Table13[[#This Row],[Quartile]]="ThirdQuartile", 3,
 IF(Table13[[#This Row],[Quartile]]="FourthQuartile", 4, ""))))</f>
        <v>2</v>
      </c>
      <c r="F1569" s="9" t="s">
        <v>477</v>
      </c>
      <c r="G1569" s="9" t="str" cm="1">
        <f t="array" ref="G1569">IFERROR(
  INDEX(Table13[Quartile],
    MATCH(1,
      (Table13[[#This Row],[OrgName]]=Table13[OrgName]) *
      (Table13[[#This Row],[Month Number]]-1=Table13[Month Number]),
    0)
  ),
"")</f>
        <v>SecondQuartile</v>
      </c>
      <c r="H1569" s="9">
        <f>IF(Table13[[#This Row],[Previous Quartile]]="TopQuartile", 1,
 IF(Table13[[#This Row],[Previous Quartile]]="SecondQuartile", 2,
 IF(Table13[[#This Row],[Previous Quartile]]="ThirdQuartile", 3,
 IF(Table13[[#This Row],[Previous Quartile]]="FourthQuartile", 4, ""))))</f>
        <v>2</v>
      </c>
      <c r="I1569" s="9" t="str">
        <f>IF(Table13[[#This Row],[Previous Quartile Value]]="", "",
   IF(Table13[[#This Row],[Quartile Value]] &lt; Table13[[#This Row],[Previous Quartile Value]], "Improved",
   IF(Table13[[#This Row],[Quartile Value]] &gt; Table13[[#This Row],[Previous Quartile Value]], "Dropped", "Same")))</f>
        <v>Same</v>
      </c>
      <c r="J1569" s="10" t="s">
        <v>18</v>
      </c>
      <c r="K1569" s="7" t="str">
        <f>VLOOKUP(J1569,Introduction!$B$6:$C$14,2)</f>
        <v>Midlands</v>
      </c>
      <c r="L1569" s="11">
        <v>217</v>
      </c>
      <c r="M1569" s="12" t="s">
        <v>476</v>
      </c>
    </row>
    <row r="1570" spans="1:13" ht="19.95" customHeight="1" x14ac:dyDescent="0.25">
      <c r="A1570" s="41">
        <v>45323</v>
      </c>
      <c r="B1570" s="47">
        <f>MONTH(Table13[[#This Row],[YearMonth]])</f>
        <v>2</v>
      </c>
      <c r="C1570" s="9" t="s">
        <v>201</v>
      </c>
      <c r="D1570" s="14" t="s">
        <v>341</v>
      </c>
      <c r="E1570" s="14">
        <f>IF(Table13[[#This Row],[Quartile]]="TopQuartile", 1,
 IF(Table13[[#This Row],[Quartile]]="SecondQuartile", 2,
 IF(Table13[[#This Row],[Quartile]]="ThirdQuartile", 3,
 IF(Table13[[#This Row],[Quartile]]="FourthQuartile", 4, ""))))</f>
        <v>3</v>
      </c>
      <c r="F1570" s="9" t="s">
        <v>478</v>
      </c>
      <c r="G1570" s="9" t="str" cm="1">
        <f t="array" ref="G1570">IFERROR(
  INDEX(Table13[Quartile],
    MATCH(1,
      (Table13[[#This Row],[OrgName]]=Table13[OrgName]) *
      (Table13[[#This Row],[Month Number]]-1=Table13[Month Number]),
    0)
  ),
"")</f>
        <v>ThirdQuartile</v>
      </c>
      <c r="H1570" s="9">
        <f>IF(Table13[[#This Row],[Previous Quartile]]="TopQuartile", 1,
 IF(Table13[[#This Row],[Previous Quartile]]="SecondQuartile", 2,
 IF(Table13[[#This Row],[Previous Quartile]]="ThirdQuartile", 3,
 IF(Table13[[#This Row],[Previous Quartile]]="FourthQuartile", 4, ""))))</f>
        <v>3</v>
      </c>
      <c r="I1570" s="9" t="str">
        <f>IF(Table13[[#This Row],[Previous Quartile Value]]="", "",
   IF(Table13[[#This Row],[Quartile Value]] &lt; Table13[[#This Row],[Previous Quartile Value]], "Improved",
   IF(Table13[[#This Row],[Quartile Value]] &gt; Table13[[#This Row],[Previous Quartile Value]], "Dropped", "Same")))</f>
        <v>Same</v>
      </c>
      <c r="J1570" s="10" t="s">
        <v>16</v>
      </c>
      <c r="K1570" s="7" t="str">
        <f>VLOOKUP(J1570,Introduction!$B$6:$C$14,2)</f>
        <v>South East</v>
      </c>
      <c r="L1570" s="11">
        <v>195</v>
      </c>
      <c r="M1570" s="12" t="s">
        <v>476</v>
      </c>
    </row>
    <row r="1571" spans="1:13" ht="19.95" customHeight="1" x14ac:dyDescent="0.25">
      <c r="A1571" s="41">
        <v>45323</v>
      </c>
      <c r="B1571" s="47">
        <f>MONTH(Table13[[#This Row],[YearMonth]])</f>
        <v>2</v>
      </c>
      <c r="C1571" s="9" t="s">
        <v>180</v>
      </c>
      <c r="D1571" s="14" t="s">
        <v>341</v>
      </c>
      <c r="E1571" s="14">
        <f>IF(Table13[[#This Row],[Quartile]]="TopQuartile", 1,
 IF(Table13[[#This Row],[Quartile]]="SecondQuartile", 2,
 IF(Table13[[#This Row],[Quartile]]="ThirdQuartile", 3,
 IF(Table13[[#This Row],[Quartile]]="FourthQuartile", 4, ""))))</f>
        <v>3</v>
      </c>
      <c r="F1571" s="9" t="s">
        <v>475</v>
      </c>
      <c r="G1571" s="9" t="str" cm="1">
        <f t="array" ref="G1571">IFERROR(
  INDEX(Table13[Quartile],
    MATCH(1,
      (Table13[[#This Row],[OrgName]]=Table13[OrgName]) *
      (Table13[[#This Row],[Month Number]]-1=Table13[Month Number]),
    0)
  ),
"")</f>
        <v>ThirdQuartile</v>
      </c>
      <c r="H1571" s="9">
        <f>IF(Table13[[#This Row],[Previous Quartile]]="TopQuartile", 1,
 IF(Table13[[#This Row],[Previous Quartile]]="SecondQuartile", 2,
 IF(Table13[[#This Row],[Previous Quartile]]="ThirdQuartile", 3,
 IF(Table13[[#This Row],[Previous Quartile]]="FourthQuartile", 4, ""))))</f>
        <v>3</v>
      </c>
      <c r="I1571" s="9" t="str">
        <f>IF(Table13[[#This Row],[Previous Quartile Value]]="", "",
   IF(Table13[[#This Row],[Quartile Value]] &lt; Table13[[#This Row],[Previous Quartile Value]], "Improved",
   IF(Table13[[#This Row],[Quartile Value]] &gt; Table13[[#This Row],[Previous Quartile Value]], "Dropped", "Same")))</f>
        <v>Same</v>
      </c>
      <c r="J1571" s="10" t="s">
        <v>16</v>
      </c>
      <c r="K1571" s="7" t="str">
        <f>VLOOKUP(J1571,Introduction!$B$6:$C$14,2)</f>
        <v>South East</v>
      </c>
      <c r="L1571" s="11">
        <v>278</v>
      </c>
      <c r="M1571" s="12" t="s">
        <v>476</v>
      </c>
    </row>
    <row r="1572" spans="1:13" ht="19.95" customHeight="1" x14ac:dyDescent="0.25">
      <c r="A1572" s="41">
        <v>45323</v>
      </c>
      <c r="B1572" s="47">
        <f>MONTH(Table13[[#This Row],[YearMonth]])</f>
        <v>2</v>
      </c>
      <c r="C1572" s="9" t="s">
        <v>285</v>
      </c>
      <c r="D1572" s="14" t="s">
        <v>341</v>
      </c>
      <c r="E1572" s="14">
        <f>IF(Table13[[#This Row],[Quartile]]="TopQuartile", 1,
 IF(Table13[[#This Row],[Quartile]]="SecondQuartile", 2,
 IF(Table13[[#This Row],[Quartile]]="ThirdQuartile", 3,
 IF(Table13[[#This Row],[Quartile]]="FourthQuartile", 4, ""))))</f>
        <v>3</v>
      </c>
      <c r="F1572" s="9" t="s">
        <v>483</v>
      </c>
      <c r="G1572" s="9" t="str" cm="1">
        <f t="array" ref="G1572">IFERROR(
  INDEX(Table13[Quartile],
    MATCH(1,
      (Table13[[#This Row],[OrgName]]=Table13[OrgName]) *
      (Table13[[#This Row],[Month Number]]-1=Table13[Month Number]),
    0)
  ),
"")</f>
        <v>ThirdQuartile</v>
      </c>
      <c r="H1572" s="9">
        <f>IF(Table13[[#This Row],[Previous Quartile]]="TopQuartile", 1,
 IF(Table13[[#This Row],[Previous Quartile]]="SecondQuartile", 2,
 IF(Table13[[#This Row],[Previous Quartile]]="ThirdQuartile", 3,
 IF(Table13[[#This Row],[Previous Quartile]]="FourthQuartile", 4, ""))))</f>
        <v>3</v>
      </c>
      <c r="I1572" s="9" t="str">
        <f>IF(Table13[[#This Row],[Previous Quartile Value]]="", "",
   IF(Table13[[#This Row],[Quartile Value]] &lt; Table13[[#This Row],[Previous Quartile Value]], "Improved",
   IF(Table13[[#This Row],[Quartile Value]] &gt; Table13[[#This Row],[Previous Quartile Value]], "Dropped", "Same")))</f>
        <v>Same</v>
      </c>
      <c r="J1572" s="10" t="s">
        <v>22</v>
      </c>
      <c r="K1572" s="7" t="str">
        <f>VLOOKUP(J1572,Introduction!$B$6:$C$14,2)</f>
        <v>North West</v>
      </c>
      <c r="L1572" s="11">
        <v>242</v>
      </c>
      <c r="M1572" s="12" t="s">
        <v>476</v>
      </c>
    </row>
    <row r="1573" spans="1:13" ht="19.95" customHeight="1" x14ac:dyDescent="0.25">
      <c r="A1573" s="41">
        <v>45323</v>
      </c>
      <c r="B1573" s="47">
        <f>MONTH(Table13[[#This Row],[YearMonth]])</f>
        <v>2</v>
      </c>
      <c r="C1573" s="9" t="s">
        <v>263</v>
      </c>
      <c r="D1573" s="14" t="s">
        <v>341</v>
      </c>
      <c r="E1573" s="14">
        <f>IF(Table13[[#This Row],[Quartile]]="TopQuartile", 1,
 IF(Table13[[#This Row],[Quartile]]="SecondQuartile", 2,
 IF(Table13[[#This Row],[Quartile]]="ThirdQuartile", 3,
 IF(Table13[[#This Row],[Quartile]]="FourthQuartile", 4, ""))))</f>
        <v>3</v>
      </c>
      <c r="F1573" s="9" t="s">
        <v>479</v>
      </c>
      <c r="G1573" s="9" t="str" cm="1">
        <f t="array" ref="G1573">IFERROR(
  INDEX(Table13[Quartile],
    MATCH(1,
      (Table13[[#This Row],[OrgName]]=Table13[OrgName]) *
      (Table13[[#This Row],[Month Number]]-1=Table13[Month Number]),
    0)
  ),
"")</f>
        <v>ThirdQuartile</v>
      </c>
      <c r="H1573" s="9">
        <f>IF(Table13[[#This Row],[Previous Quartile]]="TopQuartile", 1,
 IF(Table13[[#This Row],[Previous Quartile]]="SecondQuartile", 2,
 IF(Table13[[#This Row],[Previous Quartile]]="ThirdQuartile", 3,
 IF(Table13[[#This Row],[Previous Quartile]]="FourthQuartile", 4, ""))))</f>
        <v>3</v>
      </c>
      <c r="I1573" s="9" t="str">
        <f>IF(Table13[[#This Row],[Previous Quartile Value]]="", "",
   IF(Table13[[#This Row],[Quartile Value]] &lt; Table13[[#This Row],[Previous Quartile Value]], "Improved",
   IF(Table13[[#This Row],[Quartile Value]] &gt; Table13[[#This Row],[Previous Quartile Value]], "Dropped", "Same")))</f>
        <v>Same</v>
      </c>
      <c r="J1573" s="10" t="s">
        <v>24</v>
      </c>
      <c r="K1573" s="7" t="str">
        <f>VLOOKUP(J1573,Introduction!$B$6:$C$14,2)</f>
        <v>North East and Yorkshire</v>
      </c>
      <c r="L1573" s="11">
        <v>340</v>
      </c>
      <c r="M1573" s="12" t="s">
        <v>476</v>
      </c>
    </row>
    <row r="1574" spans="1:13" ht="19.95" customHeight="1" x14ac:dyDescent="0.25">
      <c r="A1574" s="41">
        <v>45323</v>
      </c>
      <c r="B1574" s="47">
        <f>MONTH(Table13[[#This Row],[YearMonth]])</f>
        <v>2</v>
      </c>
      <c r="C1574" s="9" t="s">
        <v>274</v>
      </c>
      <c r="D1574" s="14" t="s">
        <v>350</v>
      </c>
      <c r="E1574" s="14">
        <f>IF(Table13[[#This Row],[Quartile]]="TopQuartile", 1,
 IF(Table13[[#This Row],[Quartile]]="SecondQuartile", 2,
 IF(Table13[[#This Row],[Quartile]]="ThirdQuartile", 3,
 IF(Table13[[#This Row],[Quartile]]="FourthQuartile", 4, ""))))</f>
        <v>4</v>
      </c>
      <c r="F1574" s="9" t="s">
        <v>480</v>
      </c>
      <c r="G1574" s="9" t="str" cm="1">
        <f t="array" ref="G1574">IFERROR(
  INDEX(Table13[Quartile],
    MATCH(1,
      (Table13[[#This Row],[OrgName]]=Table13[OrgName]) *
      (Table13[[#This Row],[Month Number]]-1=Table13[Month Number]),
    0)
  ),
"")</f>
        <v>FourthQuartile</v>
      </c>
      <c r="H1574" s="9">
        <f>IF(Table13[[#This Row],[Previous Quartile]]="TopQuartile", 1,
 IF(Table13[[#This Row],[Previous Quartile]]="SecondQuartile", 2,
 IF(Table13[[#This Row],[Previous Quartile]]="ThirdQuartile", 3,
 IF(Table13[[#This Row],[Previous Quartile]]="FourthQuartile", 4, ""))))</f>
        <v>4</v>
      </c>
      <c r="I1574" s="9" t="str">
        <f>IF(Table13[[#This Row],[Previous Quartile Value]]="", "",
   IF(Table13[[#This Row],[Quartile Value]] &lt; Table13[[#This Row],[Previous Quartile Value]], "Improved",
   IF(Table13[[#This Row],[Quartile Value]] &gt; Table13[[#This Row],[Previous Quartile Value]], "Dropped", "Same")))</f>
        <v>Same</v>
      </c>
      <c r="J1574" s="10" t="s">
        <v>24</v>
      </c>
      <c r="K1574" s="7" t="str">
        <f>VLOOKUP(J1574,Introduction!$B$6:$C$14,2)</f>
        <v>North East and Yorkshire</v>
      </c>
      <c r="L1574" s="11">
        <v>174</v>
      </c>
      <c r="M1574" s="12" t="s">
        <v>476</v>
      </c>
    </row>
    <row r="1575" spans="1:13" ht="19.95" customHeight="1" x14ac:dyDescent="0.25">
      <c r="A1575" s="41">
        <v>45323</v>
      </c>
      <c r="B1575" s="47">
        <f>MONTH(Table13[[#This Row],[YearMonth]])</f>
        <v>2</v>
      </c>
      <c r="C1575" s="9" t="s">
        <v>278</v>
      </c>
      <c r="D1575" s="14" t="s">
        <v>350</v>
      </c>
      <c r="E1575" s="14">
        <f>IF(Table13[[#This Row],[Quartile]]="TopQuartile", 1,
 IF(Table13[[#This Row],[Quartile]]="SecondQuartile", 2,
 IF(Table13[[#This Row],[Quartile]]="ThirdQuartile", 3,
 IF(Table13[[#This Row],[Quartile]]="FourthQuartile", 4, ""))))</f>
        <v>4</v>
      </c>
      <c r="F1575" s="9" t="s">
        <v>481</v>
      </c>
      <c r="G1575" s="9" t="str" cm="1">
        <f t="array" ref="G1575">IFERROR(
  INDEX(Table13[Quartile],
    MATCH(1,
      (Table13[[#This Row],[OrgName]]=Table13[OrgName]) *
      (Table13[[#This Row],[Month Number]]-1=Table13[Month Number]),
    0)
  ),
"")</f>
        <v>FourthQuartile</v>
      </c>
      <c r="H1575" s="9">
        <f>IF(Table13[[#This Row],[Previous Quartile]]="TopQuartile", 1,
 IF(Table13[[#This Row],[Previous Quartile]]="SecondQuartile", 2,
 IF(Table13[[#This Row],[Previous Quartile]]="ThirdQuartile", 3,
 IF(Table13[[#This Row],[Previous Quartile]]="FourthQuartile", 4, ""))))</f>
        <v>4</v>
      </c>
      <c r="I1575" s="9" t="str">
        <f>IF(Table13[[#This Row],[Previous Quartile Value]]="", "",
   IF(Table13[[#This Row],[Quartile Value]] &lt; Table13[[#This Row],[Previous Quartile Value]], "Improved",
   IF(Table13[[#This Row],[Quartile Value]] &gt; Table13[[#This Row],[Previous Quartile Value]], "Dropped", "Same")))</f>
        <v>Same</v>
      </c>
      <c r="J1575" s="10" t="s">
        <v>20</v>
      </c>
      <c r="K1575" s="7" t="str">
        <f>VLOOKUP(J1575,Introduction!$B$6:$C$14,2)</f>
        <v>East of England</v>
      </c>
      <c r="L1575" s="11">
        <v>247</v>
      </c>
      <c r="M1575" s="12" t="s">
        <v>476</v>
      </c>
    </row>
    <row r="1576" spans="1:13" ht="19.95" customHeight="1" x14ac:dyDescent="0.25">
      <c r="A1576" s="41">
        <v>45323</v>
      </c>
      <c r="B1576" s="47">
        <f>MONTH(Table13[[#This Row],[YearMonth]])</f>
        <v>2</v>
      </c>
      <c r="C1576" s="9" t="s">
        <v>298</v>
      </c>
      <c r="D1576" s="14" t="s">
        <v>350</v>
      </c>
      <c r="E1576" s="14">
        <f>IF(Table13[[#This Row],[Quartile]]="TopQuartile", 1,
 IF(Table13[[#This Row],[Quartile]]="SecondQuartile", 2,
 IF(Table13[[#This Row],[Quartile]]="ThirdQuartile", 3,
 IF(Table13[[#This Row],[Quartile]]="FourthQuartile", 4, ""))))</f>
        <v>4</v>
      </c>
      <c r="F1576" s="9" t="s">
        <v>484</v>
      </c>
      <c r="G1576" s="9" t="str" cm="1">
        <f t="array" ref="G1576">IFERROR(
  INDEX(Table13[Quartile],
    MATCH(1,
      (Table13[[#This Row],[OrgName]]=Table13[OrgName]) *
      (Table13[[#This Row],[Month Number]]-1=Table13[Month Number]),
    0)
  ),
"")</f>
        <v>FourthQuartile</v>
      </c>
      <c r="H1576" s="9">
        <f>IF(Table13[[#This Row],[Previous Quartile]]="TopQuartile", 1,
 IF(Table13[[#This Row],[Previous Quartile]]="SecondQuartile", 2,
 IF(Table13[[#This Row],[Previous Quartile]]="ThirdQuartile", 3,
 IF(Table13[[#This Row],[Previous Quartile]]="FourthQuartile", 4, ""))))</f>
        <v>4</v>
      </c>
      <c r="I1576" s="9" t="str">
        <f>IF(Table13[[#This Row],[Previous Quartile Value]]="", "",
   IF(Table13[[#This Row],[Quartile Value]] &lt; Table13[[#This Row],[Previous Quartile Value]], "Improved",
   IF(Table13[[#This Row],[Quartile Value]] &gt; Table13[[#This Row],[Previous Quartile Value]], "Dropped", "Same")))</f>
        <v>Same</v>
      </c>
      <c r="J1576" s="10" t="s">
        <v>14</v>
      </c>
      <c r="K1576" s="7" t="str">
        <f>VLOOKUP(J1576,Introduction!$B$6:$C$14,2)</f>
        <v>South West</v>
      </c>
      <c r="L1576" s="11">
        <v>202</v>
      </c>
      <c r="M1576" s="12" t="s">
        <v>476</v>
      </c>
    </row>
    <row r="1577" spans="1:13" ht="19.95" customHeight="1" x14ac:dyDescent="0.25">
      <c r="A1577" s="41">
        <v>45323</v>
      </c>
      <c r="B1577" s="47">
        <f>MONTH(Table13[[#This Row],[YearMonth]])</f>
        <v>2</v>
      </c>
      <c r="C1577" s="9" t="s">
        <v>279</v>
      </c>
      <c r="D1577" s="14" t="s">
        <v>350</v>
      </c>
      <c r="E1577" s="14">
        <f>IF(Table13[[#This Row],[Quartile]]="TopQuartile", 1,
 IF(Table13[[#This Row],[Quartile]]="SecondQuartile", 2,
 IF(Table13[[#This Row],[Quartile]]="ThirdQuartile", 3,
 IF(Table13[[#This Row],[Quartile]]="FourthQuartile", 4, ""))))</f>
        <v>4</v>
      </c>
      <c r="F1577" s="9" t="s">
        <v>482</v>
      </c>
      <c r="G1577" s="9" t="str" cm="1">
        <f t="array" ref="G1577">IFERROR(
  INDEX(Table13[Quartile],
    MATCH(1,
      (Table13[[#This Row],[OrgName]]=Table13[OrgName]) *
      (Table13[[#This Row],[Month Number]]-1=Table13[Month Number]),
    0)
  ),
"")</f>
        <v>FourthQuartile</v>
      </c>
      <c r="H1577" s="9">
        <f>IF(Table13[[#This Row],[Previous Quartile]]="TopQuartile", 1,
 IF(Table13[[#This Row],[Previous Quartile]]="SecondQuartile", 2,
 IF(Table13[[#This Row],[Previous Quartile]]="ThirdQuartile", 3,
 IF(Table13[[#This Row],[Previous Quartile]]="FourthQuartile", 4, ""))))</f>
        <v>4</v>
      </c>
      <c r="I1577" s="9" t="str">
        <f>IF(Table13[[#This Row],[Previous Quartile Value]]="", "",
   IF(Table13[[#This Row],[Quartile Value]] &lt; Table13[[#This Row],[Previous Quartile Value]], "Improved",
   IF(Table13[[#This Row],[Quartile Value]] &gt; Table13[[#This Row],[Previous Quartile Value]], "Dropped", "Same")))</f>
        <v>Same</v>
      </c>
      <c r="J1577" s="10" t="s">
        <v>12</v>
      </c>
      <c r="K1577" s="7" t="str">
        <f>VLOOKUP(J1577,Introduction!$B$6:$C$14,2)</f>
        <v>London</v>
      </c>
      <c r="L1577" s="11">
        <v>308</v>
      </c>
      <c r="M1577" s="12" t="s">
        <v>476</v>
      </c>
    </row>
    <row r="1578" spans="1:13" ht="19.95" customHeight="1" x14ac:dyDescent="0.25">
      <c r="A1578" s="41">
        <v>45323</v>
      </c>
      <c r="B1578" s="47">
        <f>MONTH(Table13[[#This Row],[YearMonth]])</f>
        <v>2</v>
      </c>
      <c r="C1578" s="9" t="s">
        <v>308</v>
      </c>
      <c r="D1578" s="14" t="s">
        <v>350</v>
      </c>
      <c r="E1578" s="14">
        <f>IF(Table13[[#This Row],[Quartile]]="TopQuartile", 1,
 IF(Table13[[#This Row],[Quartile]]="SecondQuartile", 2,
 IF(Table13[[#This Row],[Quartile]]="ThirdQuartile", 3,
 IF(Table13[[#This Row],[Quartile]]="FourthQuartile", 4, ""))))</f>
        <v>4</v>
      </c>
      <c r="F1578" s="9" t="s">
        <v>485</v>
      </c>
      <c r="G1578" s="9" t="str" cm="1">
        <f t="array" ref="G1578">IFERROR(
  INDEX(Table13[Quartile],
    MATCH(1,
      (Table13[[#This Row],[OrgName]]=Table13[OrgName]) *
      (Table13[[#This Row],[Month Number]]-1=Table13[Month Number]),
    0)
  ),
"")</f>
        <v>FourthQuartile</v>
      </c>
      <c r="H1578" s="9">
        <f>IF(Table13[[#This Row],[Previous Quartile]]="TopQuartile", 1,
 IF(Table13[[#This Row],[Previous Quartile]]="SecondQuartile", 2,
 IF(Table13[[#This Row],[Previous Quartile]]="ThirdQuartile", 3,
 IF(Table13[[#This Row],[Previous Quartile]]="FourthQuartile", 4, ""))))</f>
        <v>4</v>
      </c>
      <c r="I1578" s="9" t="str">
        <f>IF(Table13[[#This Row],[Previous Quartile Value]]="", "",
   IF(Table13[[#This Row],[Quartile Value]] &lt; Table13[[#This Row],[Previous Quartile Value]], "Improved",
   IF(Table13[[#This Row],[Quartile Value]] &gt; Table13[[#This Row],[Previous Quartile Value]], "Dropped", "Same")))</f>
        <v>Same</v>
      </c>
      <c r="J1578" s="10" t="s">
        <v>18</v>
      </c>
      <c r="K1578" s="7" t="str">
        <f>VLOOKUP(J1578,Introduction!$B$6:$C$14,2)</f>
        <v>Midlands</v>
      </c>
      <c r="L1578" s="11">
        <v>335</v>
      </c>
      <c r="M1578" s="12" t="s">
        <v>476</v>
      </c>
    </row>
    <row r="1579" spans="1:13" ht="19.95" customHeight="1" x14ac:dyDescent="0.25">
      <c r="A1579" s="41">
        <v>45323</v>
      </c>
      <c r="B1579" s="47">
        <f>MONTH(Table13[[#This Row],[YearMonth]])</f>
        <v>2</v>
      </c>
      <c r="C1579" s="9" t="s">
        <v>90</v>
      </c>
      <c r="D1579" s="14" t="s">
        <v>338</v>
      </c>
      <c r="E1579" s="14">
        <f>IF(Table13[[#This Row],[Quartile]]="TopQuartile", 1,
 IF(Table13[[#This Row],[Quartile]]="SecondQuartile", 2,
 IF(Table13[[#This Row],[Quartile]]="ThirdQuartile", 3,
 IF(Table13[[#This Row],[Quartile]]="FourthQuartile", 4, ""))))</f>
        <v>2</v>
      </c>
      <c r="F1579" s="9" t="s">
        <v>486</v>
      </c>
      <c r="G1579" s="9" t="str" cm="1">
        <f t="array" ref="G1579">IFERROR(
  INDEX(Table13[Quartile],
    MATCH(1,
      (Table13[[#This Row],[OrgName]]=Table13[OrgName]) *
      (Table13[[#This Row],[Month Number]]-1=Table13[Month Number]),
    0)
  ),
"")</f>
        <v>ThirdQuartile</v>
      </c>
      <c r="H1579" s="9">
        <f>IF(Table13[[#This Row],[Previous Quartile]]="TopQuartile", 1,
 IF(Table13[[#This Row],[Previous Quartile]]="SecondQuartile", 2,
 IF(Table13[[#This Row],[Previous Quartile]]="ThirdQuartile", 3,
 IF(Table13[[#This Row],[Previous Quartile]]="FourthQuartile", 4, ""))))</f>
        <v>3</v>
      </c>
      <c r="I1579" s="9" t="str">
        <f>IF(Table13[[#This Row],[Previous Quartile Value]]="", "",
   IF(Table13[[#This Row],[Quartile Value]] &lt; Table13[[#This Row],[Previous Quartile Value]], "Improved",
   IF(Table13[[#This Row],[Quartile Value]] &gt; Table13[[#This Row],[Previous Quartile Value]], "Dropped", "Same")))</f>
        <v>Improved</v>
      </c>
      <c r="J1579" s="10" t="s">
        <v>24</v>
      </c>
      <c r="K1579" s="7" t="str">
        <f>VLOOKUP(J1579,Introduction!$B$6:$C$14,2)</f>
        <v>North East and Yorkshire</v>
      </c>
      <c r="L1579" s="11">
        <v>453</v>
      </c>
      <c r="M1579" s="12" t="s">
        <v>487</v>
      </c>
    </row>
    <row r="1580" spans="1:13" ht="19.95" customHeight="1" x14ac:dyDescent="0.25">
      <c r="A1580" s="41">
        <v>45323</v>
      </c>
      <c r="B1580" s="47">
        <f>MONTH(Table13[[#This Row],[YearMonth]])</f>
        <v>2</v>
      </c>
      <c r="C1580" s="9" t="s">
        <v>132</v>
      </c>
      <c r="D1580" s="14" t="s">
        <v>338</v>
      </c>
      <c r="E1580" s="14">
        <f>IF(Table13[[#This Row],[Quartile]]="TopQuartile", 1,
 IF(Table13[[#This Row],[Quartile]]="SecondQuartile", 2,
 IF(Table13[[#This Row],[Quartile]]="ThirdQuartile", 3,
 IF(Table13[[#This Row],[Quartile]]="FourthQuartile", 4, ""))))</f>
        <v>2</v>
      </c>
      <c r="F1580" s="9" t="s">
        <v>488</v>
      </c>
      <c r="G1580" s="9" t="str" cm="1">
        <f t="array" ref="G1580">IFERROR(
  INDEX(Table13[Quartile],
    MATCH(1,
      (Table13[[#This Row],[OrgName]]=Table13[OrgName]) *
      (Table13[[#This Row],[Month Number]]-1=Table13[Month Number]),
    0)
  ),
"")</f>
        <v>SecondQuartile</v>
      </c>
      <c r="H1580" s="9">
        <f>IF(Table13[[#This Row],[Previous Quartile]]="TopQuartile", 1,
 IF(Table13[[#This Row],[Previous Quartile]]="SecondQuartile", 2,
 IF(Table13[[#This Row],[Previous Quartile]]="ThirdQuartile", 3,
 IF(Table13[[#This Row],[Previous Quartile]]="FourthQuartile", 4, ""))))</f>
        <v>2</v>
      </c>
      <c r="I1580" s="9" t="str">
        <f>IF(Table13[[#This Row],[Previous Quartile Value]]="", "",
   IF(Table13[[#This Row],[Quartile Value]] &lt; Table13[[#This Row],[Previous Quartile Value]], "Improved",
   IF(Table13[[#This Row],[Quartile Value]] &gt; Table13[[#This Row],[Previous Quartile Value]], "Dropped", "Same")))</f>
        <v>Same</v>
      </c>
      <c r="J1580" s="10" t="s">
        <v>24</v>
      </c>
      <c r="K1580" s="7" t="str">
        <f>VLOOKUP(J1580,Introduction!$B$6:$C$14,2)</f>
        <v>North East and Yorkshire</v>
      </c>
      <c r="L1580" s="11">
        <v>457</v>
      </c>
      <c r="M1580" s="12" t="s">
        <v>487</v>
      </c>
    </row>
    <row r="1581" spans="1:13" ht="19.95" customHeight="1" x14ac:dyDescent="0.25">
      <c r="A1581" s="41">
        <v>45323</v>
      </c>
      <c r="B1581" s="47">
        <f>MONTH(Table13[[#This Row],[YearMonth]])</f>
        <v>2</v>
      </c>
      <c r="C1581" s="9" t="s">
        <v>181</v>
      </c>
      <c r="D1581" s="14" t="s">
        <v>350</v>
      </c>
      <c r="E1581" s="14">
        <f>IF(Table13[[#This Row],[Quartile]]="TopQuartile", 1,
 IF(Table13[[#This Row],[Quartile]]="SecondQuartile", 2,
 IF(Table13[[#This Row],[Quartile]]="ThirdQuartile", 3,
 IF(Table13[[#This Row],[Quartile]]="FourthQuartile", 4, ""))))</f>
        <v>4</v>
      </c>
      <c r="F1581" s="9" t="s">
        <v>489</v>
      </c>
      <c r="G1581" s="9" t="str" cm="1">
        <f t="array" ref="G1581">IFERROR(
  INDEX(Table13[Quartile],
    MATCH(1,
      (Table13[[#This Row],[OrgName]]=Table13[OrgName]) *
      (Table13[[#This Row],[Month Number]]-1=Table13[Month Number]),
    0)
  ),
"")</f>
        <v>ThirdQuartile</v>
      </c>
      <c r="H1581" s="9">
        <f>IF(Table13[[#This Row],[Previous Quartile]]="TopQuartile", 1,
 IF(Table13[[#This Row],[Previous Quartile]]="SecondQuartile", 2,
 IF(Table13[[#This Row],[Previous Quartile]]="ThirdQuartile", 3,
 IF(Table13[[#This Row],[Previous Quartile]]="FourthQuartile", 4, ""))))</f>
        <v>3</v>
      </c>
      <c r="I1581" s="9" t="str">
        <f>IF(Table13[[#This Row],[Previous Quartile Value]]="", "",
   IF(Table13[[#This Row],[Quartile Value]] &lt; Table13[[#This Row],[Previous Quartile Value]], "Improved",
   IF(Table13[[#This Row],[Quartile Value]] &gt; Table13[[#This Row],[Previous Quartile Value]], "Dropped", "Same")))</f>
        <v>Dropped</v>
      </c>
      <c r="J1581" s="10" t="s">
        <v>12</v>
      </c>
      <c r="K1581" s="7" t="str">
        <f>VLOOKUP(J1581,Introduction!$B$6:$C$14,2)</f>
        <v>London</v>
      </c>
      <c r="L1581" s="11">
        <v>455</v>
      </c>
      <c r="M1581" s="12" t="s">
        <v>487</v>
      </c>
    </row>
    <row r="1582" spans="1:13" ht="19.95" customHeight="1" x14ac:dyDescent="0.25">
      <c r="A1582" s="41">
        <v>45323</v>
      </c>
      <c r="B1582" s="47">
        <f>MONTH(Table13[[#This Row],[YearMonth]])</f>
        <v>2</v>
      </c>
      <c r="C1582" s="9" t="s">
        <v>35</v>
      </c>
      <c r="D1582" s="14" t="s">
        <v>330</v>
      </c>
      <c r="E1582" s="14">
        <f>IF(Table13[[#This Row],[Quartile]]="TopQuartile", 1,
 IF(Table13[[#This Row],[Quartile]]="SecondQuartile", 2,
 IF(Table13[[#This Row],[Quartile]]="ThirdQuartile", 3,
 IF(Table13[[#This Row],[Quartile]]="FourthQuartile", 4, ""))))</f>
        <v>1</v>
      </c>
      <c r="F1582" s="9" t="s">
        <v>492</v>
      </c>
      <c r="G1582" s="9" t="str" cm="1">
        <f t="array" ref="G1582">IFERROR(
  INDEX(Table13[Quartile],
    MATCH(1,
      (Table13[[#This Row],[OrgName]]=Table13[OrgName]) *
      (Table13[[#This Row],[Month Number]]-1=Table13[Month Number]),
    0)
  ),
"")</f>
        <v>TopQuartile</v>
      </c>
      <c r="H1582" s="9">
        <f>IF(Table13[[#This Row],[Previous Quartile]]="TopQuartile", 1,
 IF(Table13[[#This Row],[Previous Quartile]]="SecondQuartile", 2,
 IF(Table13[[#This Row],[Previous Quartile]]="ThirdQuartile", 3,
 IF(Table13[[#This Row],[Previous Quartile]]="FourthQuartile", 4, ""))))</f>
        <v>1</v>
      </c>
      <c r="I1582" s="9" t="str">
        <f>IF(Table13[[#This Row],[Previous Quartile Value]]="", "",
   IF(Table13[[#This Row],[Quartile Value]] &lt; Table13[[#This Row],[Previous Quartile Value]], "Improved",
   IF(Table13[[#This Row],[Quartile Value]] &gt; Table13[[#This Row],[Previous Quartile Value]], "Dropped", "Same")))</f>
        <v>Same</v>
      </c>
      <c r="J1582" s="10" t="s">
        <v>10</v>
      </c>
      <c r="K1582" s="7" t="str">
        <f>VLOOKUP(J1582,Introduction!$B$6:$C$14,2)</f>
        <v>Special Health Authorities and other statutory bodies</v>
      </c>
      <c r="L1582" s="11">
        <v>891</v>
      </c>
      <c r="M1582" s="12" t="s">
        <v>491</v>
      </c>
    </row>
    <row r="1583" spans="1:13" ht="19.95" customHeight="1" x14ac:dyDescent="0.25">
      <c r="A1583" s="41">
        <v>45323</v>
      </c>
      <c r="B1583" s="47">
        <f>MONTH(Table13[[#This Row],[YearMonth]])</f>
        <v>2</v>
      </c>
      <c r="C1583" s="9" t="s">
        <v>45</v>
      </c>
      <c r="D1583" s="14" t="s">
        <v>330</v>
      </c>
      <c r="E1583" s="14">
        <f>IF(Table13[[#This Row],[Quartile]]="TopQuartile", 1,
 IF(Table13[[#This Row],[Quartile]]="SecondQuartile", 2,
 IF(Table13[[#This Row],[Quartile]]="ThirdQuartile", 3,
 IF(Table13[[#This Row],[Quartile]]="FourthQuartile", 4, ""))))</f>
        <v>1</v>
      </c>
      <c r="F1583" s="9" t="s">
        <v>493</v>
      </c>
      <c r="G1583" s="9" t="str" cm="1">
        <f t="array" ref="G1583">IFERROR(
  INDEX(Table13[Quartile],
    MATCH(1,
      (Table13[[#This Row],[OrgName]]=Table13[OrgName]) *
      (Table13[[#This Row],[Month Number]]-1=Table13[Month Number]),
    0)
  ),
"")</f>
        <v>TopQuartile</v>
      </c>
      <c r="H1583" s="9">
        <f>IF(Table13[[#This Row],[Previous Quartile]]="TopQuartile", 1,
 IF(Table13[[#This Row],[Previous Quartile]]="SecondQuartile", 2,
 IF(Table13[[#This Row],[Previous Quartile]]="ThirdQuartile", 3,
 IF(Table13[[#This Row],[Previous Quartile]]="FourthQuartile", 4, ""))))</f>
        <v>1</v>
      </c>
      <c r="I1583" s="9" t="str">
        <f>IF(Table13[[#This Row],[Previous Quartile Value]]="", "",
   IF(Table13[[#This Row],[Quartile Value]] &lt; Table13[[#This Row],[Previous Quartile Value]], "Improved",
   IF(Table13[[#This Row],[Quartile Value]] &gt; Table13[[#This Row],[Previous Quartile Value]], "Dropped", "Same")))</f>
        <v>Same</v>
      </c>
      <c r="J1583" s="10" t="s">
        <v>10</v>
      </c>
      <c r="K1583" s="7" t="str">
        <f>VLOOKUP(J1583,Introduction!$B$6:$C$14,2)</f>
        <v>Special Health Authorities and other statutory bodies</v>
      </c>
      <c r="L1583" s="11">
        <v>877</v>
      </c>
      <c r="M1583" s="12" t="s">
        <v>491</v>
      </c>
    </row>
    <row r="1584" spans="1:13" ht="19.95" customHeight="1" x14ac:dyDescent="0.25">
      <c r="A1584" s="41">
        <v>45323</v>
      </c>
      <c r="B1584" s="47">
        <f>MONTH(Table13[[#This Row],[YearMonth]])</f>
        <v>2</v>
      </c>
      <c r="C1584" s="9" t="s">
        <v>130</v>
      </c>
      <c r="D1584" s="14" t="s">
        <v>338</v>
      </c>
      <c r="E1584" s="14">
        <f>IF(Table13[[#This Row],[Quartile]]="TopQuartile", 1,
 IF(Table13[[#This Row],[Quartile]]="SecondQuartile", 2,
 IF(Table13[[#This Row],[Quartile]]="ThirdQuartile", 3,
 IF(Table13[[#This Row],[Quartile]]="FourthQuartile", 4, ""))))</f>
        <v>2</v>
      </c>
      <c r="F1584" s="9" t="s">
        <v>494</v>
      </c>
      <c r="G1584" s="9" t="str" cm="1">
        <f t="array" ref="G1584">IFERROR(
  INDEX(Table13[Quartile],
    MATCH(1,
      (Table13[[#This Row],[OrgName]]=Table13[OrgName]) *
      (Table13[[#This Row],[Month Number]]-1=Table13[Month Number]),
    0)
  ),
"")</f>
        <v>SecondQuartile</v>
      </c>
      <c r="H1584" s="9">
        <f>IF(Table13[[#This Row],[Previous Quartile]]="TopQuartile", 1,
 IF(Table13[[#This Row],[Previous Quartile]]="SecondQuartile", 2,
 IF(Table13[[#This Row],[Previous Quartile]]="ThirdQuartile", 3,
 IF(Table13[[#This Row],[Previous Quartile]]="FourthQuartile", 4, ""))))</f>
        <v>2</v>
      </c>
      <c r="I1584" s="9" t="str">
        <f>IF(Table13[[#This Row],[Previous Quartile Value]]="", "",
   IF(Table13[[#This Row],[Quartile Value]] &lt; Table13[[#This Row],[Previous Quartile Value]], "Improved",
   IF(Table13[[#This Row],[Quartile Value]] &gt; Table13[[#This Row],[Previous Quartile Value]], "Dropped", "Same")))</f>
        <v>Same</v>
      </c>
      <c r="J1584" s="10" t="s">
        <v>10</v>
      </c>
      <c r="K1584" s="7" t="str">
        <f>VLOOKUP(J1584,Introduction!$B$6:$C$14,2)</f>
        <v>Special Health Authorities and other statutory bodies</v>
      </c>
      <c r="L1584" s="11">
        <v>880</v>
      </c>
      <c r="M1584" s="12" t="s">
        <v>491</v>
      </c>
    </row>
    <row r="1585" spans="1:13" ht="19.95" customHeight="1" x14ac:dyDescent="0.25">
      <c r="A1585" s="41">
        <v>45323</v>
      </c>
      <c r="B1585" s="47">
        <f>MONTH(Table13[[#This Row],[YearMonth]])</f>
        <v>2</v>
      </c>
      <c r="C1585" s="9" t="s">
        <v>27</v>
      </c>
      <c r="D1585" s="14" t="s">
        <v>350</v>
      </c>
      <c r="E1585" s="14">
        <f>IF(Table13[[#This Row],[Quartile]]="TopQuartile", 1,
 IF(Table13[[#This Row],[Quartile]]="SecondQuartile", 2,
 IF(Table13[[#This Row],[Quartile]]="ThirdQuartile", 3,
 IF(Table13[[#This Row],[Quartile]]="FourthQuartile", 4, ""))))</f>
        <v>4</v>
      </c>
      <c r="F1585" s="9" t="s">
        <v>490</v>
      </c>
      <c r="G1585" s="9" t="str" cm="1">
        <f t="array" ref="G1585">IFERROR(
  INDEX(Table13[Quartile],
    MATCH(1,
      (Table13[[#This Row],[OrgName]]=Table13[OrgName]) *
      (Table13[[#This Row],[Month Number]]-1=Table13[Month Number]),
    0)
  ),
"")</f>
        <v>FourthQuartile</v>
      </c>
      <c r="H1585" s="9">
        <f>IF(Table13[[#This Row],[Previous Quartile]]="TopQuartile", 1,
 IF(Table13[[#This Row],[Previous Quartile]]="SecondQuartile", 2,
 IF(Table13[[#This Row],[Previous Quartile]]="ThirdQuartile", 3,
 IF(Table13[[#This Row],[Previous Quartile]]="FourthQuartile", 4, ""))))</f>
        <v>4</v>
      </c>
      <c r="I1585" s="9" t="str">
        <f>IF(Table13[[#This Row],[Previous Quartile Value]]="", "",
   IF(Table13[[#This Row],[Quartile Value]] &lt; Table13[[#This Row],[Previous Quartile Value]], "Improved",
   IF(Table13[[#This Row],[Quartile Value]] &gt; Table13[[#This Row],[Previous Quartile Value]], "Dropped", "Same")))</f>
        <v>Same</v>
      </c>
      <c r="J1585" s="10" t="s">
        <v>10</v>
      </c>
      <c r="K1585" s="7" t="str">
        <f>VLOOKUP(J1585,Introduction!$B$6:$C$14,2)</f>
        <v>Special Health Authorities and other statutory bodies</v>
      </c>
      <c r="L1585" s="11">
        <v>869</v>
      </c>
      <c r="M1585" s="12" t="s">
        <v>491</v>
      </c>
    </row>
    <row r="1586" spans="1:13" ht="19.95" customHeight="1" x14ac:dyDescent="0.25">
      <c r="A1586" s="41">
        <v>45323</v>
      </c>
      <c r="B1586" s="47">
        <f>MONTH(Table13[[#This Row],[YearMonth]])</f>
        <v>2</v>
      </c>
      <c r="C1586" s="9" t="s">
        <v>98</v>
      </c>
      <c r="D1586" s="14" t="s">
        <v>330</v>
      </c>
      <c r="E1586" s="14">
        <f>IF(Table13[[#This Row],[Quartile]]="TopQuartile", 1,
 IF(Table13[[#This Row],[Quartile]]="SecondQuartile", 2,
 IF(Table13[[#This Row],[Quartile]]="ThirdQuartile", 3,
 IF(Table13[[#This Row],[Quartile]]="FourthQuartile", 4, ""))))</f>
        <v>1</v>
      </c>
      <c r="F1586" s="9" t="s">
        <v>503</v>
      </c>
      <c r="G1586" s="9" t="str" cm="1">
        <f t="array" ref="G1586">IFERROR(
  INDEX(Table13[Quartile],
    MATCH(1,
      (Table13[[#This Row],[OrgName]]=Table13[OrgName]) *
      (Table13[[#This Row],[Month Number]]-1=Table13[Month Number]),
    0)
  ),
"")</f>
        <v>TopQuartile</v>
      </c>
      <c r="H1586" s="9">
        <f>IF(Table13[[#This Row],[Previous Quartile]]="TopQuartile", 1,
 IF(Table13[[#This Row],[Previous Quartile]]="SecondQuartile", 2,
 IF(Table13[[#This Row],[Previous Quartile]]="ThirdQuartile", 3,
 IF(Table13[[#This Row],[Previous Quartile]]="FourthQuartile", 4, ""))))</f>
        <v>1</v>
      </c>
      <c r="I1586" s="9" t="str">
        <f>IF(Table13[[#This Row],[Previous Quartile Value]]="", "",
   IF(Table13[[#This Row],[Quartile Value]] &lt; Table13[[#This Row],[Previous Quartile Value]], "Improved",
   IF(Table13[[#This Row],[Quartile Value]] &gt; Table13[[#This Row],[Previous Quartile Value]], "Dropped", "Same")))</f>
        <v>Same</v>
      </c>
      <c r="J1586" s="10" t="s">
        <v>18</v>
      </c>
      <c r="K1586" s="7" t="str">
        <f>VLOOKUP(J1586,Introduction!$B$6:$C$14,2)</f>
        <v>Midlands</v>
      </c>
      <c r="L1586" s="11">
        <v>825</v>
      </c>
      <c r="M1586" s="12" t="s">
        <v>496</v>
      </c>
    </row>
    <row r="1587" spans="1:13" ht="19.95" customHeight="1" x14ac:dyDescent="0.25">
      <c r="A1587" s="41">
        <v>45323</v>
      </c>
      <c r="B1587" s="47">
        <f>MONTH(Table13[[#This Row],[YearMonth]])</f>
        <v>2</v>
      </c>
      <c r="C1587" s="9" t="s">
        <v>31</v>
      </c>
      <c r="D1587" s="14" t="s">
        <v>330</v>
      </c>
      <c r="E1587" s="14">
        <f>IF(Table13[[#This Row],[Quartile]]="TopQuartile", 1,
 IF(Table13[[#This Row],[Quartile]]="SecondQuartile", 2,
 IF(Table13[[#This Row],[Quartile]]="ThirdQuartile", 3,
 IF(Table13[[#This Row],[Quartile]]="FourthQuartile", 4, ""))))</f>
        <v>1</v>
      </c>
      <c r="F1587" s="9" t="s">
        <v>495</v>
      </c>
      <c r="G1587" s="9" t="str" cm="1">
        <f t="array" ref="G1587">IFERROR(
  INDEX(Table13[Quartile],
    MATCH(1,
      (Table13[[#This Row],[OrgName]]=Table13[OrgName]) *
      (Table13[[#This Row],[Month Number]]-1=Table13[Month Number]),
    0)
  ),
"")</f>
        <v>TopQuartile</v>
      </c>
      <c r="H1587" s="9">
        <f>IF(Table13[[#This Row],[Previous Quartile]]="TopQuartile", 1,
 IF(Table13[[#This Row],[Previous Quartile]]="SecondQuartile", 2,
 IF(Table13[[#This Row],[Previous Quartile]]="ThirdQuartile", 3,
 IF(Table13[[#This Row],[Previous Quartile]]="FourthQuartile", 4, ""))))</f>
        <v>1</v>
      </c>
      <c r="I1587" s="9" t="str">
        <f>IF(Table13[[#This Row],[Previous Quartile Value]]="", "",
   IF(Table13[[#This Row],[Quartile Value]] &lt; Table13[[#This Row],[Previous Quartile Value]], "Improved",
   IF(Table13[[#This Row],[Quartile Value]] &gt; Table13[[#This Row],[Previous Quartile Value]], "Dropped", "Same")))</f>
        <v>Same</v>
      </c>
      <c r="J1587" s="10" t="s">
        <v>16</v>
      </c>
      <c r="K1587" s="7" t="str">
        <f>VLOOKUP(J1587,Introduction!$B$6:$C$14,2)</f>
        <v>South East</v>
      </c>
      <c r="L1587" s="11">
        <v>449</v>
      </c>
      <c r="M1587" s="12" t="s">
        <v>496</v>
      </c>
    </row>
    <row r="1588" spans="1:13" ht="19.95" customHeight="1" x14ac:dyDescent="0.25">
      <c r="A1588" s="41">
        <v>45323</v>
      </c>
      <c r="B1588" s="47">
        <f>MONTH(Table13[[#This Row],[YearMonth]])</f>
        <v>2</v>
      </c>
      <c r="C1588" s="9" t="s">
        <v>57</v>
      </c>
      <c r="D1588" s="14" t="s">
        <v>330</v>
      </c>
      <c r="E1588" s="14">
        <f>IF(Table13[[#This Row],[Quartile]]="TopQuartile", 1,
 IF(Table13[[#This Row],[Quartile]]="SecondQuartile", 2,
 IF(Table13[[#This Row],[Quartile]]="ThirdQuartile", 3,
 IF(Table13[[#This Row],[Quartile]]="FourthQuartile", 4, ""))))</f>
        <v>1</v>
      </c>
      <c r="F1588" s="9" t="s">
        <v>499</v>
      </c>
      <c r="G1588" s="9" t="str" cm="1">
        <f t="array" ref="G1588">IFERROR(
  INDEX(Table13[Quartile],
    MATCH(1,
      (Table13[[#This Row],[OrgName]]=Table13[OrgName]) *
      (Table13[[#This Row],[Month Number]]-1=Table13[Month Number]),
    0)
  ),
"")</f>
        <v>TopQuartile</v>
      </c>
      <c r="H1588" s="9">
        <f>IF(Table13[[#This Row],[Previous Quartile]]="TopQuartile", 1,
 IF(Table13[[#This Row],[Previous Quartile]]="SecondQuartile", 2,
 IF(Table13[[#This Row],[Previous Quartile]]="ThirdQuartile", 3,
 IF(Table13[[#This Row],[Previous Quartile]]="FourthQuartile", 4, ""))))</f>
        <v>1</v>
      </c>
      <c r="I1588" s="9" t="str">
        <f>IF(Table13[[#This Row],[Previous Quartile Value]]="", "",
   IF(Table13[[#This Row],[Quartile Value]] &lt; Table13[[#This Row],[Previous Quartile Value]], "Improved",
   IF(Table13[[#This Row],[Quartile Value]] &gt; Table13[[#This Row],[Previous Quartile Value]], "Dropped", "Same")))</f>
        <v>Same</v>
      </c>
      <c r="J1588" s="10" t="s">
        <v>14</v>
      </c>
      <c r="K1588" s="7" t="str">
        <f>VLOOKUP(J1588,Introduction!$B$6:$C$14,2)</f>
        <v>South West</v>
      </c>
      <c r="L1588" s="11">
        <v>85</v>
      </c>
      <c r="M1588" s="12" t="s">
        <v>496</v>
      </c>
    </row>
    <row r="1589" spans="1:13" ht="19.95" customHeight="1" x14ac:dyDescent="0.25">
      <c r="A1589" s="41">
        <v>45323</v>
      </c>
      <c r="B1589" s="47">
        <f>MONTH(Table13[[#This Row],[YearMonth]])</f>
        <v>2</v>
      </c>
      <c r="C1589" s="9" t="s">
        <v>47</v>
      </c>
      <c r="D1589" s="14" t="s">
        <v>330</v>
      </c>
      <c r="E1589" s="14">
        <f>IF(Table13[[#This Row],[Quartile]]="TopQuartile", 1,
 IF(Table13[[#This Row],[Quartile]]="SecondQuartile", 2,
 IF(Table13[[#This Row],[Quartile]]="ThirdQuartile", 3,
 IF(Table13[[#This Row],[Quartile]]="FourthQuartile", 4, ""))))</f>
        <v>1</v>
      </c>
      <c r="F1589" s="9" t="s">
        <v>498</v>
      </c>
      <c r="G1589" s="9" t="str" cm="1">
        <f t="array" ref="G1589">IFERROR(
  INDEX(Table13[Quartile],
    MATCH(1,
      (Table13[[#This Row],[OrgName]]=Table13[OrgName]) *
      (Table13[[#This Row],[Month Number]]-1=Table13[Month Number]),
    0)
  ),
"")</f>
        <v>TopQuartile</v>
      </c>
      <c r="H1589" s="9">
        <f>IF(Table13[[#This Row],[Previous Quartile]]="TopQuartile", 1,
 IF(Table13[[#This Row],[Previous Quartile]]="SecondQuartile", 2,
 IF(Table13[[#This Row],[Previous Quartile]]="ThirdQuartile", 3,
 IF(Table13[[#This Row],[Previous Quartile]]="FourthQuartile", 4, ""))))</f>
        <v>1</v>
      </c>
      <c r="I1589" s="9" t="str">
        <f>IF(Table13[[#This Row],[Previous Quartile Value]]="", "",
   IF(Table13[[#This Row],[Quartile Value]] &lt; Table13[[#This Row],[Previous Quartile Value]], "Improved",
   IF(Table13[[#This Row],[Quartile Value]] &gt; Table13[[#This Row],[Previous Quartile Value]], "Dropped", "Same")))</f>
        <v>Same</v>
      </c>
      <c r="J1589" s="10" t="s">
        <v>16</v>
      </c>
      <c r="K1589" s="7" t="str">
        <f>VLOOKUP(J1589,Introduction!$B$6:$C$14,2)</f>
        <v>South East</v>
      </c>
      <c r="L1589" s="11">
        <v>846</v>
      </c>
      <c r="M1589" s="12" t="s">
        <v>496</v>
      </c>
    </row>
    <row r="1590" spans="1:13" ht="19.95" customHeight="1" x14ac:dyDescent="0.25">
      <c r="A1590" s="41">
        <v>45323</v>
      </c>
      <c r="B1590" s="47">
        <f>MONTH(Table13[[#This Row],[YearMonth]])</f>
        <v>2</v>
      </c>
      <c r="C1590" s="9" t="s">
        <v>46</v>
      </c>
      <c r="D1590" s="14" t="s">
        <v>330</v>
      </c>
      <c r="E1590" s="14">
        <f>IF(Table13[[#This Row],[Quartile]]="TopQuartile", 1,
 IF(Table13[[#This Row],[Quartile]]="SecondQuartile", 2,
 IF(Table13[[#This Row],[Quartile]]="ThirdQuartile", 3,
 IF(Table13[[#This Row],[Quartile]]="FourthQuartile", 4, ""))))</f>
        <v>1</v>
      </c>
      <c r="F1590" s="9" t="s">
        <v>497</v>
      </c>
      <c r="G1590" s="9" t="str" cm="1">
        <f t="array" ref="G1590">IFERROR(
  INDEX(Table13[Quartile],
    MATCH(1,
      (Table13[[#This Row],[OrgName]]=Table13[OrgName]) *
      (Table13[[#This Row],[Month Number]]-1=Table13[Month Number]),
    0)
  ),
"")</f>
        <v>TopQuartile</v>
      </c>
      <c r="H1590" s="9">
        <f>IF(Table13[[#This Row],[Previous Quartile]]="TopQuartile", 1,
 IF(Table13[[#This Row],[Previous Quartile]]="SecondQuartile", 2,
 IF(Table13[[#This Row],[Previous Quartile]]="ThirdQuartile", 3,
 IF(Table13[[#This Row],[Previous Quartile]]="FourthQuartile", 4, ""))))</f>
        <v>1</v>
      </c>
      <c r="I1590" s="9" t="str">
        <f>IF(Table13[[#This Row],[Previous Quartile Value]]="", "",
   IF(Table13[[#This Row],[Quartile Value]] &lt; Table13[[#This Row],[Previous Quartile Value]], "Improved",
   IF(Table13[[#This Row],[Quartile Value]] &gt; Table13[[#This Row],[Previous Quartile Value]], "Dropped", "Same")))</f>
        <v>Same</v>
      </c>
      <c r="J1590" s="10" t="s">
        <v>16</v>
      </c>
      <c r="K1590" s="7" t="str">
        <f>VLOOKUP(J1590,Introduction!$B$6:$C$14,2)</f>
        <v>South East</v>
      </c>
      <c r="L1590" s="11">
        <v>813</v>
      </c>
      <c r="M1590" s="12" t="s">
        <v>496</v>
      </c>
    </row>
    <row r="1591" spans="1:13" ht="19.95" customHeight="1" x14ac:dyDescent="0.25">
      <c r="A1591" s="41">
        <v>45323</v>
      </c>
      <c r="B1591" s="47">
        <f>MONTH(Table13[[#This Row],[YearMonth]])</f>
        <v>2</v>
      </c>
      <c r="C1591" s="9" t="s">
        <v>79</v>
      </c>
      <c r="D1591" s="14" t="s">
        <v>330</v>
      </c>
      <c r="E1591" s="14">
        <f>IF(Table13[[#This Row],[Quartile]]="TopQuartile", 1,
 IF(Table13[[#This Row],[Quartile]]="SecondQuartile", 2,
 IF(Table13[[#This Row],[Quartile]]="ThirdQuartile", 3,
 IF(Table13[[#This Row],[Quartile]]="FourthQuartile", 4, ""))))</f>
        <v>1</v>
      </c>
      <c r="F1591" s="9" t="s">
        <v>80</v>
      </c>
      <c r="G1591" s="9" t="str" cm="1">
        <f t="array" ref="G1591">IFERROR(
  INDEX(Table13[Quartile],
    MATCH(1,
      (Table13[[#This Row],[OrgName]]=Table13[OrgName]) *
      (Table13[[#This Row],[Month Number]]-1=Table13[Month Number]),
    0)
  ),
"")</f>
        <v>TopQuartile</v>
      </c>
      <c r="H1591" s="9">
        <f>IF(Table13[[#This Row],[Previous Quartile]]="TopQuartile", 1,
 IF(Table13[[#This Row],[Previous Quartile]]="SecondQuartile", 2,
 IF(Table13[[#This Row],[Previous Quartile]]="ThirdQuartile", 3,
 IF(Table13[[#This Row],[Previous Quartile]]="FourthQuartile", 4, ""))))</f>
        <v>1</v>
      </c>
      <c r="I1591" s="9" t="str">
        <f>IF(Table13[[#This Row],[Previous Quartile Value]]="", "",
   IF(Table13[[#This Row],[Quartile Value]] &lt; Table13[[#This Row],[Previous Quartile Value]], "Improved",
   IF(Table13[[#This Row],[Quartile Value]] &gt; Table13[[#This Row],[Previous Quartile Value]], "Dropped", "Same")))</f>
        <v>Same</v>
      </c>
      <c r="J1591" s="10" t="s">
        <v>24</v>
      </c>
      <c r="K1591" s="7" t="str">
        <f>VLOOKUP(J1591,Introduction!$B$6:$C$14,2)</f>
        <v>North East and Yorkshire</v>
      </c>
      <c r="L1591" s="11">
        <v>98</v>
      </c>
      <c r="M1591" s="12" t="s">
        <v>496</v>
      </c>
    </row>
    <row r="1592" spans="1:13" ht="19.95" customHeight="1" x14ac:dyDescent="0.25">
      <c r="A1592" s="41">
        <v>45323</v>
      </c>
      <c r="B1592" s="47">
        <f>MONTH(Table13[[#This Row],[YearMonth]])</f>
        <v>2</v>
      </c>
      <c r="C1592" s="9" t="s">
        <v>112</v>
      </c>
      <c r="D1592" s="14" t="s">
        <v>330</v>
      </c>
      <c r="E1592" s="14">
        <f>IF(Table13[[#This Row],[Quartile]]="TopQuartile", 1,
 IF(Table13[[#This Row],[Quartile]]="SecondQuartile", 2,
 IF(Table13[[#This Row],[Quartile]]="ThirdQuartile", 3,
 IF(Table13[[#This Row],[Quartile]]="FourthQuartile", 4, ""))))</f>
        <v>1</v>
      </c>
      <c r="F1592" s="9" t="s">
        <v>113</v>
      </c>
      <c r="G1592" s="9" t="str" cm="1">
        <f t="array" ref="G1592">IFERROR(
  INDEX(Table13[Quartile],
    MATCH(1,
      (Table13[[#This Row],[OrgName]]=Table13[OrgName]) *
      (Table13[[#This Row],[Month Number]]-1=Table13[Month Number]),
    0)
  ),
"")</f>
        <v>TopQuartile</v>
      </c>
      <c r="H1592" s="9">
        <f>IF(Table13[[#This Row],[Previous Quartile]]="TopQuartile", 1,
 IF(Table13[[#This Row],[Previous Quartile]]="SecondQuartile", 2,
 IF(Table13[[#This Row],[Previous Quartile]]="ThirdQuartile", 3,
 IF(Table13[[#This Row],[Previous Quartile]]="FourthQuartile", 4, ""))))</f>
        <v>1</v>
      </c>
      <c r="I1592" s="9" t="str">
        <f>IF(Table13[[#This Row],[Previous Quartile Value]]="", "",
   IF(Table13[[#This Row],[Quartile Value]] &lt; Table13[[#This Row],[Previous Quartile Value]], "Improved",
   IF(Table13[[#This Row],[Quartile Value]] &gt; Table13[[#This Row],[Previous Quartile Value]], "Dropped", "Same")))</f>
        <v>Same</v>
      </c>
      <c r="J1592" s="10" t="s">
        <v>20</v>
      </c>
      <c r="K1592" s="7" t="str">
        <f>VLOOKUP(J1592,Introduction!$B$6:$C$14,2)</f>
        <v>East of England</v>
      </c>
      <c r="L1592" s="11">
        <v>828</v>
      </c>
      <c r="M1592" s="12" t="s">
        <v>496</v>
      </c>
    </row>
    <row r="1593" spans="1:13" ht="19.95" customHeight="1" x14ac:dyDescent="0.25">
      <c r="A1593" s="41">
        <v>45323</v>
      </c>
      <c r="B1593" s="47">
        <f>MONTH(Table13[[#This Row],[YearMonth]])</f>
        <v>2</v>
      </c>
      <c r="C1593" s="9" t="s">
        <v>66</v>
      </c>
      <c r="D1593" s="14" t="s">
        <v>338</v>
      </c>
      <c r="E1593" s="14">
        <f>IF(Table13[[#This Row],[Quartile]]="TopQuartile", 1,
 IF(Table13[[#This Row],[Quartile]]="SecondQuartile", 2,
 IF(Table13[[#This Row],[Quartile]]="ThirdQuartile", 3,
 IF(Table13[[#This Row],[Quartile]]="FourthQuartile", 4, ""))))</f>
        <v>2</v>
      </c>
      <c r="F1593" s="9" t="s">
        <v>500</v>
      </c>
      <c r="G1593" s="9" t="str" cm="1">
        <f t="array" ref="G1593">IFERROR(
  INDEX(Table13[Quartile],
    MATCH(1,
      (Table13[[#This Row],[OrgName]]=Table13[OrgName]) *
      (Table13[[#This Row],[Month Number]]-1=Table13[Month Number]),
    0)
  ),
"")</f>
        <v>SecondQuartile</v>
      </c>
      <c r="H1593" s="9">
        <f>IF(Table13[[#This Row],[Previous Quartile]]="TopQuartile", 1,
 IF(Table13[[#This Row],[Previous Quartile]]="SecondQuartile", 2,
 IF(Table13[[#This Row],[Previous Quartile]]="ThirdQuartile", 3,
 IF(Table13[[#This Row],[Previous Quartile]]="FourthQuartile", 4, ""))))</f>
        <v>2</v>
      </c>
      <c r="I1593" s="9" t="str">
        <f>IF(Table13[[#This Row],[Previous Quartile Value]]="", "",
   IF(Table13[[#This Row],[Quartile Value]] &lt; Table13[[#This Row],[Previous Quartile Value]], "Improved",
   IF(Table13[[#This Row],[Quartile Value]] &gt; Table13[[#This Row],[Previous Quartile Value]], "Dropped", "Same")))</f>
        <v>Same</v>
      </c>
      <c r="J1593" s="10" t="s">
        <v>18</v>
      </c>
      <c r="K1593" s="7" t="str">
        <f>VLOOKUP(J1593,Introduction!$B$6:$C$14,2)</f>
        <v>Midlands</v>
      </c>
      <c r="L1593" s="11">
        <v>818</v>
      </c>
      <c r="M1593" s="12" t="s">
        <v>496</v>
      </c>
    </row>
    <row r="1594" spans="1:13" ht="19.95" customHeight="1" x14ac:dyDescent="0.25">
      <c r="A1594" s="41">
        <v>45323</v>
      </c>
      <c r="B1594" s="47">
        <f>MONTH(Table13[[#This Row],[YearMonth]])</f>
        <v>2</v>
      </c>
      <c r="C1594" s="9" t="s">
        <v>86</v>
      </c>
      <c r="D1594" s="14" t="s">
        <v>338</v>
      </c>
      <c r="E1594" s="14">
        <f>IF(Table13[[#This Row],[Quartile]]="TopQuartile", 1,
 IF(Table13[[#This Row],[Quartile]]="SecondQuartile", 2,
 IF(Table13[[#This Row],[Quartile]]="ThirdQuartile", 3,
 IF(Table13[[#This Row],[Quartile]]="FourthQuartile", 4, ""))))</f>
        <v>2</v>
      </c>
      <c r="F1594" s="9" t="s">
        <v>501</v>
      </c>
      <c r="G1594" s="9" t="str" cm="1">
        <f t="array" ref="G1594">IFERROR(
  INDEX(Table13[Quartile],
    MATCH(1,
      (Table13[[#This Row],[OrgName]]=Table13[OrgName]) *
      (Table13[[#This Row],[Month Number]]-1=Table13[Month Number]),
    0)
  ),
"")</f>
        <v>SecondQuartile</v>
      </c>
      <c r="H1594" s="9">
        <f>IF(Table13[[#This Row],[Previous Quartile]]="TopQuartile", 1,
 IF(Table13[[#This Row],[Previous Quartile]]="SecondQuartile", 2,
 IF(Table13[[#This Row],[Previous Quartile]]="ThirdQuartile", 3,
 IF(Table13[[#This Row],[Previous Quartile]]="FourthQuartile", 4, ""))))</f>
        <v>2</v>
      </c>
      <c r="I1594" s="9" t="str">
        <f>IF(Table13[[#This Row],[Previous Quartile Value]]="", "",
   IF(Table13[[#This Row],[Quartile Value]] &lt; Table13[[#This Row],[Previous Quartile Value]], "Improved",
   IF(Table13[[#This Row],[Quartile Value]] &gt; Table13[[#This Row],[Previous Quartile Value]], "Dropped", "Same")))</f>
        <v>Same</v>
      </c>
      <c r="J1594" s="10" t="s">
        <v>16</v>
      </c>
      <c r="K1594" s="7" t="str">
        <f>VLOOKUP(J1594,Introduction!$B$6:$C$14,2)</f>
        <v>South East</v>
      </c>
      <c r="L1594" s="11">
        <v>150</v>
      </c>
      <c r="M1594" s="12" t="s">
        <v>496</v>
      </c>
    </row>
    <row r="1595" spans="1:13" ht="19.95" customHeight="1" x14ac:dyDescent="0.25">
      <c r="A1595" s="41">
        <v>45323</v>
      </c>
      <c r="B1595" s="47">
        <f>MONTH(Table13[[#This Row],[YearMonth]])</f>
        <v>2</v>
      </c>
      <c r="C1595" s="9" t="s">
        <v>133</v>
      </c>
      <c r="D1595" s="14" t="s">
        <v>338</v>
      </c>
      <c r="E1595" s="14">
        <f>IF(Table13[[#This Row],[Quartile]]="TopQuartile", 1,
 IF(Table13[[#This Row],[Quartile]]="SecondQuartile", 2,
 IF(Table13[[#This Row],[Quartile]]="ThirdQuartile", 3,
 IF(Table13[[#This Row],[Quartile]]="FourthQuartile", 4, ""))))</f>
        <v>2</v>
      </c>
      <c r="F1595" s="9" t="s">
        <v>505</v>
      </c>
      <c r="G1595" s="9" t="str" cm="1">
        <f t="array" ref="G1595">IFERROR(
  INDEX(Table13[Quartile],
    MATCH(1,
      (Table13[[#This Row],[OrgName]]=Table13[OrgName]) *
      (Table13[[#This Row],[Month Number]]-1=Table13[Month Number]),
    0)
  ),
"")</f>
        <v>SecondQuartile</v>
      </c>
      <c r="H1595" s="9">
        <f>IF(Table13[[#This Row],[Previous Quartile]]="TopQuartile", 1,
 IF(Table13[[#This Row],[Previous Quartile]]="SecondQuartile", 2,
 IF(Table13[[#This Row],[Previous Quartile]]="ThirdQuartile", 3,
 IF(Table13[[#This Row],[Previous Quartile]]="FourthQuartile", 4, ""))))</f>
        <v>2</v>
      </c>
      <c r="I1595" s="9" t="str">
        <f>IF(Table13[[#This Row],[Previous Quartile Value]]="", "",
   IF(Table13[[#This Row],[Quartile Value]] &lt; Table13[[#This Row],[Previous Quartile Value]], "Improved",
   IF(Table13[[#This Row],[Quartile Value]] &gt; Table13[[#This Row],[Previous Quartile Value]], "Dropped", "Same")))</f>
        <v>Same</v>
      </c>
      <c r="J1595" s="10" t="s">
        <v>20</v>
      </c>
      <c r="K1595" s="7" t="str">
        <f>VLOOKUP(J1595,Introduction!$B$6:$C$14,2)</f>
        <v>East of England</v>
      </c>
      <c r="L1595" s="11">
        <v>849</v>
      </c>
      <c r="M1595" s="12" t="s">
        <v>496</v>
      </c>
    </row>
    <row r="1596" spans="1:13" ht="19.95" customHeight="1" x14ac:dyDescent="0.25">
      <c r="A1596" s="41">
        <v>45323</v>
      </c>
      <c r="B1596" s="47">
        <f>MONTH(Table13[[#This Row],[YearMonth]])</f>
        <v>2</v>
      </c>
      <c r="C1596" s="9" t="s">
        <v>154</v>
      </c>
      <c r="D1596" s="14" t="s">
        <v>338</v>
      </c>
      <c r="E1596" s="14">
        <f>IF(Table13[[#This Row],[Quartile]]="TopQuartile", 1,
 IF(Table13[[#This Row],[Quartile]]="SecondQuartile", 2,
 IF(Table13[[#This Row],[Quartile]]="ThirdQuartile", 3,
 IF(Table13[[#This Row],[Quartile]]="FourthQuartile", 4, ""))))</f>
        <v>2</v>
      </c>
      <c r="F1596" s="9" t="s">
        <v>508</v>
      </c>
      <c r="G1596" s="9" t="str" cm="1">
        <f t="array" ref="G1596">IFERROR(
  INDEX(Table13[Quartile],
    MATCH(1,
      (Table13[[#This Row],[OrgName]]=Table13[OrgName]) *
      (Table13[[#This Row],[Month Number]]-1=Table13[Month Number]),
    0)
  ),
"")</f>
        <v>SecondQuartile</v>
      </c>
      <c r="H1596" s="9">
        <f>IF(Table13[[#This Row],[Previous Quartile]]="TopQuartile", 1,
 IF(Table13[[#This Row],[Previous Quartile]]="SecondQuartile", 2,
 IF(Table13[[#This Row],[Previous Quartile]]="ThirdQuartile", 3,
 IF(Table13[[#This Row],[Previous Quartile]]="FourthQuartile", 4, ""))))</f>
        <v>2</v>
      </c>
      <c r="I1596" s="9" t="str">
        <f>IF(Table13[[#This Row],[Previous Quartile Value]]="", "",
   IF(Table13[[#This Row],[Quartile Value]] &lt; Table13[[#This Row],[Previous Quartile Value]], "Improved",
   IF(Table13[[#This Row],[Quartile Value]] &gt; Table13[[#This Row],[Previous Quartile Value]], "Dropped", "Same")))</f>
        <v>Same</v>
      </c>
      <c r="J1596" s="10" t="s">
        <v>24</v>
      </c>
      <c r="K1596" s="7" t="str">
        <f>VLOOKUP(J1596,Introduction!$B$6:$C$14,2)</f>
        <v>North East and Yorkshire</v>
      </c>
      <c r="L1596" s="11">
        <v>816</v>
      </c>
      <c r="M1596" s="12" t="s">
        <v>496</v>
      </c>
    </row>
    <row r="1597" spans="1:13" ht="19.95" customHeight="1" x14ac:dyDescent="0.25">
      <c r="A1597" s="41">
        <v>45323</v>
      </c>
      <c r="B1597" s="47">
        <f>MONTH(Table13[[#This Row],[YearMonth]])</f>
        <v>2</v>
      </c>
      <c r="C1597" s="9" t="s">
        <v>134</v>
      </c>
      <c r="D1597" s="14" t="s">
        <v>338</v>
      </c>
      <c r="E1597" s="14">
        <f>IF(Table13[[#This Row],[Quartile]]="TopQuartile", 1,
 IF(Table13[[#This Row],[Quartile]]="SecondQuartile", 2,
 IF(Table13[[#This Row],[Quartile]]="ThirdQuartile", 3,
 IF(Table13[[#This Row],[Quartile]]="FourthQuartile", 4, ""))))</f>
        <v>2</v>
      </c>
      <c r="F1597" s="9" t="s">
        <v>506</v>
      </c>
      <c r="G1597" s="9" t="str" cm="1">
        <f t="array" ref="G1597">IFERROR(
  INDEX(Table13[Quartile],
    MATCH(1,
      (Table13[[#This Row],[OrgName]]=Table13[OrgName]) *
      (Table13[[#This Row],[Month Number]]-1=Table13[Month Number]),
    0)
  ),
"")</f>
        <v>SecondQuartile</v>
      </c>
      <c r="H1597" s="9">
        <f>IF(Table13[[#This Row],[Previous Quartile]]="TopQuartile", 1,
 IF(Table13[[#This Row],[Previous Quartile]]="SecondQuartile", 2,
 IF(Table13[[#This Row],[Previous Quartile]]="ThirdQuartile", 3,
 IF(Table13[[#This Row],[Previous Quartile]]="FourthQuartile", 4, ""))))</f>
        <v>2</v>
      </c>
      <c r="I1597" s="9" t="str">
        <f>IF(Table13[[#This Row],[Previous Quartile Value]]="", "",
   IF(Table13[[#This Row],[Quartile Value]] &lt; Table13[[#This Row],[Previous Quartile Value]], "Improved",
   IF(Table13[[#This Row],[Quartile Value]] &gt; Table13[[#This Row],[Previous Quartile Value]], "Dropped", "Same")))</f>
        <v>Same</v>
      </c>
      <c r="J1597" s="10" t="s">
        <v>24</v>
      </c>
      <c r="K1597" s="7" t="str">
        <f>VLOOKUP(J1597,Introduction!$B$6:$C$14,2)</f>
        <v>North East and Yorkshire</v>
      </c>
      <c r="L1597" s="11">
        <v>814</v>
      </c>
      <c r="M1597" s="12" t="s">
        <v>496</v>
      </c>
    </row>
    <row r="1598" spans="1:13" ht="19.95" customHeight="1" x14ac:dyDescent="0.25">
      <c r="A1598" s="41">
        <v>45323</v>
      </c>
      <c r="B1598" s="47">
        <f>MONTH(Table13[[#This Row],[YearMonth]])</f>
        <v>2</v>
      </c>
      <c r="C1598" s="9" t="s">
        <v>87</v>
      </c>
      <c r="D1598" s="14" t="s">
        <v>338</v>
      </c>
      <c r="E1598" s="14">
        <f>IF(Table13[[#This Row],[Quartile]]="TopQuartile", 1,
 IF(Table13[[#This Row],[Quartile]]="SecondQuartile", 2,
 IF(Table13[[#This Row],[Quartile]]="ThirdQuartile", 3,
 IF(Table13[[#This Row],[Quartile]]="FourthQuartile", 4, ""))))</f>
        <v>2</v>
      </c>
      <c r="F1598" s="9" t="s">
        <v>502</v>
      </c>
      <c r="G1598" s="9" t="str" cm="1">
        <f t="array" ref="G1598">IFERROR(
  INDEX(Table13[Quartile],
    MATCH(1,
      (Table13[[#This Row],[OrgName]]=Table13[OrgName]) *
      (Table13[[#This Row],[Month Number]]-1=Table13[Month Number]),
    0)
  ),
"")</f>
        <v>SecondQuartile</v>
      </c>
      <c r="H1598" s="9">
        <f>IF(Table13[[#This Row],[Previous Quartile]]="TopQuartile", 1,
 IF(Table13[[#This Row],[Previous Quartile]]="SecondQuartile", 2,
 IF(Table13[[#This Row],[Previous Quartile]]="ThirdQuartile", 3,
 IF(Table13[[#This Row],[Previous Quartile]]="FourthQuartile", 4, ""))))</f>
        <v>2</v>
      </c>
      <c r="I1598" s="9" t="str">
        <f>IF(Table13[[#This Row],[Previous Quartile Value]]="", "",
   IF(Table13[[#This Row],[Quartile Value]] &lt; Table13[[#This Row],[Previous Quartile Value]], "Improved",
   IF(Table13[[#This Row],[Quartile Value]] &gt; Table13[[#This Row],[Previous Quartile Value]], "Dropped", "Same")))</f>
        <v>Same</v>
      </c>
      <c r="J1598" s="10" t="s">
        <v>22</v>
      </c>
      <c r="K1598" s="7" t="str">
        <f>VLOOKUP(J1598,Introduction!$B$6:$C$14,2)</f>
        <v>North West</v>
      </c>
      <c r="L1598" s="11">
        <v>844</v>
      </c>
      <c r="M1598" s="12" t="s">
        <v>496</v>
      </c>
    </row>
    <row r="1599" spans="1:13" ht="19.95" customHeight="1" x14ac:dyDescent="0.25">
      <c r="A1599" s="41">
        <v>45323</v>
      </c>
      <c r="B1599" s="47">
        <f>MONTH(Table13[[#This Row],[YearMonth]])</f>
        <v>2</v>
      </c>
      <c r="C1599" s="9" t="s">
        <v>158</v>
      </c>
      <c r="D1599" s="14" t="s">
        <v>338</v>
      </c>
      <c r="E1599" s="14">
        <f>IF(Table13[[#This Row],[Quartile]]="TopQuartile", 1,
 IF(Table13[[#This Row],[Quartile]]="SecondQuartile", 2,
 IF(Table13[[#This Row],[Quartile]]="ThirdQuartile", 3,
 IF(Table13[[#This Row],[Quartile]]="FourthQuartile", 4, ""))))</f>
        <v>2</v>
      </c>
      <c r="F1599" s="9" t="s">
        <v>510</v>
      </c>
      <c r="G1599" s="9" t="str" cm="1">
        <f t="array" ref="G1599">IFERROR(
  INDEX(Table13[Quartile],
    MATCH(1,
      (Table13[[#This Row],[OrgName]]=Table13[OrgName]) *
      (Table13[[#This Row],[Month Number]]-1=Table13[Month Number]),
    0)
  ),
"")</f>
        <v>SecondQuartile</v>
      </c>
      <c r="H1599" s="9">
        <f>IF(Table13[[#This Row],[Previous Quartile]]="TopQuartile", 1,
 IF(Table13[[#This Row],[Previous Quartile]]="SecondQuartile", 2,
 IF(Table13[[#This Row],[Previous Quartile]]="ThirdQuartile", 3,
 IF(Table13[[#This Row],[Previous Quartile]]="FourthQuartile", 4, ""))))</f>
        <v>2</v>
      </c>
      <c r="I1599" s="9" t="str">
        <f>IF(Table13[[#This Row],[Previous Quartile Value]]="", "",
   IF(Table13[[#This Row],[Quartile Value]] &lt; Table13[[#This Row],[Previous Quartile Value]], "Improved",
   IF(Table13[[#This Row],[Quartile Value]] &gt; Table13[[#This Row],[Previous Quartile Value]], "Dropped", "Same")))</f>
        <v>Same</v>
      </c>
      <c r="J1599" s="10" t="s">
        <v>12</v>
      </c>
      <c r="K1599" s="7" t="str">
        <f>VLOOKUP(J1599,Introduction!$B$6:$C$14,2)</f>
        <v>London</v>
      </c>
      <c r="L1599" s="11">
        <v>779</v>
      </c>
      <c r="M1599" s="12" t="s">
        <v>496</v>
      </c>
    </row>
    <row r="1600" spans="1:13" ht="19.95" customHeight="1" x14ac:dyDescent="0.25">
      <c r="A1600" s="41">
        <v>45323</v>
      </c>
      <c r="B1600" s="47">
        <f>MONTH(Table13[[#This Row],[YearMonth]])</f>
        <v>2</v>
      </c>
      <c r="C1600" s="9" t="s">
        <v>175</v>
      </c>
      <c r="D1600" s="14" t="s">
        <v>338</v>
      </c>
      <c r="E1600" s="14">
        <f>IF(Table13[[#This Row],[Quartile]]="TopQuartile", 1,
 IF(Table13[[#This Row],[Quartile]]="SecondQuartile", 2,
 IF(Table13[[#This Row],[Quartile]]="ThirdQuartile", 3,
 IF(Table13[[#This Row],[Quartile]]="FourthQuartile", 4, ""))))</f>
        <v>2</v>
      </c>
      <c r="F1600" s="9" t="s">
        <v>512</v>
      </c>
      <c r="G1600" s="9" t="str" cm="1">
        <f t="array" ref="G1600">IFERROR(
  INDEX(Table13[Quartile],
    MATCH(1,
      (Table13[[#This Row],[OrgName]]=Table13[OrgName]) *
      (Table13[[#This Row],[Month Number]]-1=Table13[Month Number]),
    0)
  ),
"")</f>
        <v>SecondQuartile</v>
      </c>
      <c r="H1600" s="9">
        <f>IF(Table13[[#This Row],[Previous Quartile]]="TopQuartile", 1,
 IF(Table13[[#This Row],[Previous Quartile]]="SecondQuartile", 2,
 IF(Table13[[#This Row],[Previous Quartile]]="ThirdQuartile", 3,
 IF(Table13[[#This Row],[Previous Quartile]]="FourthQuartile", 4, ""))))</f>
        <v>2</v>
      </c>
      <c r="I1600" s="9" t="str">
        <f>IF(Table13[[#This Row],[Previous Quartile Value]]="", "",
   IF(Table13[[#This Row],[Quartile Value]] &lt; Table13[[#This Row],[Previous Quartile Value]], "Improved",
   IF(Table13[[#This Row],[Quartile Value]] &gt; Table13[[#This Row],[Previous Quartile Value]], "Dropped", "Same")))</f>
        <v>Same</v>
      </c>
      <c r="J1600" s="10" t="s">
        <v>18</v>
      </c>
      <c r="K1600" s="7" t="str">
        <f>VLOOKUP(J1600,Introduction!$B$6:$C$14,2)</f>
        <v>Midlands</v>
      </c>
      <c r="L1600" s="11">
        <v>798</v>
      </c>
      <c r="M1600" s="12" t="s">
        <v>496</v>
      </c>
    </row>
    <row r="1601" spans="1:13" ht="19.95" customHeight="1" x14ac:dyDescent="0.25">
      <c r="A1601" s="41">
        <v>45323</v>
      </c>
      <c r="B1601" s="47">
        <f>MONTH(Table13[[#This Row],[YearMonth]])</f>
        <v>2</v>
      </c>
      <c r="C1601" s="9" t="s">
        <v>145</v>
      </c>
      <c r="D1601" s="14" t="s">
        <v>338</v>
      </c>
      <c r="E1601" s="14">
        <f>IF(Table13[[#This Row],[Quartile]]="TopQuartile", 1,
 IF(Table13[[#This Row],[Quartile]]="SecondQuartile", 2,
 IF(Table13[[#This Row],[Quartile]]="ThirdQuartile", 3,
 IF(Table13[[#This Row],[Quartile]]="FourthQuartile", 4, ""))))</f>
        <v>2</v>
      </c>
      <c r="F1601" s="9" t="s">
        <v>507</v>
      </c>
      <c r="G1601" s="9" t="str" cm="1">
        <f t="array" ref="G1601">IFERROR(
  INDEX(Table13[Quartile],
    MATCH(1,
      (Table13[[#This Row],[OrgName]]=Table13[OrgName]) *
      (Table13[[#This Row],[Month Number]]-1=Table13[Month Number]),
    0)
  ),
"")</f>
        <v>TopQuartile</v>
      </c>
      <c r="H1601" s="9">
        <f>IF(Table13[[#This Row],[Previous Quartile]]="TopQuartile", 1,
 IF(Table13[[#This Row],[Previous Quartile]]="SecondQuartile", 2,
 IF(Table13[[#This Row],[Previous Quartile]]="ThirdQuartile", 3,
 IF(Table13[[#This Row],[Previous Quartile]]="FourthQuartile", 4, ""))))</f>
        <v>1</v>
      </c>
      <c r="I1601" s="9" t="str">
        <f>IF(Table13[[#This Row],[Previous Quartile Value]]="", "",
   IF(Table13[[#This Row],[Quartile Value]] &lt; Table13[[#This Row],[Previous Quartile Value]], "Improved",
   IF(Table13[[#This Row],[Quartile Value]] &gt; Table13[[#This Row],[Previous Quartile Value]], "Dropped", "Same")))</f>
        <v>Dropped</v>
      </c>
      <c r="J1601" s="10" t="s">
        <v>12</v>
      </c>
      <c r="K1601" s="7" t="str">
        <f>VLOOKUP(J1601,Introduction!$B$6:$C$14,2)</f>
        <v>London</v>
      </c>
      <c r="L1601" s="11">
        <v>811</v>
      </c>
      <c r="M1601" s="12" t="s">
        <v>496</v>
      </c>
    </row>
    <row r="1602" spans="1:13" ht="19.95" customHeight="1" x14ac:dyDescent="0.25">
      <c r="A1602" s="41">
        <v>45323</v>
      </c>
      <c r="B1602" s="47">
        <f>MONTH(Table13[[#This Row],[YearMonth]])</f>
        <v>2</v>
      </c>
      <c r="C1602" s="9" t="s">
        <v>156</v>
      </c>
      <c r="D1602" s="14" t="s">
        <v>341</v>
      </c>
      <c r="E1602" s="14">
        <f>IF(Table13[[#This Row],[Quartile]]="TopQuartile", 1,
 IF(Table13[[#This Row],[Quartile]]="SecondQuartile", 2,
 IF(Table13[[#This Row],[Quartile]]="ThirdQuartile", 3,
 IF(Table13[[#This Row],[Quartile]]="FourthQuartile", 4, ""))))</f>
        <v>3</v>
      </c>
      <c r="F1602" s="9" t="s">
        <v>509</v>
      </c>
      <c r="G1602" s="9" t="str" cm="1">
        <f t="array" ref="G1602">IFERROR(
  INDEX(Table13[Quartile],
    MATCH(1,
      (Table13[[#This Row],[OrgName]]=Table13[OrgName]) *
      (Table13[[#This Row],[Month Number]]-1=Table13[Month Number]),
    0)
  ),
"")</f>
        <v>ThirdQuartile</v>
      </c>
      <c r="H1602" s="9">
        <f>IF(Table13[[#This Row],[Previous Quartile]]="TopQuartile", 1,
 IF(Table13[[#This Row],[Previous Quartile]]="SecondQuartile", 2,
 IF(Table13[[#This Row],[Previous Quartile]]="ThirdQuartile", 3,
 IF(Table13[[#This Row],[Previous Quartile]]="FourthQuartile", 4, ""))))</f>
        <v>3</v>
      </c>
      <c r="I1602" s="9" t="str">
        <f>IF(Table13[[#This Row],[Previous Quartile Value]]="", "",
   IF(Table13[[#This Row],[Quartile Value]] &lt; Table13[[#This Row],[Previous Quartile Value]], "Improved",
   IF(Table13[[#This Row],[Quartile Value]] &gt; Table13[[#This Row],[Previous Quartile Value]], "Dropped", "Same")))</f>
        <v>Same</v>
      </c>
      <c r="J1602" s="10" t="s">
        <v>20</v>
      </c>
      <c r="K1602" s="7" t="str">
        <f>VLOOKUP(J1602,Introduction!$B$6:$C$14,2)</f>
        <v>East of England</v>
      </c>
      <c r="L1602" s="11">
        <v>812</v>
      </c>
      <c r="M1602" s="12" t="s">
        <v>496</v>
      </c>
    </row>
    <row r="1603" spans="1:13" ht="19.95" customHeight="1" x14ac:dyDescent="0.25">
      <c r="A1603" s="41">
        <v>45323</v>
      </c>
      <c r="B1603" s="47">
        <f>MONTH(Table13[[#This Row],[YearMonth]])</f>
        <v>2</v>
      </c>
      <c r="C1603" s="9" t="s">
        <v>193</v>
      </c>
      <c r="D1603" s="14" t="s">
        <v>341</v>
      </c>
      <c r="E1603" s="14">
        <f>IF(Table13[[#This Row],[Quartile]]="TopQuartile", 1,
 IF(Table13[[#This Row],[Quartile]]="SecondQuartile", 2,
 IF(Table13[[#This Row],[Quartile]]="ThirdQuartile", 3,
 IF(Table13[[#This Row],[Quartile]]="FourthQuartile", 4, ""))))</f>
        <v>3</v>
      </c>
      <c r="F1603" s="9" t="s">
        <v>513</v>
      </c>
      <c r="G1603" s="9" t="str" cm="1">
        <f t="array" ref="G1603">IFERROR(
  INDEX(Table13[Quartile],
    MATCH(1,
      (Table13[[#This Row],[OrgName]]=Table13[OrgName]) *
      (Table13[[#This Row],[Month Number]]-1=Table13[Month Number]),
    0)
  ),
"")</f>
        <v>ThirdQuartile</v>
      </c>
      <c r="H1603" s="9">
        <f>IF(Table13[[#This Row],[Previous Quartile]]="TopQuartile", 1,
 IF(Table13[[#This Row],[Previous Quartile]]="SecondQuartile", 2,
 IF(Table13[[#This Row],[Previous Quartile]]="ThirdQuartile", 3,
 IF(Table13[[#This Row],[Previous Quartile]]="FourthQuartile", 4, ""))))</f>
        <v>3</v>
      </c>
      <c r="I1603" s="9" t="str">
        <f>IF(Table13[[#This Row],[Previous Quartile Value]]="", "",
   IF(Table13[[#This Row],[Quartile Value]] &lt; Table13[[#This Row],[Previous Quartile Value]], "Improved",
   IF(Table13[[#This Row],[Quartile Value]] &gt; Table13[[#This Row],[Previous Quartile Value]], "Dropped", "Same")))</f>
        <v>Same</v>
      </c>
      <c r="J1603" s="10" t="s">
        <v>20</v>
      </c>
      <c r="K1603" s="7" t="str">
        <f>VLOOKUP(J1603,Introduction!$B$6:$C$14,2)</f>
        <v>East of England</v>
      </c>
      <c r="L1603" s="11">
        <v>448</v>
      </c>
      <c r="M1603" s="12" t="s">
        <v>496</v>
      </c>
    </row>
    <row r="1604" spans="1:13" ht="19.95" customHeight="1" x14ac:dyDescent="0.25">
      <c r="A1604" s="41">
        <v>45323</v>
      </c>
      <c r="B1604" s="47">
        <f>MONTH(Table13[[#This Row],[YearMonth]])</f>
        <v>2</v>
      </c>
      <c r="C1604" s="9" t="s">
        <v>171</v>
      </c>
      <c r="D1604" s="14" t="s">
        <v>341</v>
      </c>
      <c r="E1604" s="14">
        <f>IF(Table13[[#This Row],[Quartile]]="TopQuartile", 1,
 IF(Table13[[#This Row],[Quartile]]="SecondQuartile", 2,
 IF(Table13[[#This Row],[Quartile]]="ThirdQuartile", 3,
 IF(Table13[[#This Row],[Quartile]]="FourthQuartile", 4, ""))))</f>
        <v>3</v>
      </c>
      <c r="F1604" s="9" t="s">
        <v>511</v>
      </c>
      <c r="G1604" s="9" t="str" cm="1">
        <f t="array" ref="G1604">IFERROR(
  INDEX(Table13[Quartile],
    MATCH(1,
      (Table13[[#This Row],[OrgName]]=Table13[OrgName]) *
      (Table13[[#This Row],[Month Number]]-1=Table13[Month Number]),
    0)
  ),
"")</f>
        <v>SecondQuartile</v>
      </c>
      <c r="H1604" s="9">
        <f>IF(Table13[[#This Row],[Previous Quartile]]="TopQuartile", 1,
 IF(Table13[[#This Row],[Previous Quartile]]="SecondQuartile", 2,
 IF(Table13[[#This Row],[Previous Quartile]]="ThirdQuartile", 3,
 IF(Table13[[#This Row],[Previous Quartile]]="FourthQuartile", 4, ""))))</f>
        <v>2</v>
      </c>
      <c r="I1604" s="9" t="str">
        <f>IF(Table13[[#This Row],[Previous Quartile Value]]="", "",
   IF(Table13[[#This Row],[Quartile Value]] &lt; Table13[[#This Row],[Previous Quartile Value]], "Improved",
   IF(Table13[[#This Row],[Quartile Value]] &gt; Table13[[#This Row],[Previous Quartile Value]], "Dropped", "Same")))</f>
        <v>Dropped</v>
      </c>
      <c r="J1604" s="10" t="s">
        <v>20</v>
      </c>
      <c r="K1604" s="7" t="str">
        <f>VLOOKUP(J1604,Introduction!$B$6:$C$14,2)</f>
        <v>East of England</v>
      </c>
      <c r="L1604" s="11">
        <v>839</v>
      </c>
      <c r="M1604" s="12" t="s">
        <v>496</v>
      </c>
    </row>
    <row r="1605" spans="1:13" ht="19.95" customHeight="1" x14ac:dyDescent="0.25">
      <c r="A1605" s="41">
        <v>45323</v>
      </c>
      <c r="B1605" s="47">
        <f>MONTH(Table13[[#This Row],[YearMonth]])</f>
        <v>2</v>
      </c>
      <c r="C1605" s="9" t="s">
        <v>219</v>
      </c>
      <c r="D1605" s="14" t="s">
        <v>341</v>
      </c>
      <c r="E1605" s="14">
        <f>IF(Table13[[#This Row],[Quartile]]="TopQuartile", 1,
 IF(Table13[[#This Row],[Quartile]]="SecondQuartile", 2,
 IF(Table13[[#This Row],[Quartile]]="ThirdQuartile", 3,
 IF(Table13[[#This Row],[Quartile]]="FourthQuartile", 4, ""))))</f>
        <v>3</v>
      </c>
      <c r="F1605" s="9" t="s">
        <v>516</v>
      </c>
      <c r="G1605" s="9" t="str" cm="1">
        <f t="array" ref="G1605">IFERROR(
  INDEX(Table13[Quartile],
    MATCH(1,
      (Table13[[#This Row],[OrgName]]=Table13[OrgName]) *
      (Table13[[#This Row],[Month Number]]-1=Table13[Month Number]),
    0)
  ),
"")</f>
        <v>ThirdQuartile</v>
      </c>
      <c r="H1605" s="9">
        <f>IF(Table13[[#This Row],[Previous Quartile]]="TopQuartile", 1,
 IF(Table13[[#This Row],[Previous Quartile]]="SecondQuartile", 2,
 IF(Table13[[#This Row],[Previous Quartile]]="ThirdQuartile", 3,
 IF(Table13[[#This Row],[Previous Quartile]]="FourthQuartile", 4, ""))))</f>
        <v>3</v>
      </c>
      <c r="I1605" s="9" t="str">
        <f>IF(Table13[[#This Row],[Previous Quartile Value]]="", "",
   IF(Table13[[#This Row],[Quartile Value]] &lt; Table13[[#This Row],[Previous Quartile Value]], "Improved",
   IF(Table13[[#This Row],[Quartile Value]] &gt; Table13[[#This Row],[Previous Quartile Value]], "Dropped", "Same")))</f>
        <v>Same</v>
      </c>
      <c r="J1605" s="10" t="s">
        <v>22</v>
      </c>
      <c r="K1605" s="7" t="str">
        <f>VLOOKUP(J1605,Introduction!$B$6:$C$14,2)</f>
        <v>North West</v>
      </c>
      <c r="L1605" s="11">
        <v>835</v>
      </c>
      <c r="M1605" s="12" t="s">
        <v>496</v>
      </c>
    </row>
    <row r="1606" spans="1:13" ht="19.95" customHeight="1" x14ac:dyDescent="0.25">
      <c r="A1606" s="41">
        <v>45323</v>
      </c>
      <c r="B1606" s="47">
        <f>MONTH(Table13[[#This Row],[YearMonth]])</f>
        <v>2</v>
      </c>
      <c r="C1606" s="9" t="s">
        <v>196</v>
      </c>
      <c r="D1606" s="14" t="s">
        <v>341</v>
      </c>
      <c r="E1606" s="14">
        <f>IF(Table13[[#This Row],[Quartile]]="TopQuartile", 1,
 IF(Table13[[#This Row],[Quartile]]="SecondQuartile", 2,
 IF(Table13[[#This Row],[Quartile]]="ThirdQuartile", 3,
 IF(Table13[[#This Row],[Quartile]]="FourthQuartile", 4, ""))))</f>
        <v>3</v>
      </c>
      <c r="F1606" s="9" t="s">
        <v>514</v>
      </c>
      <c r="G1606" s="9" t="str" cm="1">
        <f t="array" ref="G1606">IFERROR(
  INDEX(Table13[Quartile],
    MATCH(1,
      (Table13[[#This Row],[OrgName]]=Table13[OrgName]) *
      (Table13[[#This Row],[Month Number]]-1=Table13[Month Number]),
    0)
  ),
"")</f>
        <v>ThirdQuartile</v>
      </c>
      <c r="H1606" s="9">
        <f>IF(Table13[[#This Row],[Previous Quartile]]="TopQuartile", 1,
 IF(Table13[[#This Row],[Previous Quartile]]="SecondQuartile", 2,
 IF(Table13[[#This Row],[Previous Quartile]]="ThirdQuartile", 3,
 IF(Table13[[#This Row],[Previous Quartile]]="FourthQuartile", 4, ""))))</f>
        <v>3</v>
      </c>
      <c r="I1606" s="9" t="str">
        <f>IF(Table13[[#This Row],[Previous Quartile Value]]="", "",
   IF(Table13[[#This Row],[Quartile Value]] &lt; Table13[[#This Row],[Previous Quartile Value]], "Improved",
   IF(Table13[[#This Row],[Quartile Value]] &gt; Table13[[#This Row],[Previous Quartile Value]], "Dropped", "Same")))</f>
        <v>Same</v>
      </c>
      <c r="J1606" s="10" t="s">
        <v>18</v>
      </c>
      <c r="K1606" s="7" t="str">
        <f>VLOOKUP(J1606,Introduction!$B$6:$C$14,2)</f>
        <v>Midlands</v>
      </c>
      <c r="L1606" s="11">
        <v>842</v>
      </c>
      <c r="M1606" s="12" t="s">
        <v>496</v>
      </c>
    </row>
    <row r="1607" spans="1:13" ht="19.95" customHeight="1" x14ac:dyDescent="0.25">
      <c r="A1607" s="41">
        <v>45323</v>
      </c>
      <c r="B1607" s="47">
        <f>MONTH(Table13[[#This Row],[YearMonth]])</f>
        <v>2</v>
      </c>
      <c r="C1607" s="9" t="s">
        <v>230</v>
      </c>
      <c r="D1607" s="14" t="s">
        <v>341</v>
      </c>
      <c r="E1607" s="14">
        <f>IF(Table13[[#This Row],[Quartile]]="TopQuartile", 1,
 IF(Table13[[#This Row],[Quartile]]="SecondQuartile", 2,
 IF(Table13[[#This Row],[Quartile]]="ThirdQuartile", 3,
 IF(Table13[[#This Row],[Quartile]]="FourthQuartile", 4, ""))))</f>
        <v>3</v>
      </c>
      <c r="F1607" s="9" t="s">
        <v>517</v>
      </c>
      <c r="G1607" s="9" t="str" cm="1">
        <f t="array" ref="G1607">IFERROR(
  INDEX(Table13[Quartile],
    MATCH(1,
      (Table13[[#This Row],[OrgName]]=Table13[OrgName]) *
      (Table13[[#This Row],[Month Number]]-1=Table13[Month Number]),
    0)
  ),
"")</f>
        <v>ThirdQuartile</v>
      </c>
      <c r="H1607" s="9">
        <f>IF(Table13[[#This Row],[Previous Quartile]]="TopQuartile", 1,
 IF(Table13[[#This Row],[Previous Quartile]]="SecondQuartile", 2,
 IF(Table13[[#This Row],[Previous Quartile]]="ThirdQuartile", 3,
 IF(Table13[[#This Row],[Previous Quartile]]="FourthQuartile", 4, ""))))</f>
        <v>3</v>
      </c>
      <c r="I1607" s="9" t="str">
        <f>IF(Table13[[#This Row],[Previous Quartile Value]]="", "",
   IF(Table13[[#This Row],[Quartile Value]] &lt; Table13[[#This Row],[Previous Quartile Value]], "Improved",
   IF(Table13[[#This Row],[Quartile Value]] &gt; Table13[[#This Row],[Previous Quartile Value]], "Dropped", "Same")))</f>
        <v>Same</v>
      </c>
      <c r="J1607" s="10" t="s">
        <v>18</v>
      </c>
      <c r="K1607" s="7" t="str">
        <f>VLOOKUP(J1607,Introduction!$B$6:$C$14,2)</f>
        <v>Midlands</v>
      </c>
      <c r="L1607" s="11">
        <v>826</v>
      </c>
      <c r="M1607" s="12" t="s">
        <v>496</v>
      </c>
    </row>
    <row r="1608" spans="1:13" ht="19.95" customHeight="1" x14ac:dyDescent="0.25">
      <c r="A1608" s="41">
        <v>45323</v>
      </c>
      <c r="B1608" s="47">
        <f>MONTH(Table13[[#This Row],[YearMonth]])</f>
        <v>2</v>
      </c>
      <c r="C1608" s="9" t="s">
        <v>199</v>
      </c>
      <c r="D1608" s="14" t="s">
        <v>341</v>
      </c>
      <c r="E1608" s="14">
        <f>IF(Table13[[#This Row],[Quartile]]="TopQuartile", 1,
 IF(Table13[[#This Row],[Quartile]]="SecondQuartile", 2,
 IF(Table13[[#This Row],[Quartile]]="ThirdQuartile", 3,
 IF(Table13[[#This Row],[Quartile]]="FourthQuartile", 4, ""))))</f>
        <v>3</v>
      </c>
      <c r="F1608" s="9" t="s">
        <v>515</v>
      </c>
      <c r="G1608" s="9" t="str" cm="1">
        <f t="array" ref="G1608">IFERROR(
  INDEX(Table13[Quartile],
    MATCH(1,
      (Table13[[#This Row],[OrgName]]=Table13[OrgName]) *
      (Table13[[#This Row],[Month Number]]-1=Table13[Month Number]),
    0)
  ),
"")</f>
        <v>ThirdQuartile</v>
      </c>
      <c r="H1608" s="9">
        <f>IF(Table13[[#This Row],[Previous Quartile]]="TopQuartile", 1,
 IF(Table13[[#This Row],[Previous Quartile]]="SecondQuartile", 2,
 IF(Table13[[#This Row],[Previous Quartile]]="ThirdQuartile", 3,
 IF(Table13[[#This Row],[Previous Quartile]]="FourthQuartile", 4, ""))))</f>
        <v>3</v>
      </c>
      <c r="I1608" s="9" t="str">
        <f>IF(Table13[[#This Row],[Previous Quartile Value]]="", "",
   IF(Table13[[#This Row],[Quartile Value]] &lt; Table13[[#This Row],[Previous Quartile Value]], "Improved",
   IF(Table13[[#This Row],[Quartile Value]] &gt; Table13[[#This Row],[Previous Quartile Value]], "Dropped", "Same")))</f>
        <v>Same</v>
      </c>
      <c r="J1608" s="10" t="s">
        <v>24</v>
      </c>
      <c r="K1608" s="7" t="str">
        <f>VLOOKUP(J1608,Introduction!$B$6:$C$14,2)</f>
        <v>North East and Yorkshire</v>
      </c>
      <c r="L1608" s="11">
        <v>810</v>
      </c>
      <c r="M1608" s="12" t="s">
        <v>496</v>
      </c>
    </row>
    <row r="1609" spans="1:13" ht="19.95" customHeight="1" x14ac:dyDescent="0.25">
      <c r="A1609" s="41">
        <v>45323</v>
      </c>
      <c r="B1609" s="47">
        <f>MONTH(Table13[[#This Row],[YearMonth]])</f>
        <v>2</v>
      </c>
      <c r="C1609" s="9" t="s">
        <v>117</v>
      </c>
      <c r="D1609" s="14" t="s">
        <v>341</v>
      </c>
      <c r="E1609" s="14">
        <f>IF(Table13[[#This Row],[Quartile]]="TopQuartile", 1,
 IF(Table13[[#This Row],[Quartile]]="SecondQuartile", 2,
 IF(Table13[[#This Row],[Quartile]]="ThirdQuartile", 3,
 IF(Table13[[#This Row],[Quartile]]="FourthQuartile", 4, ""))))</f>
        <v>3</v>
      </c>
      <c r="F1609" s="9" t="s">
        <v>504</v>
      </c>
      <c r="G1609" s="9" t="str" cm="1">
        <f t="array" ref="G1609">IFERROR(
  INDEX(Table13[Quartile],
    MATCH(1,
      (Table13[[#This Row],[OrgName]]=Table13[OrgName]) *
      (Table13[[#This Row],[Month Number]]-1=Table13[Month Number]),
    0)
  ),
"")</f>
        <v>ThirdQuartile</v>
      </c>
      <c r="H1609" s="9">
        <f>IF(Table13[[#This Row],[Previous Quartile]]="TopQuartile", 1,
 IF(Table13[[#This Row],[Previous Quartile]]="SecondQuartile", 2,
 IF(Table13[[#This Row],[Previous Quartile]]="ThirdQuartile", 3,
 IF(Table13[[#This Row],[Previous Quartile]]="FourthQuartile", 4, ""))))</f>
        <v>3</v>
      </c>
      <c r="I1609" s="9" t="str">
        <f>IF(Table13[[#This Row],[Previous Quartile Value]]="", "",
   IF(Table13[[#This Row],[Quartile Value]] &lt; Table13[[#This Row],[Previous Quartile Value]], "Improved",
   IF(Table13[[#This Row],[Quartile Value]] &gt; Table13[[#This Row],[Previous Quartile Value]], "Dropped", "Same")))</f>
        <v>Same</v>
      </c>
      <c r="J1609" s="10" t="s">
        <v>24</v>
      </c>
      <c r="K1609" s="7" t="str">
        <f>VLOOKUP(J1609,Introduction!$B$6:$C$14,2)</f>
        <v>North East and Yorkshire</v>
      </c>
      <c r="L1609" s="11">
        <v>847</v>
      </c>
      <c r="M1609" s="12" t="s">
        <v>496</v>
      </c>
    </row>
    <row r="1610" spans="1:13" ht="19.95" customHeight="1" x14ac:dyDescent="0.25">
      <c r="A1610" s="41">
        <v>45323</v>
      </c>
      <c r="B1610" s="47">
        <f>MONTH(Table13[[#This Row],[YearMonth]])</f>
        <v>2</v>
      </c>
      <c r="C1610" s="9" t="s">
        <v>233</v>
      </c>
      <c r="D1610" s="14" t="s">
        <v>341</v>
      </c>
      <c r="E1610" s="14">
        <f>IF(Table13[[#This Row],[Quartile]]="TopQuartile", 1,
 IF(Table13[[#This Row],[Quartile]]="SecondQuartile", 2,
 IF(Table13[[#This Row],[Quartile]]="ThirdQuartile", 3,
 IF(Table13[[#This Row],[Quartile]]="FourthQuartile", 4, ""))))</f>
        <v>3</v>
      </c>
      <c r="F1610" s="9" t="s">
        <v>518</v>
      </c>
      <c r="G1610" s="9" t="str" cm="1">
        <f t="array" ref="G1610">IFERROR(
  INDEX(Table13[Quartile],
    MATCH(1,
      (Table13[[#This Row],[OrgName]]=Table13[OrgName]) *
      (Table13[[#This Row],[Month Number]]-1=Table13[Month Number]),
    0)
  ),
"")</f>
        <v>ThirdQuartile</v>
      </c>
      <c r="H1610" s="9">
        <f>IF(Table13[[#This Row],[Previous Quartile]]="TopQuartile", 1,
 IF(Table13[[#This Row],[Previous Quartile]]="SecondQuartile", 2,
 IF(Table13[[#This Row],[Previous Quartile]]="ThirdQuartile", 3,
 IF(Table13[[#This Row],[Previous Quartile]]="FourthQuartile", 4, ""))))</f>
        <v>3</v>
      </c>
      <c r="I1610" s="9" t="str">
        <f>IF(Table13[[#This Row],[Previous Quartile Value]]="", "",
   IF(Table13[[#This Row],[Quartile Value]] &lt; Table13[[#This Row],[Previous Quartile Value]], "Improved",
   IF(Table13[[#This Row],[Quartile Value]] &gt; Table13[[#This Row],[Previous Quartile Value]], "Dropped", "Same")))</f>
        <v>Same</v>
      </c>
      <c r="J1610" s="10" t="s">
        <v>18</v>
      </c>
      <c r="K1610" s="7" t="str">
        <f>VLOOKUP(J1610,Introduction!$B$6:$C$14,2)</f>
        <v>Midlands</v>
      </c>
      <c r="L1610" s="11">
        <v>820</v>
      </c>
      <c r="M1610" s="12" t="s">
        <v>496</v>
      </c>
    </row>
    <row r="1611" spans="1:13" ht="19.95" customHeight="1" x14ac:dyDescent="0.25">
      <c r="A1611" s="41">
        <v>45323</v>
      </c>
      <c r="B1611" s="47">
        <f>MONTH(Table13[[#This Row],[YearMonth]])</f>
        <v>2</v>
      </c>
      <c r="C1611" s="9" t="s">
        <v>238</v>
      </c>
      <c r="D1611" s="14" t="s">
        <v>341</v>
      </c>
      <c r="E1611" s="14">
        <f>IF(Table13[[#This Row],[Quartile]]="TopQuartile", 1,
 IF(Table13[[#This Row],[Quartile]]="SecondQuartile", 2,
 IF(Table13[[#This Row],[Quartile]]="ThirdQuartile", 3,
 IF(Table13[[#This Row],[Quartile]]="FourthQuartile", 4, ""))))</f>
        <v>3</v>
      </c>
      <c r="F1611" s="9" t="s">
        <v>519</v>
      </c>
      <c r="G1611" s="9" t="str" cm="1">
        <f t="array" ref="G1611">IFERROR(
  INDEX(Table13[Quartile],
    MATCH(1,
      (Table13[[#This Row],[OrgName]]=Table13[OrgName]) *
      (Table13[[#This Row],[Month Number]]-1=Table13[Month Number]),
    0)
  ),
"")</f>
        <v>ThirdQuartile</v>
      </c>
      <c r="H1611" s="9">
        <f>IF(Table13[[#This Row],[Previous Quartile]]="TopQuartile", 1,
 IF(Table13[[#This Row],[Previous Quartile]]="SecondQuartile", 2,
 IF(Table13[[#This Row],[Previous Quartile]]="ThirdQuartile", 3,
 IF(Table13[[#This Row],[Previous Quartile]]="FourthQuartile", 4, ""))))</f>
        <v>3</v>
      </c>
      <c r="I1611" s="9" t="str">
        <f>IF(Table13[[#This Row],[Previous Quartile Value]]="", "",
   IF(Table13[[#This Row],[Quartile Value]] &lt; Table13[[#This Row],[Previous Quartile Value]], "Improved",
   IF(Table13[[#This Row],[Quartile Value]] &gt; Table13[[#This Row],[Previous Quartile Value]], "Dropped", "Same")))</f>
        <v>Same</v>
      </c>
      <c r="J1611" s="10" t="s">
        <v>24</v>
      </c>
      <c r="K1611" s="7" t="str">
        <f>VLOOKUP(J1611,Introduction!$B$6:$C$14,2)</f>
        <v>North East and Yorkshire</v>
      </c>
      <c r="L1611" s="11">
        <v>845</v>
      </c>
      <c r="M1611" s="12" t="s">
        <v>496</v>
      </c>
    </row>
    <row r="1612" spans="1:13" ht="19.95" customHeight="1" x14ac:dyDescent="0.25">
      <c r="A1612" s="41">
        <v>45323</v>
      </c>
      <c r="B1612" s="47">
        <f>MONTH(Table13[[#This Row],[YearMonth]])</f>
        <v>2</v>
      </c>
      <c r="C1612" s="9" t="s">
        <v>248</v>
      </c>
      <c r="D1612" s="14" t="s">
        <v>341</v>
      </c>
      <c r="E1612" s="14">
        <f>IF(Table13[[#This Row],[Quartile]]="TopQuartile", 1,
 IF(Table13[[#This Row],[Quartile]]="SecondQuartile", 2,
 IF(Table13[[#This Row],[Quartile]]="ThirdQuartile", 3,
 IF(Table13[[#This Row],[Quartile]]="FourthQuartile", 4, ""))))</f>
        <v>3</v>
      </c>
      <c r="F1612" s="9" t="s">
        <v>520</v>
      </c>
      <c r="G1612" s="9" t="str" cm="1">
        <f t="array" ref="G1612">IFERROR(
  INDEX(Table13[Quartile],
    MATCH(1,
      (Table13[[#This Row],[OrgName]]=Table13[OrgName]) *
      (Table13[[#This Row],[Month Number]]-1=Table13[Month Number]),
    0)
  ),
"")</f>
        <v>FourthQuartile</v>
      </c>
      <c r="H1612" s="9">
        <f>IF(Table13[[#This Row],[Previous Quartile]]="TopQuartile", 1,
 IF(Table13[[#This Row],[Previous Quartile]]="SecondQuartile", 2,
 IF(Table13[[#This Row],[Previous Quartile]]="ThirdQuartile", 3,
 IF(Table13[[#This Row],[Previous Quartile]]="FourthQuartile", 4, ""))))</f>
        <v>4</v>
      </c>
      <c r="I1612" s="9" t="str">
        <f>IF(Table13[[#This Row],[Previous Quartile Value]]="", "",
   IF(Table13[[#This Row],[Quartile Value]] &lt; Table13[[#This Row],[Previous Quartile Value]], "Improved",
   IF(Table13[[#This Row],[Quartile Value]] &gt; Table13[[#This Row],[Previous Quartile Value]], "Dropped", "Same")))</f>
        <v>Improved</v>
      </c>
      <c r="J1612" s="10" t="s">
        <v>12</v>
      </c>
      <c r="K1612" s="7" t="str">
        <f>VLOOKUP(J1612,Introduction!$B$6:$C$14,2)</f>
        <v>London</v>
      </c>
      <c r="L1612" s="11">
        <v>848</v>
      </c>
      <c r="M1612" s="12" t="s">
        <v>496</v>
      </c>
    </row>
    <row r="1613" spans="1:13" ht="19.95" customHeight="1" x14ac:dyDescent="0.25">
      <c r="A1613" s="41">
        <v>45323</v>
      </c>
      <c r="B1613" s="47">
        <f>MONTH(Table13[[#This Row],[YearMonth]])</f>
        <v>2</v>
      </c>
      <c r="C1613" s="9" t="s">
        <v>260</v>
      </c>
      <c r="D1613" s="14" t="s">
        <v>350</v>
      </c>
      <c r="E1613" s="14">
        <f>IF(Table13[[#This Row],[Quartile]]="TopQuartile", 1,
 IF(Table13[[#This Row],[Quartile]]="SecondQuartile", 2,
 IF(Table13[[#This Row],[Quartile]]="ThirdQuartile", 3,
 IF(Table13[[#This Row],[Quartile]]="FourthQuartile", 4, ""))))</f>
        <v>4</v>
      </c>
      <c r="F1613" s="9" t="s">
        <v>522</v>
      </c>
      <c r="G1613" s="9" t="str" cm="1">
        <f t="array" ref="G1613">IFERROR(
  INDEX(Table13[Quartile],
    MATCH(1,
      (Table13[[#This Row],[OrgName]]=Table13[OrgName]) *
      (Table13[[#This Row],[Month Number]]-1=Table13[Month Number]),
    0)
  ),
"")</f>
        <v>FourthQuartile</v>
      </c>
      <c r="H1613" s="9">
        <f>IF(Table13[[#This Row],[Previous Quartile]]="TopQuartile", 1,
 IF(Table13[[#This Row],[Previous Quartile]]="SecondQuartile", 2,
 IF(Table13[[#This Row],[Previous Quartile]]="ThirdQuartile", 3,
 IF(Table13[[#This Row],[Previous Quartile]]="FourthQuartile", 4, ""))))</f>
        <v>4</v>
      </c>
      <c r="I1613" s="9" t="str">
        <f>IF(Table13[[#This Row],[Previous Quartile Value]]="", "",
   IF(Table13[[#This Row],[Quartile Value]] &lt; Table13[[#This Row],[Previous Quartile Value]], "Improved",
   IF(Table13[[#This Row],[Quartile Value]] &gt; Table13[[#This Row],[Previous Quartile Value]], "Dropped", "Same")))</f>
        <v>Same</v>
      </c>
      <c r="J1613" s="10" t="s">
        <v>24</v>
      </c>
      <c r="K1613" s="7" t="str">
        <f>VLOOKUP(J1613,Introduction!$B$6:$C$14,2)</f>
        <v>North East and Yorkshire</v>
      </c>
      <c r="L1613" s="11">
        <v>833</v>
      </c>
      <c r="M1613" s="12" t="s">
        <v>496</v>
      </c>
    </row>
    <row r="1614" spans="1:13" ht="19.95" customHeight="1" x14ac:dyDescent="0.25">
      <c r="A1614" s="41">
        <v>45323</v>
      </c>
      <c r="B1614" s="47">
        <f>MONTH(Table13[[#This Row],[YearMonth]])</f>
        <v>2</v>
      </c>
      <c r="C1614" s="9" t="s">
        <v>297</v>
      </c>
      <c r="D1614" s="14" t="s">
        <v>350</v>
      </c>
      <c r="E1614" s="14">
        <f>IF(Table13[[#This Row],[Quartile]]="TopQuartile", 1,
 IF(Table13[[#This Row],[Quartile]]="SecondQuartile", 2,
 IF(Table13[[#This Row],[Quartile]]="ThirdQuartile", 3,
 IF(Table13[[#This Row],[Quartile]]="FourthQuartile", 4, ""))))</f>
        <v>4</v>
      </c>
      <c r="F1614" s="9" t="s">
        <v>527</v>
      </c>
      <c r="G1614" s="9" t="str" cm="1">
        <f t="array" ref="G1614">IFERROR(
  INDEX(Table13[Quartile],
    MATCH(1,
      (Table13[[#This Row],[OrgName]]=Table13[OrgName]) *
      (Table13[[#This Row],[Month Number]]-1=Table13[Month Number]),
    0)
  ),
"")</f>
        <v>FourthQuartile</v>
      </c>
      <c r="H1614" s="9">
        <f>IF(Table13[[#This Row],[Previous Quartile]]="TopQuartile", 1,
 IF(Table13[[#This Row],[Previous Quartile]]="SecondQuartile", 2,
 IF(Table13[[#This Row],[Previous Quartile]]="ThirdQuartile", 3,
 IF(Table13[[#This Row],[Previous Quartile]]="FourthQuartile", 4, ""))))</f>
        <v>4</v>
      </c>
      <c r="I1614" s="9" t="str">
        <f>IF(Table13[[#This Row],[Previous Quartile Value]]="", "",
   IF(Table13[[#This Row],[Quartile Value]] &lt; Table13[[#This Row],[Previous Quartile Value]], "Improved",
   IF(Table13[[#This Row],[Quartile Value]] &gt; Table13[[#This Row],[Previous Quartile Value]], "Dropped", "Same")))</f>
        <v>Same</v>
      </c>
      <c r="J1614" s="10" t="s">
        <v>16</v>
      </c>
      <c r="K1614" s="7" t="str">
        <f>VLOOKUP(J1614,Introduction!$B$6:$C$14,2)</f>
        <v>South East</v>
      </c>
      <c r="L1614" s="11">
        <v>78</v>
      </c>
      <c r="M1614" s="12" t="s">
        <v>496</v>
      </c>
    </row>
    <row r="1615" spans="1:13" ht="19.95" customHeight="1" x14ac:dyDescent="0.25">
      <c r="A1615" s="41">
        <v>45323</v>
      </c>
      <c r="B1615" s="47">
        <f>MONTH(Table13[[#This Row],[YearMonth]])</f>
        <v>2</v>
      </c>
      <c r="C1615" s="9" t="s">
        <v>261</v>
      </c>
      <c r="D1615" s="14" t="s">
        <v>350</v>
      </c>
      <c r="E1615" s="14">
        <f>IF(Table13[[#This Row],[Quartile]]="TopQuartile", 1,
 IF(Table13[[#This Row],[Quartile]]="SecondQuartile", 2,
 IF(Table13[[#This Row],[Quartile]]="ThirdQuartile", 3,
 IF(Table13[[#This Row],[Quartile]]="FourthQuartile", 4, ""))))</f>
        <v>4</v>
      </c>
      <c r="F1615" s="9" t="s">
        <v>523</v>
      </c>
      <c r="G1615" s="9" t="str" cm="1">
        <f t="array" ref="G1615">IFERROR(
  INDEX(Table13[Quartile],
    MATCH(1,
      (Table13[[#This Row],[OrgName]]=Table13[OrgName]) *
      (Table13[[#This Row],[Month Number]]-1=Table13[Month Number]),
    0)
  ),
"")</f>
        <v>FourthQuartile</v>
      </c>
      <c r="H1615" s="9">
        <f>IF(Table13[[#This Row],[Previous Quartile]]="TopQuartile", 1,
 IF(Table13[[#This Row],[Previous Quartile]]="SecondQuartile", 2,
 IF(Table13[[#This Row],[Previous Quartile]]="ThirdQuartile", 3,
 IF(Table13[[#This Row],[Previous Quartile]]="FourthQuartile", 4, ""))))</f>
        <v>4</v>
      </c>
      <c r="I1615" s="9" t="str">
        <f>IF(Table13[[#This Row],[Previous Quartile Value]]="", "",
   IF(Table13[[#This Row],[Quartile Value]] &lt; Table13[[#This Row],[Previous Quartile Value]], "Improved",
   IF(Table13[[#This Row],[Quartile Value]] &gt; Table13[[#This Row],[Previous Quartile Value]], "Dropped", "Same")))</f>
        <v>Same</v>
      </c>
      <c r="J1615" s="10" t="s">
        <v>14</v>
      </c>
      <c r="K1615" s="7" t="str">
        <f>VLOOKUP(J1615,Introduction!$B$6:$C$14,2)</f>
        <v>South West</v>
      </c>
      <c r="L1615" s="11">
        <v>83</v>
      </c>
      <c r="M1615" s="12" t="s">
        <v>496</v>
      </c>
    </row>
    <row r="1616" spans="1:13" ht="19.95" customHeight="1" x14ac:dyDescent="0.25">
      <c r="A1616" s="41">
        <v>45323</v>
      </c>
      <c r="B1616" s="47">
        <f>MONTH(Table13[[#This Row],[YearMonth]])</f>
        <v>2</v>
      </c>
      <c r="C1616" s="9" t="s">
        <v>259</v>
      </c>
      <c r="D1616" s="14" t="s">
        <v>350</v>
      </c>
      <c r="E1616" s="14">
        <f>IF(Table13[[#This Row],[Quartile]]="TopQuartile", 1,
 IF(Table13[[#This Row],[Quartile]]="SecondQuartile", 2,
 IF(Table13[[#This Row],[Quartile]]="ThirdQuartile", 3,
 IF(Table13[[#This Row],[Quartile]]="FourthQuartile", 4, ""))))</f>
        <v>4</v>
      </c>
      <c r="F1616" s="9" t="s">
        <v>521</v>
      </c>
      <c r="G1616" s="9" t="str" cm="1">
        <f t="array" ref="G1616">IFERROR(
  INDEX(Table13[Quartile],
    MATCH(1,
      (Table13[[#This Row],[OrgName]]=Table13[OrgName]) *
      (Table13[[#This Row],[Month Number]]-1=Table13[Month Number]),
    0)
  ),
"")</f>
        <v>FourthQuartile</v>
      </c>
      <c r="H1616" s="9">
        <f>IF(Table13[[#This Row],[Previous Quartile]]="TopQuartile", 1,
 IF(Table13[[#This Row],[Previous Quartile]]="SecondQuartile", 2,
 IF(Table13[[#This Row],[Previous Quartile]]="ThirdQuartile", 3,
 IF(Table13[[#This Row],[Previous Quartile]]="FourthQuartile", 4, ""))))</f>
        <v>4</v>
      </c>
      <c r="I1616" s="9" t="str">
        <f>IF(Table13[[#This Row],[Previous Quartile Value]]="", "",
   IF(Table13[[#This Row],[Quartile Value]] &lt; Table13[[#This Row],[Previous Quartile Value]], "Improved",
   IF(Table13[[#This Row],[Quartile Value]] &gt; Table13[[#This Row],[Previous Quartile Value]], "Dropped", "Same")))</f>
        <v>Same</v>
      </c>
      <c r="J1616" s="10" t="s">
        <v>12</v>
      </c>
      <c r="K1616" s="7" t="str">
        <f>VLOOKUP(J1616,Introduction!$B$6:$C$14,2)</f>
        <v>London</v>
      </c>
      <c r="L1616" s="11">
        <v>824</v>
      </c>
      <c r="M1616" s="12" t="s">
        <v>496</v>
      </c>
    </row>
    <row r="1617" spans="1:13" ht="19.95" customHeight="1" x14ac:dyDescent="0.25">
      <c r="A1617" s="41">
        <v>45323</v>
      </c>
      <c r="B1617" s="47">
        <f>MONTH(Table13[[#This Row],[YearMonth]])</f>
        <v>2</v>
      </c>
      <c r="C1617" s="9" t="s">
        <v>288</v>
      </c>
      <c r="D1617" s="14" t="s">
        <v>350</v>
      </c>
      <c r="E1617" s="14">
        <f>IF(Table13[[#This Row],[Quartile]]="TopQuartile", 1,
 IF(Table13[[#This Row],[Quartile]]="SecondQuartile", 2,
 IF(Table13[[#This Row],[Quartile]]="ThirdQuartile", 3,
 IF(Table13[[#This Row],[Quartile]]="FourthQuartile", 4, ""))))</f>
        <v>4</v>
      </c>
      <c r="F1617" s="9" t="s">
        <v>525</v>
      </c>
      <c r="G1617" s="9" t="str" cm="1">
        <f t="array" ref="G1617">IFERROR(
  INDEX(Table13[Quartile],
    MATCH(1,
      (Table13[[#This Row],[OrgName]]=Table13[OrgName]) *
      (Table13[[#This Row],[Month Number]]-1=Table13[Month Number]),
    0)
  ),
"")</f>
        <v>FourthQuartile</v>
      </c>
      <c r="H1617" s="9">
        <f>IF(Table13[[#This Row],[Previous Quartile]]="TopQuartile", 1,
 IF(Table13[[#This Row],[Previous Quartile]]="SecondQuartile", 2,
 IF(Table13[[#This Row],[Previous Quartile]]="ThirdQuartile", 3,
 IF(Table13[[#This Row],[Previous Quartile]]="FourthQuartile", 4, ""))))</f>
        <v>4</v>
      </c>
      <c r="I1617" s="9" t="str">
        <f>IF(Table13[[#This Row],[Previous Quartile Value]]="", "",
   IF(Table13[[#This Row],[Quartile Value]] &lt; Table13[[#This Row],[Previous Quartile Value]], "Improved",
   IF(Table13[[#This Row],[Quartile Value]] &gt; Table13[[#This Row],[Previous Quartile Value]], "Dropped", "Same")))</f>
        <v>Same</v>
      </c>
      <c r="J1617" s="10" t="s">
        <v>14</v>
      </c>
      <c r="K1617" s="7" t="str">
        <f>VLOOKUP(J1617,Introduction!$B$6:$C$14,2)</f>
        <v>South West</v>
      </c>
      <c r="L1617" s="11">
        <v>832</v>
      </c>
      <c r="M1617" s="12" t="s">
        <v>496</v>
      </c>
    </row>
    <row r="1618" spans="1:13" ht="19.95" customHeight="1" x14ac:dyDescent="0.25">
      <c r="A1618" s="41">
        <v>45323</v>
      </c>
      <c r="B1618" s="47">
        <f>MONTH(Table13[[#This Row],[YearMonth]])</f>
        <v>2</v>
      </c>
      <c r="C1618" s="9" t="s">
        <v>291</v>
      </c>
      <c r="D1618" s="14" t="s">
        <v>350</v>
      </c>
      <c r="E1618" s="14">
        <f>IF(Table13[[#This Row],[Quartile]]="TopQuartile", 1,
 IF(Table13[[#This Row],[Quartile]]="SecondQuartile", 2,
 IF(Table13[[#This Row],[Quartile]]="ThirdQuartile", 3,
 IF(Table13[[#This Row],[Quartile]]="FourthQuartile", 4, ""))))</f>
        <v>4</v>
      </c>
      <c r="F1618" s="9" t="s">
        <v>526</v>
      </c>
      <c r="G1618" s="9" t="str" cm="1">
        <f t="array" ref="G1618">IFERROR(
  INDEX(Table13[Quartile],
    MATCH(1,
      (Table13[[#This Row],[OrgName]]=Table13[OrgName]) *
      (Table13[[#This Row],[Month Number]]-1=Table13[Month Number]),
    0)
  ),
"")</f>
        <v>FourthQuartile</v>
      </c>
      <c r="H1618" s="9">
        <f>IF(Table13[[#This Row],[Previous Quartile]]="TopQuartile", 1,
 IF(Table13[[#This Row],[Previous Quartile]]="SecondQuartile", 2,
 IF(Table13[[#This Row],[Previous Quartile]]="ThirdQuartile", 3,
 IF(Table13[[#This Row],[Previous Quartile]]="FourthQuartile", 4, ""))))</f>
        <v>4</v>
      </c>
      <c r="I1618" s="9" t="str">
        <f>IF(Table13[[#This Row],[Previous Quartile Value]]="", "",
   IF(Table13[[#This Row],[Quartile Value]] &lt; Table13[[#This Row],[Previous Quartile Value]], "Improved",
   IF(Table13[[#This Row],[Quartile Value]] &gt; Table13[[#This Row],[Previous Quartile Value]], "Dropped", "Same")))</f>
        <v>Same</v>
      </c>
      <c r="J1618" s="10" t="s">
        <v>18</v>
      </c>
      <c r="K1618" s="7" t="str">
        <f>VLOOKUP(J1618,Introduction!$B$6:$C$14,2)</f>
        <v>Midlands</v>
      </c>
      <c r="L1618" s="11">
        <v>445</v>
      </c>
      <c r="M1618" s="12" t="s">
        <v>496</v>
      </c>
    </row>
    <row r="1619" spans="1:13" ht="19.95" customHeight="1" x14ac:dyDescent="0.25">
      <c r="A1619" s="41">
        <v>45323</v>
      </c>
      <c r="B1619" s="47">
        <f>MONTH(Table13[[#This Row],[YearMonth]])</f>
        <v>2</v>
      </c>
      <c r="C1619" s="9" t="s">
        <v>276</v>
      </c>
      <c r="D1619" s="14" t="s">
        <v>350</v>
      </c>
      <c r="E1619" s="14">
        <f>IF(Table13[[#This Row],[Quartile]]="TopQuartile", 1,
 IF(Table13[[#This Row],[Quartile]]="SecondQuartile", 2,
 IF(Table13[[#This Row],[Quartile]]="ThirdQuartile", 3,
 IF(Table13[[#This Row],[Quartile]]="FourthQuartile", 4, ""))))</f>
        <v>4</v>
      </c>
      <c r="F1619" s="9" t="s">
        <v>524</v>
      </c>
      <c r="G1619" s="9" t="str" cm="1">
        <f t="array" ref="G1619">IFERROR(
  INDEX(Table13[Quartile],
    MATCH(1,
      (Table13[[#This Row],[OrgName]]=Table13[OrgName]) *
      (Table13[[#This Row],[Month Number]]-1=Table13[Month Number]),
    0)
  ),
"")</f>
        <v>FourthQuartile</v>
      </c>
      <c r="H1619" s="9">
        <f>IF(Table13[[#This Row],[Previous Quartile]]="TopQuartile", 1,
 IF(Table13[[#This Row],[Previous Quartile]]="SecondQuartile", 2,
 IF(Table13[[#This Row],[Previous Quartile]]="ThirdQuartile", 3,
 IF(Table13[[#This Row],[Previous Quartile]]="FourthQuartile", 4, ""))))</f>
        <v>4</v>
      </c>
      <c r="I1619" s="9" t="str">
        <f>IF(Table13[[#This Row],[Previous Quartile Value]]="", "",
   IF(Table13[[#This Row],[Quartile Value]] &lt; Table13[[#This Row],[Previous Quartile Value]], "Improved",
   IF(Table13[[#This Row],[Quartile Value]] &gt; Table13[[#This Row],[Previous Quartile Value]], "Dropped", "Same")))</f>
        <v>Same</v>
      </c>
      <c r="J1619" s="10" t="s">
        <v>16</v>
      </c>
      <c r="K1619" s="7" t="str">
        <f>VLOOKUP(J1619,Introduction!$B$6:$C$14,2)</f>
        <v>South East</v>
      </c>
      <c r="L1619" s="11">
        <v>74</v>
      </c>
      <c r="M1619" s="12" t="s">
        <v>496</v>
      </c>
    </row>
    <row r="1620" spans="1:13" ht="19.95" customHeight="1" x14ac:dyDescent="0.25">
      <c r="A1620" s="41">
        <v>45323</v>
      </c>
      <c r="B1620" s="47">
        <f>MONTH(Table13[[#This Row],[YearMonth]])</f>
        <v>2</v>
      </c>
      <c r="C1620" s="9" t="s">
        <v>314</v>
      </c>
      <c r="D1620" s="14" t="s">
        <v>350</v>
      </c>
      <c r="E1620" s="14">
        <f>IF(Table13[[#This Row],[Quartile]]="TopQuartile", 1,
 IF(Table13[[#This Row],[Quartile]]="SecondQuartile", 2,
 IF(Table13[[#This Row],[Quartile]]="ThirdQuartile", 3,
 IF(Table13[[#This Row],[Quartile]]="FourthQuartile", 4, ""))))</f>
        <v>4</v>
      </c>
      <c r="F1620" s="9" t="s">
        <v>528</v>
      </c>
      <c r="G1620" s="9" t="str" cm="1">
        <f t="array" ref="G1620">IFERROR(
  INDEX(Table13[Quartile],
    MATCH(1,
      (Table13[[#This Row],[OrgName]]=Table13[OrgName]) *
      (Table13[[#This Row],[Month Number]]-1=Table13[Month Number]),
    0)
  ),
"")</f>
        <v>FourthQuartile</v>
      </c>
      <c r="H1620" s="9">
        <f>IF(Table13[[#This Row],[Previous Quartile]]="TopQuartile", 1,
 IF(Table13[[#This Row],[Previous Quartile]]="SecondQuartile", 2,
 IF(Table13[[#This Row],[Previous Quartile]]="ThirdQuartile", 3,
 IF(Table13[[#This Row],[Previous Quartile]]="FourthQuartile", 4, ""))))</f>
        <v>4</v>
      </c>
      <c r="I1620" s="9" t="str">
        <f>IF(Table13[[#This Row],[Previous Quartile Value]]="", "",
   IF(Table13[[#This Row],[Quartile Value]] &lt; Table13[[#This Row],[Previous Quartile Value]], "Improved",
   IF(Table13[[#This Row],[Quartile Value]] &gt; Table13[[#This Row],[Previous Quartile Value]], "Dropped", "Same")))</f>
        <v>Same</v>
      </c>
      <c r="J1620" s="10" t="s">
        <v>20</v>
      </c>
      <c r="K1620" s="7" t="str">
        <f>VLOOKUP(J1620,Introduction!$B$6:$C$14,2)</f>
        <v>East of England</v>
      </c>
      <c r="L1620" s="11">
        <v>829</v>
      </c>
      <c r="M1620" s="12" t="s">
        <v>496</v>
      </c>
    </row>
    <row r="1621" spans="1:13" ht="19.95" customHeight="1" x14ac:dyDescent="0.25">
      <c r="A1621" s="41">
        <v>45323</v>
      </c>
      <c r="B1621" s="47">
        <f>MONTH(Table13[[#This Row],[YearMonth]])</f>
        <v>2</v>
      </c>
      <c r="C1621" s="9" t="s">
        <v>30</v>
      </c>
      <c r="D1621" s="14" t="s">
        <v>330</v>
      </c>
      <c r="E1621" s="14">
        <f>IF(Table13[[#This Row],[Quartile]]="TopQuartile", 1,
 IF(Table13[[#This Row],[Quartile]]="SecondQuartile", 2,
 IF(Table13[[#This Row],[Quartile]]="ThirdQuartile", 3,
 IF(Table13[[#This Row],[Quartile]]="FourthQuartile", 4, ""))))</f>
        <v>1</v>
      </c>
      <c r="F1621" s="9" t="s">
        <v>532</v>
      </c>
      <c r="G1621" s="9" t="str" cm="1">
        <f t="array" ref="G1621">IFERROR(
  INDEX(Table13[Quartile],
    MATCH(1,
      (Table13[[#This Row],[OrgName]]=Table13[OrgName]) *
      (Table13[[#This Row],[Month Number]]-1=Table13[Month Number]),
    0)
  ),
"")</f>
        <v>TopQuartile</v>
      </c>
      <c r="H1621" s="9">
        <f>IF(Table13[[#This Row],[Previous Quartile]]="TopQuartile", 1,
 IF(Table13[[#This Row],[Previous Quartile]]="SecondQuartile", 2,
 IF(Table13[[#This Row],[Previous Quartile]]="ThirdQuartile", 3,
 IF(Table13[[#This Row],[Previous Quartile]]="FourthQuartile", 4, ""))))</f>
        <v>1</v>
      </c>
      <c r="I1621" s="9" t="str">
        <f>IF(Table13[[#This Row],[Previous Quartile Value]]="", "",
   IF(Table13[[#This Row],[Quartile Value]] &lt; Table13[[#This Row],[Previous Quartile Value]], "Improved",
   IF(Table13[[#This Row],[Quartile Value]] &gt; Table13[[#This Row],[Previous Quartile Value]], "Dropped", "Same")))</f>
        <v>Same</v>
      </c>
      <c r="J1621" s="10" t="s">
        <v>14</v>
      </c>
      <c r="K1621" s="7" t="str">
        <f>VLOOKUP(J1621,Introduction!$B$6:$C$14,2)</f>
        <v>South West</v>
      </c>
      <c r="L1621" s="11">
        <v>461</v>
      </c>
      <c r="M1621" s="12" t="s">
        <v>530</v>
      </c>
    </row>
    <row r="1622" spans="1:13" ht="19.95" customHeight="1" x14ac:dyDescent="0.25">
      <c r="A1622" s="41">
        <v>45323</v>
      </c>
      <c r="B1622" s="47">
        <f>MONTH(Table13[[#This Row],[YearMonth]])</f>
        <v>2</v>
      </c>
      <c r="C1622" s="9" t="s">
        <v>28</v>
      </c>
      <c r="D1622" s="14" t="s">
        <v>330</v>
      </c>
      <c r="E1622" s="14">
        <f>IF(Table13[[#This Row],[Quartile]]="TopQuartile", 1,
 IF(Table13[[#This Row],[Quartile]]="SecondQuartile", 2,
 IF(Table13[[#This Row],[Quartile]]="ThirdQuartile", 3,
 IF(Table13[[#This Row],[Quartile]]="FourthQuartile", 4, ""))))</f>
        <v>1</v>
      </c>
      <c r="F1622" s="9" t="s">
        <v>529</v>
      </c>
      <c r="G1622" s="9" t="str" cm="1">
        <f t="array" ref="G1622">IFERROR(
  INDEX(Table13[Quartile],
    MATCH(1,
      (Table13[[#This Row],[OrgName]]=Table13[OrgName]) *
      (Table13[[#This Row],[Month Number]]-1=Table13[Month Number]),
    0)
  ),
"")</f>
        <v>TopQuartile</v>
      </c>
      <c r="H1622" s="9">
        <f>IF(Table13[[#This Row],[Previous Quartile]]="TopQuartile", 1,
 IF(Table13[[#This Row],[Previous Quartile]]="SecondQuartile", 2,
 IF(Table13[[#This Row],[Previous Quartile]]="ThirdQuartile", 3,
 IF(Table13[[#This Row],[Previous Quartile]]="FourthQuartile", 4, ""))))</f>
        <v>1</v>
      </c>
      <c r="I1622" s="9" t="str">
        <f>IF(Table13[[#This Row],[Previous Quartile Value]]="", "",
   IF(Table13[[#This Row],[Quartile Value]] &lt; Table13[[#This Row],[Previous Quartile Value]], "Improved",
   IF(Table13[[#This Row],[Quartile Value]] &gt; Table13[[#This Row],[Previous Quartile Value]], "Dropped", "Same")))</f>
        <v>Same</v>
      </c>
      <c r="J1622" s="10" t="s">
        <v>16</v>
      </c>
      <c r="K1622" s="7" t="str">
        <f>VLOOKUP(J1622,Introduction!$B$6:$C$14,2)</f>
        <v>South East</v>
      </c>
      <c r="L1622" s="11">
        <v>146</v>
      </c>
      <c r="M1622" s="12" t="s">
        <v>530</v>
      </c>
    </row>
    <row r="1623" spans="1:13" ht="19.95" customHeight="1" x14ac:dyDescent="0.25">
      <c r="A1623" s="41">
        <v>45323</v>
      </c>
      <c r="B1623" s="47">
        <f>MONTH(Table13[[#This Row],[YearMonth]])</f>
        <v>2</v>
      </c>
      <c r="C1623" s="9" t="s">
        <v>83</v>
      </c>
      <c r="D1623" s="14" t="s">
        <v>330</v>
      </c>
      <c r="E1623" s="14">
        <f>IF(Table13[[#This Row],[Quartile]]="TopQuartile", 1,
 IF(Table13[[#This Row],[Quartile]]="SecondQuartile", 2,
 IF(Table13[[#This Row],[Quartile]]="ThirdQuartile", 3,
 IF(Table13[[#This Row],[Quartile]]="FourthQuartile", 4, ""))))</f>
        <v>1</v>
      </c>
      <c r="F1623" s="9" t="s">
        <v>542</v>
      </c>
      <c r="G1623" s="9" t="str" cm="1">
        <f t="array" ref="G1623">IFERROR(
  INDEX(Table13[Quartile],
    MATCH(1,
      (Table13[[#This Row],[OrgName]]=Table13[OrgName]) *
      (Table13[[#This Row],[Month Number]]-1=Table13[Month Number]),
    0)
  ),
"")</f>
        <v>TopQuartile</v>
      </c>
      <c r="H1623" s="9">
        <f>IF(Table13[[#This Row],[Previous Quartile]]="TopQuartile", 1,
 IF(Table13[[#This Row],[Previous Quartile]]="SecondQuartile", 2,
 IF(Table13[[#This Row],[Previous Quartile]]="ThirdQuartile", 3,
 IF(Table13[[#This Row],[Previous Quartile]]="FourthQuartile", 4, ""))))</f>
        <v>1</v>
      </c>
      <c r="I1623" s="9" t="str">
        <f>IF(Table13[[#This Row],[Previous Quartile Value]]="", "",
   IF(Table13[[#This Row],[Quartile Value]] &lt; Table13[[#This Row],[Previous Quartile Value]], "Improved",
   IF(Table13[[#This Row],[Quartile Value]] &gt; Table13[[#This Row],[Previous Quartile Value]], "Dropped", "Same")))</f>
        <v>Same</v>
      </c>
      <c r="J1623" s="10" t="s">
        <v>18</v>
      </c>
      <c r="K1623" s="7" t="str">
        <f>VLOOKUP(J1623,Introduction!$B$6:$C$14,2)</f>
        <v>Midlands</v>
      </c>
      <c r="L1623" s="11">
        <v>116</v>
      </c>
      <c r="M1623" s="12" t="s">
        <v>530</v>
      </c>
    </row>
    <row r="1624" spans="1:13" ht="19.95" customHeight="1" x14ac:dyDescent="0.25">
      <c r="A1624" s="41">
        <v>45323</v>
      </c>
      <c r="B1624" s="47">
        <f>MONTH(Table13[[#This Row],[YearMonth]])</f>
        <v>2</v>
      </c>
      <c r="C1624" s="9" t="s">
        <v>51</v>
      </c>
      <c r="D1624" s="14" t="s">
        <v>330</v>
      </c>
      <c r="E1624" s="14">
        <f>IF(Table13[[#This Row],[Quartile]]="TopQuartile", 1,
 IF(Table13[[#This Row],[Quartile]]="SecondQuartile", 2,
 IF(Table13[[#This Row],[Quartile]]="ThirdQuartile", 3,
 IF(Table13[[#This Row],[Quartile]]="FourthQuartile", 4, ""))))</f>
        <v>1</v>
      </c>
      <c r="F1624" s="9" t="s">
        <v>535</v>
      </c>
      <c r="G1624" s="9" t="str" cm="1">
        <f t="array" ref="G1624">IFERROR(
  INDEX(Table13[Quartile],
    MATCH(1,
      (Table13[[#This Row],[OrgName]]=Table13[OrgName]) *
      (Table13[[#This Row],[Month Number]]-1=Table13[Month Number]),
    0)
  ),
"")</f>
        <v>TopQuartile</v>
      </c>
      <c r="H1624" s="9">
        <f>IF(Table13[[#This Row],[Previous Quartile]]="TopQuartile", 1,
 IF(Table13[[#This Row],[Previous Quartile]]="SecondQuartile", 2,
 IF(Table13[[#This Row],[Previous Quartile]]="ThirdQuartile", 3,
 IF(Table13[[#This Row],[Previous Quartile]]="FourthQuartile", 4, ""))))</f>
        <v>1</v>
      </c>
      <c r="I1624" s="9" t="str">
        <f>IF(Table13[[#This Row],[Previous Quartile Value]]="", "",
   IF(Table13[[#This Row],[Quartile Value]] &lt; Table13[[#This Row],[Previous Quartile Value]], "Improved",
   IF(Table13[[#This Row],[Quartile Value]] &gt; Table13[[#This Row],[Previous Quartile Value]], "Dropped", "Same")))</f>
        <v>Same</v>
      </c>
      <c r="J1624" s="10" t="s">
        <v>16</v>
      </c>
      <c r="K1624" s="7" t="str">
        <f>VLOOKUP(J1624,Introduction!$B$6:$C$14,2)</f>
        <v>South East</v>
      </c>
      <c r="L1624" s="11">
        <v>482</v>
      </c>
      <c r="M1624" s="12" t="s">
        <v>530</v>
      </c>
    </row>
    <row r="1625" spans="1:13" ht="19.95" customHeight="1" x14ac:dyDescent="0.25">
      <c r="A1625" s="41">
        <v>45323</v>
      </c>
      <c r="B1625" s="47">
        <f>MONTH(Table13[[#This Row],[YearMonth]])</f>
        <v>2</v>
      </c>
      <c r="C1625" s="9" t="s">
        <v>63</v>
      </c>
      <c r="D1625" s="14" t="s">
        <v>330</v>
      </c>
      <c r="E1625" s="14">
        <f>IF(Table13[[#This Row],[Quartile]]="TopQuartile", 1,
 IF(Table13[[#This Row],[Quartile]]="SecondQuartile", 2,
 IF(Table13[[#This Row],[Quartile]]="ThirdQuartile", 3,
 IF(Table13[[#This Row],[Quartile]]="FourthQuartile", 4, ""))))</f>
        <v>1</v>
      </c>
      <c r="F1625" s="9" t="s">
        <v>536</v>
      </c>
      <c r="G1625" s="9" t="str" cm="1">
        <f t="array" ref="G1625">IFERROR(
  INDEX(Table13[Quartile],
    MATCH(1,
      (Table13[[#This Row],[OrgName]]=Table13[OrgName]) *
      (Table13[[#This Row],[Month Number]]-1=Table13[Month Number]),
    0)
  ),
"")</f>
        <v>TopQuartile</v>
      </c>
      <c r="H1625" s="9">
        <f>IF(Table13[[#This Row],[Previous Quartile]]="TopQuartile", 1,
 IF(Table13[[#This Row],[Previous Quartile]]="SecondQuartile", 2,
 IF(Table13[[#This Row],[Previous Quartile]]="ThirdQuartile", 3,
 IF(Table13[[#This Row],[Previous Quartile]]="FourthQuartile", 4, ""))))</f>
        <v>1</v>
      </c>
      <c r="I1625" s="9" t="str">
        <f>IF(Table13[[#This Row],[Previous Quartile Value]]="", "",
   IF(Table13[[#This Row],[Quartile Value]] &lt; Table13[[#This Row],[Previous Quartile Value]], "Improved",
   IF(Table13[[#This Row],[Quartile Value]] &gt; Table13[[#This Row],[Previous Quartile Value]], "Dropped", "Same")))</f>
        <v>Same</v>
      </c>
      <c r="J1625" s="10" t="s">
        <v>14</v>
      </c>
      <c r="K1625" s="7" t="str">
        <f>VLOOKUP(J1625,Introduction!$B$6:$C$14,2)</f>
        <v>South West</v>
      </c>
      <c r="L1625" s="11">
        <v>983</v>
      </c>
      <c r="M1625" s="12" t="s">
        <v>530</v>
      </c>
    </row>
    <row r="1626" spans="1:13" ht="19.95" customHeight="1" x14ac:dyDescent="0.25">
      <c r="A1626" s="41">
        <v>45323</v>
      </c>
      <c r="B1626" s="47">
        <f>MONTH(Table13[[#This Row],[YearMonth]])</f>
        <v>2</v>
      </c>
      <c r="C1626" s="9" t="s">
        <v>73</v>
      </c>
      <c r="D1626" s="14" t="s">
        <v>330</v>
      </c>
      <c r="E1626" s="14">
        <f>IF(Table13[[#This Row],[Quartile]]="TopQuartile", 1,
 IF(Table13[[#This Row],[Quartile]]="SecondQuartile", 2,
 IF(Table13[[#This Row],[Quartile]]="ThirdQuartile", 3,
 IF(Table13[[#This Row],[Quartile]]="FourthQuartile", 4, ""))))</f>
        <v>1</v>
      </c>
      <c r="F1626" s="9" t="s">
        <v>540</v>
      </c>
      <c r="G1626" s="9" t="str" cm="1">
        <f t="array" ref="G1626">IFERROR(
  INDEX(Table13[Quartile],
    MATCH(1,
      (Table13[[#This Row],[OrgName]]=Table13[OrgName]) *
      (Table13[[#This Row],[Month Number]]-1=Table13[Month Number]),
    0)
  ),
"")</f>
        <v>ThirdQuartile</v>
      </c>
      <c r="H1626" s="9">
        <f>IF(Table13[[#This Row],[Previous Quartile]]="TopQuartile", 1,
 IF(Table13[[#This Row],[Previous Quartile]]="SecondQuartile", 2,
 IF(Table13[[#This Row],[Previous Quartile]]="ThirdQuartile", 3,
 IF(Table13[[#This Row],[Previous Quartile]]="FourthQuartile", 4, ""))))</f>
        <v>3</v>
      </c>
      <c r="I1626" s="9" t="str">
        <f>IF(Table13[[#This Row],[Previous Quartile Value]]="", "",
   IF(Table13[[#This Row],[Quartile Value]] &lt; Table13[[#This Row],[Previous Quartile Value]], "Improved",
   IF(Table13[[#This Row],[Quartile Value]] &gt; Table13[[#This Row],[Previous Quartile Value]], "Dropped", "Same")))</f>
        <v>Improved</v>
      </c>
      <c r="J1626" s="10" t="s">
        <v>14</v>
      </c>
      <c r="K1626" s="7" t="str">
        <f>VLOOKUP(J1626,Introduction!$B$6:$C$14,2)</f>
        <v>South West</v>
      </c>
      <c r="L1626" s="11">
        <v>462</v>
      </c>
      <c r="M1626" s="12" t="s">
        <v>530</v>
      </c>
    </row>
    <row r="1627" spans="1:13" ht="19.95" customHeight="1" x14ac:dyDescent="0.25">
      <c r="A1627" s="41">
        <v>45323</v>
      </c>
      <c r="B1627" s="47">
        <f>MONTH(Table13[[#This Row],[YearMonth]])</f>
        <v>2</v>
      </c>
      <c r="C1627" s="9" t="s">
        <v>72</v>
      </c>
      <c r="D1627" s="14" t="s">
        <v>330</v>
      </c>
      <c r="E1627" s="14">
        <f>IF(Table13[[#This Row],[Quartile]]="TopQuartile", 1,
 IF(Table13[[#This Row],[Quartile]]="SecondQuartile", 2,
 IF(Table13[[#This Row],[Quartile]]="ThirdQuartile", 3,
 IF(Table13[[#This Row],[Quartile]]="FourthQuartile", 4, ""))))</f>
        <v>1</v>
      </c>
      <c r="F1627" s="9" t="s">
        <v>539</v>
      </c>
      <c r="G1627" s="9" t="str" cm="1">
        <f t="array" ref="G1627">IFERROR(
  INDEX(Table13[Quartile],
    MATCH(1,
      (Table13[[#This Row],[OrgName]]=Table13[OrgName]) *
      (Table13[[#This Row],[Month Number]]-1=Table13[Month Number]),
    0)
  ),
"")</f>
        <v>TopQuartile</v>
      </c>
      <c r="H1627" s="9">
        <f>IF(Table13[[#This Row],[Previous Quartile]]="TopQuartile", 1,
 IF(Table13[[#This Row],[Previous Quartile]]="SecondQuartile", 2,
 IF(Table13[[#This Row],[Previous Quartile]]="ThirdQuartile", 3,
 IF(Table13[[#This Row],[Previous Quartile]]="FourthQuartile", 4, ""))))</f>
        <v>1</v>
      </c>
      <c r="I1627" s="9" t="str">
        <f>IF(Table13[[#This Row],[Previous Quartile Value]]="", "",
   IF(Table13[[#This Row],[Quartile Value]] &lt; Table13[[#This Row],[Previous Quartile Value]], "Improved",
   IF(Table13[[#This Row],[Quartile Value]] &gt; Table13[[#This Row],[Previous Quartile Value]], "Dropped", "Same")))</f>
        <v>Same</v>
      </c>
      <c r="J1627" s="10" t="s">
        <v>18</v>
      </c>
      <c r="K1627" s="7" t="str">
        <f>VLOOKUP(J1627,Introduction!$B$6:$C$14,2)</f>
        <v>Midlands</v>
      </c>
      <c r="L1627" s="11">
        <v>66</v>
      </c>
      <c r="M1627" s="12" t="s">
        <v>530</v>
      </c>
    </row>
    <row r="1628" spans="1:13" ht="19.95" customHeight="1" x14ac:dyDescent="0.25">
      <c r="A1628" s="41">
        <v>45323</v>
      </c>
      <c r="B1628" s="47">
        <f>MONTH(Table13[[#This Row],[YearMonth]])</f>
        <v>2</v>
      </c>
      <c r="C1628" s="9" t="s">
        <v>48</v>
      </c>
      <c r="D1628" s="14" t="s">
        <v>330</v>
      </c>
      <c r="E1628" s="14">
        <f>IF(Table13[[#This Row],[Quartile]]="TopQuartile", 1,
 IF(Table13[[#This Row],[Quartile]]="SecondQuartile", 2,
 IF(Table13[[#This Row],[Quartile]]="ThirdQuartile", 3,
 IF(Table13[[#This Row],[Quartile]]="FourthQuartile", 4, ""))))</f>
        <v>1</v>
      </c>
      <c r="F1628" s="9" t="s">
        <v>534</v>
      </c>
      <c r="G1628" s="9" t="str" cm="1">
        <f t="array" ref="G1628">IFERROR(
  INDEX(Table13[Quartile],
    MATCH(1,
      (Table13[[#This Row],[OrgName]]=Table13[OrgName]) *
      (Table13[[#This Row],[Month Number]]-1=Table13[Month Number]),
    0)
  ),
"")</f>
        <v>SecondQuartile</v>
      </c>
      <c r="H1628" s="9">
        <f>IF(Table13[[#This Row],[Previous Quartile]]="TopQuartile", 1,
 IF(Table13[[#This Row],[Previous Quartile]]="SecondQuartile", 2,
 IF(Table13[[#This Row],[Previous Quartile]]="ThirdQuartile", 3,
 IF(Table13[[#This Row],[Previous Quartile]]="FourthQuartile", 4, ""))))</f>
        <v>2</v>
      </c>
      <c r="I1628" s="9" t="str">
        <f>IF(Table13[[#This Row],[Previous Quartile Value]]="", "",
   IF(Table13[[#This Row],[Quartile Value]] &lt; Table13[[#This Row],[Previous Quartile Value]], "Improved",
   IF(Table13[[#This Row],[Quartile Value]] &gt; Table13[[#This Row],[Previous Quartile Value]], "Dropped", "Same")))</f>
        <v>Improved</v>
      </c>
      <c r="J1628" s="10" t="s">
        <v>22</v>
      </c>
      <c r="K1628" s="7" t="str">
        <f>VLOOKUP(J1628,Introduction!$B$6:$C$14,2)</f>
        <v>North West</v>
      </c>
      <c r="L1628" s="11">
        <v>493</v>
      </c>
      <c r="M1628" s="12" t="s">
        <v>530</v>
      </c>
    </row>
    <row r="1629" spans="1:13" ht="19.95" customHeight="1" x14ac:dyDescent="0.25">
      <c r="A1629" s="41">
        <v>45323</v>
      </c>
      <c r="B1629" s="47">
        <f>MONTH(Table13[[#This Row],[YearMonth]])</f>
        <v>2</v>
      </c>
      <c r="C1629" s="9" t="s">
        <v>42</v>
      </c>
      <c r="D1629" s="14" t="s">
        <v>330</v>
      </c>
      <c r="E1629" s="14">
        <f>IF(Table13[[#This Row],[Quartile]]="TopQuartile", 1,
 IF(Table13[[#This Row],[Quartile]]="SecondQuartile", 2,
 IF(Table13[[#This Row],[Quartile]]="ThirdQuartile", 3,
 IF(Table13[[#This Row],[Quartile]]="FourthQuartile", 4, ""))))</f>
        <v>1</v>
      </c>
      <c r="F1629" s="9" t="s">
        <v>533</v>
      </c>
      <c r="G1629" s="9" t="str" cm="1">
        <f t="array" ref="G1629">IFERROR(
  INDEX(Table13[Quartile],
    MATCH(1,
      (Table13[[#This Row],[OrgName]]=Table13[OrgName]) *
      (Table13[[#This Row],[Month Number]]-1=Table13[Month Number]),
    0)
  ),
"")</f>
        <v>TopQuartile</v>
      </c>
      <c r="H1629" s="9">
        <f>IF(Table13[[#This Row],[Previous Quartile]]="TopQuartile", 1,
 IF(Table13[[#This Row],[Previous Quartile]]="SecondQuartile", 2,
 IF(Table13[[#This Row],[Previous Quartile]]="ThirdQuartile", 3,
 IF(Table13[[#This Row],[Previous Quartile]]="FourthQuartile", 4, ""))))</f>
        <v>1</v>
      </c>
      <c r="I1629" s="9" t="str">
        <f>IF(Table13[[#This Row],[Previous Quartile Value]]="", "",
   IF(Table13[[#This Row],[Quartile Value]] &lt; Table13[[#This Row],[Previous Quartile Value]], "Improved",
   IF(Table13[[#This Row],[Quartile Value]] &gt; Table13[[#This Row],[Previous Quartile Value]], "Dropped", "Same")))</f>
        <v>Same</v>
      </c>
      <c r="J1629" s="10" t="s">
        <v>18</v>
      </c>
      <c r="K1629" s="7" t="str">
        <f>VLOOKUP(J1629,Introduction!$B$6:$C$14,2)</f>
        <v>Midlands</v>
      </c>
      <c r="L1629" s="11">
        <v>106</v>
      </c>
      <c r="M1629" s="12" t="s">
        <v>530</v>
      </c>
    </row>
    <row r="1630" spans="1:13" ht="19.95" customHeight="1" x14ac:dyDescent="0.25">
      <c r="A1630" s="41">
        <v>45323</v>
      </c>
      <c r="B1630" s="47">
        <f>MONTH(Table13[[#This Row],[YearMonth]])</f>
        <v>2</v>
      </c>
      <c r="C1630" s="9" t="s">
        <v>76</v>
      </c>
      <c r="D1630" s="14" t="s">
        <v>330</v>
      </c>
      <c r="E1630" s="14">
        <f>IF(Table13[[#This Row],[Quartile]]="TopQuartile", 1,
 IF(Table13[[#This Row],[Quartile]]="SecondQuartile", 2,
 IF(Table13[[#This Row],[Quartile]]="ThirdQuartile", 3,
 IF(Table13[[#This Row],[Quartile]]="FourthQuartile", 4, ""))))</f>
        <v>1</v>
      </c>
      <c r="F1630" s="9" t="s">
        <v>541</v>
      </c>
      <c r="G1630" s="9" t="str" cm="1">
        <f t="array" ref="G1630">IFERROR(
  INDEX(Table13[Quartile],
    MATCH(1,
      (Table13[[#This Row],[OrgName]]=Table13[OrgName]) *
      (Table13[[#This Row],[Month Number]]-1=Table13[Month Number]),
    0)
  ),
"")</f>
        <v>TopQuartile</v>
      </c>
      <c r="H1630" s="9">
        <f>IF(Table13[[#This Row],[Previous Quartile]]="TopQuartile", 1,
 IF(Table13[[#This Row],[Previous Quartile]]="SecondQuartile", 2,
 IF(Table13[[#This Row],[Previous Quartile]]="ThirdQuartile", 3,
 IF(Table13[[#This Row],[Previous Quartile]]="FourthQuartile", 4, ""))))</f>
        <v>1</v>
      </c>
      <c r="I1630" s="9" t="str">
        <f>IF(Table13[[#This Row],[Previous Quartile Value]]="", "",
   IF(Table13[[#This Row],[Quartile Value]] &lt; Table13[[#This Row],[Previous Quartile Value]], "Improved",
   IF(Table13[[#This Row],[Quartile Value]] &gt; Table13[[#This Row],[Previous Quartile Value]], "Dropped", "Same")))</f>
        <v>Same</v>
      </c>
      <c r="J1630" s="10" t="s">
        <v>14</v>
      </c>
      <c r="K1630" s="7" t="str">
        <f>VLOOKUP(J1630,Introduction!$B$6:$C$14,2)</f>
        <v>South West</v>
      </c>
      <c r="L1630" s="11">
        <v>144</v>
      </c>
      <c r="M1630" s="12" t="s">
        <v>530</v>
      </c>
    </row>
    <row r="1631" spans="1:13" ht="19.95" customHeight="1" x14ac:dyDescent="0.25">
      <c r="A1631" s="41">
        <v>45323</v>
      </c>
      <c r="B1631" s="47">
        <f>MONTH(Table13[[#This Row],[YearMonth]])</f>
        <v>2</v>
      </c>
      <c r="C1631" s="9" t="s">
        <v>29</v>
      </c>
      <c r="D1631" s="14" t="s">
        <v>330</v>
      </c>
      <c r="E1631" s="14">
        <f>IF(Table13[[#This Row],[Quartile]]="TopQuartile", 1,
 IF(Table13[[#This Row],[Quartile]]="SecondQuartile", 2,
 IF(Table13[[#This Row],[Quartile]]="ThirdQuartile", 3,
 IF(Table13[[#This Row],[Quartile]]="FourthQuartile", 4, ""))))</f>
        <v>1</v>
      </c>
      <c r="F1631" s="9" t="s">
        <v>531</v>
      </c>
      <c r="G1631" s="9" t="str" cm="1">
        <f t="array" ref="G1631">IFERROR(
  INDEX(Table13[Quartile],
    MATCH(1,
      (Table13[[#This Row],[OrgName]]=Table13[OrgName]) *
      (Table13[[#This Row],[Month Number]]-1=Table13[Month Number]),
    0)
  ),
"")</f>
        <v>TopQuartile</v>
      </c>
      <c r="H1631" s="9">
        <f>IF(Table13[[#This Row],[Previous Quartile]]="TopQuartile", 1,
 IF(Table13[[#This Row],[Previous Quartile]]="SecondQuartile", 2,
 IF(Table13[[#This Row],[Previous Quartile]]="ThirdQuartile", 3,
 IF(Table13[[#This Row],[Previous Quartile]]="FourthQuartile", 4, ""))))</f>
        <v>1</v>
      </c>
      <c r="I1631" s="9" t="str">
        <f>IF(Table13[[#This Row],[Previous Quartile Value]]="", "",
   IF(Table13[[#This Row],[Quartile Value]] &lt; Table13[[#This Row],[Previous Quartile Value]], "Improved",
   IF(Table13[[#This Row],[Quartile Value]] &gt; Table13[[#This Row],[Previous Quartile Value]], "Dropped", "Same")))</f>
        <v>Same</v>
      </c>
      <c r="J1631" s="10" t="s">
        <v>14</v>
      </c>
      <c r="K1631" s="7" t="str">
        <f>VLOOKUP(J1631,Introduction!$B$6:$C$14,2)</f>
        <v>South West</v>
      </c>
      <c r="L1631" s="11">
        <v>843</v>
      </c>
      <c r="M1631" s="12" t="s">
        <v>530</v>
      </c>
    </row>
    <row r="1632" spans="1:13" ht="19.95" customHeight="1" x14ac:dyDescent="0.25">
      <c r="A1632" s="41">
        <v>45323</v>
      </c>
      <c r="B1632" s="47">
        <f>MONTH(Table13[[#This Row],[YearMonth]])</f>
        <v>2</v>
      </c>
      <c r="C1632" s="9" t="s">
        <v>65</v>
      </c>
      <c r="D1632" s="14" t="s">
        <v>330</v>
      </c>
      <c r="E1632" s="14">
        <f>IF(Table13[[#This Row],[Quartile]]="TopQuartile", 1,
 IF(Table13[[#This Row],[Quartile]]="SecondQuartile", 2,
 IF(Table13[[#This Row],[Quartile]]="ThirdQuartile", 3,
 IF(Table13[[#This Row],[Quartile]]="FourthQuartile", 4, ""))))</f>
        <v>1</v>
      </c>
      <c r="F1632" s="9" t="s">
        <v>538</v>
      </c>
      <c r="G1632" s="9" t="str" cm="1">
        <f t="array" ref="G1632">IFERROR(
  INDEX(Table13[Quartile],
    MATCH(1,
      (Table13[[#This Row],[OrgName]]=Table13[OrgName]) *
      (Table13[[#This Row],[Month Number]]-1=Table13[Month Number]),
    0)
  ),
"")</f>
        <v>TopQuartile</v>
      </c>
      <c r="H1632" s="9">
        <f>IF(Table13[[#This Row],[Previous Quartile]]="TopQuartile", 1,
 IF(Table13[[#This Row],[Previous Quartile]]="SecondQuartile", 2,
 IF(Table13[[#This Row],[Previous Quartile]]="ThirdQuartile", 3,
 IF(Table13[[#This Row],[Previous Quartile]]="FourthQuartile", 4, ""))))</f>
        <v>1</v>
      </c>
      <c r="I1632" s="9" t="str">
        <f>IF(Table13[[#This Row],[Previous Quartile Value]]="", "",
   IF(Table13[[#This Row],[Quartile Value]] &lt; Table13[[#This Row],[Previous Quartile Value]], "Improved",
   IF(Table13[[#This Row],[Quartile Value]] &gt; Table13[[#This Row],[Previous Quartile Value]], "Dropped", "Same")))</f>
        <v>Same</v>
      </c>
      <c r="J1632" s="10" t="s">
        <v>18</v>
      </c>
      <c r="K1632" s="7" t="str">
        <f>VLOOKUP(J1632,Introduction!$B$6:$C$14,2)</f>
        <v>Midlands</v>
      </c>
      <c r="L1632" s="11">
        <v>86</v>
      </c>
      <c r="M1632" s="12" t="s">
        <v>530</v>
      </c>
    </row>
    <row r="1633" spans="1:13" ht="19.95" customHeight="1" x14ac:dyDescent="0.25">
      <c r="A1633" s="41">
        <v>45323</v>
      </c>
      <c r="B1633" s="47">
        <f>MONTH(Table13[[#This Row],[YearMonth]])</f>
        <v>2</v>
      </c>
      <c r="C1633" s="9" t="s">
        <v>110</v>
      </c>
      <c r="D1633" s="14" t="s">
        <v>330</v>
      </c>
      <c r="E1633" s="14">
        <f>IF(Table13[[#This Row],[Quartile]]="TopQuartile", 1,
 IF(Table13[[#This Row],[Quartile]]="SecondQuartile", 2,
 IF(Table13[[#This Row],[Quartile]]="ThirdQuartile", 3,
 IF(Table13[[#This Row],[Quartile]]="FourthQuartile", 4, ""))))</f>
        <v>1</v>
      </c>
      <c r="F1633" s="9" t="s">
        <v>545</v>
      </c>
      <c r="G1633" s="9" t="str" cm="1">
        <f t="array" ref="G1633">IFERROR(
  INDEX(Table13[Quartile],
    MATCH(1,
      (Table13[[#This Row],[OrgName]]=Table13[OrgName]) *
      (Table13[[#This Row],[Month Number]]-1=Table13[Month Number]),
    0)
  ),
"")</f>
        <v>TopQuartile</v>
      </c>
      <c r="H1633" s="9">
        <f>IF(Table13[[#This Row],[Previous Quartile]]="TopQuartile", 1,
 IF(Table13[[#This Row],[Previous Quartile]]="SecondQuartile", 2,
 IF(Table13[[#This Row],[Previous Quartile]]="ThirdQuartile", 3,
 IF(Table13[[#This Row],[Previous Quartile]]="FourthQuartile", 4, ""))))</f>
        <v>1</v>
      </c>
      <c r="I1633" s="9" t="str">
        <f>IF(Table13[[#This Row],[Previous Quartile Value]]="", "",
   IF(Table13[[#This Row],[Quartile Value]] &lt; Table13[[#This Row],[Previous Quartile Value]], "Improved",
   IF(Table13[[#This Row],[Quartile Value]] &gt; Table13[[#This Row],[Previous Quartile Value]], "Dropped", "Same")))</f>
        <v>Same</v>
      </c>
      <c r="J1633" s="10" t="s">
        <v>16</v>
      </c>
      <c r="K1633" s="7" t="str">
        <f>VLOOKUP(J1633,Introduction!$B$6:$C$14,2)</f>
        <v>South East</v>
      </c>
      <c r="L1633" s="11">
        <v>104</v>
      </c>
      <c r="M1633" s="12" t="s">
        <v>530</v>
      </c>
    </row>
    <row r="1634" spans="1:13" ht="19.95" customHeight="1" x14ac:dyDescent="0.25">
      <c r="A1634" s="41">
        <v>45323</v>
      </c>
      <c r="B1634" s="47">
        <f>MONTH(Table13[[#This Row],[YearMonth]])</f>
        <v>2</v>
      </c>
      <c r="C1634" s="9" t="s">
        <v>124</v>
      </c>
      <c r="D1634" s="14" t="s">
        <v>330</v>
      </c>
      <c r="E1634" s="14">
        <f>IF(Table13[[#This Row],[Quartile]]="TopQuartile", 1,
 IF(Table13[[#This Row],[Quartile]]="SecondQuartile", 2,
 IF(Table13[[#This Row],[Quartile]]="ThirdQuartile", 3,
 IF(Table13[[#This Row],[Quartile]]="FourthQuartile", 4, ""))))</f>
        <v>1</v>
      </c>
      <c r="F1634" s="9" t="s">
        <v>547</v>
      </c>
      <c r="G1634" s="9" t="str" cm="1">
        <f t="array" ref="G1634">IFERROR(
  INDEX(Table13[Quartile],
    MATCH(1,
      (Table13[[#This Row],[OrgName]]=Table13[OrgName]) *
      (Table13[[#This Row],[Month Number]]-1=Table13[Month Number]),
    0)
  ),
"")</f>
        <v>SecondQuartile</v>
      </c>
      <c r="H1634" s="9">
        <f>IF(Table13[[#This Row],[Previous Quartile]]="TopQuartile", 1,
 IF(Table13[[#This Row],[Previous Quartile]]="SecondQuartile", 2,
 IF(Table13[[#This Row],[Previous Quartile]]="ThirdQuartile", 3,
 IF(Table13[[#This Row],[Previous Quartile]]="FourthQuartile", 4, ""))))</f>
        <v>2</v>
      </c>
      <c r="I1634" s="9" t="str">
        <f>IF(Table13[[#This Row],[Previous Quartile Value]]="", "",
   IF(Table13[[#This Row],[Quartile Value]] &lt; Table13[[#This Row],[Previous Quartile Value]], "Improved",
   IF(Table13[[#This Row],[Quartile Value]] &gt; Table13[[#This Row],[Previous Quartile Value]], "Dropped", "Same")))</f>
        <v>Improved</v>
      </c>
      <c r="J1634" s="10" t="s">
        <v>18</v>
      </c>
      <c r="K1634" s="7" t="str">
        <f>VLOOKUP(J1634,Introduction!$B$6:$C$14,2)</f>
        <v>Midlands</v>
      </c>
      <c r="L1634" s="11">
        <v>994</v>
      </c>
      <c r="M1634" s="12" t="s">
        <v>530</v>
      </c>
    </row>
    <row r="1635" spans="1:13" ht="19.95" customHeight="1" x14ac:dyDescent="0.25">
      <c r="A1635" s="41">
        <v>45323</v>
      </c>
      <c r="B1635" s="47">
        <f>MONTH(Table13[[#This Row],[YearMonth]])</f>
        <v>2</v>
      </c>
      <c r="C1635" s="9" t="s">
        <v>159</v>
      </c>
      <c r="D1635" s="14" t="s">
        <v>330</v>
      </c>
      <c r="E1635" s="14">
        <f>IF(Table13[[#This Row],[Quartile]]="TopQuartile", 1,
 IF(Table13[[#This Row],[Quartile]]="SecondQuartile", 2,
 IF(Table13[[#This Row],[Quartile]]="ThirdQuartile", 3,
 IF(Table13[[#This Row],[Quartile]]="FourthQuartile", 4, ""))))</f>
        <v>1</v>
      </c>
      <c r="F1635" s="9" t="s">
        <v>552</v>
      </c>
      <c r="G1635" s="9" t="str" cm="1">
        <f t="array" ref="G1635">IFERROR(
  INDEX(Table13[Quartile],
    MATCH(1,
      (Table13[[#This Row],[OrgName]]=Table13[OrgName]) *
      (Table13[[#This Row],[Month Number]]-1=Table13[Month Number]),
    0)
  ),
"")</f>
        <v>TopQuartile</v>
      </c>
      <c r="H1635" s="9">
        <f>IF(Table13[[#This Row],[Previous Quartile]]="TopQuartile", 1,
 IF(Table13[[#This Row],[Previous Quartile]]="SecondQuartile", 2,
 IF(Table13[[#This Row],[Previous Quartile]]="ThirdQuartile", 3,
 IF(Table13[[#This Row],[Previous Quartile]]="FourthQuartile", 4, ""))))</f>
        <v>1</v>
      </c>
      <c r="I1635" s="9" t="str">
        <f>IF(Table13[[#This Row],[Previous Quartile Value]]="", "",
   IF(Table13[[#This Row],[Quartile Value]] &lt; Table13[[#This Row],[Previous Quartile Value]], "Improved",
   IF(Table13[[#This Row],[Quartile Value]] &gt; Table13[[#This Row],[Previous Quartile Value]], "Dropped", "Same")))</f>
        <v>Same</v>
      </c>
      <c r="J1635" s="10" t="s">
        <v>20</v>
      </c>
      <c r="K1635" s="7" t="str">
        <f>VLOOKUP(J1635,Introduction!$B$6:$C$14,2)</f>
        <v>East of England</v>
      </c>
      <c r="L1635" s="11">
        <v>137</v>
      </c>
      <c r="M1635" s="12" t="s">
        <v>530</v>
      </c>
    </row>
    <row r="1636" spans="1:13" ht="19.95" customHeight="1" x14ac:dyDescent="0.25">
      <c r="A1636" s="41">
        <v>45323</v>
      </c>
      <c r="B1636" s="47">
        <f>MONTH(Table13[[#This Row],[YearMonth]])</f>
        <v>2</v>
      </c>
      <c r="C1636" s="9" t="s">
        <v>131</v>
      </c>
      <c r="D1636" s="14" t="s">
        <v>338</v>
      </c>
      <c r="E1636" s="14">
        <f>IF(Table13[[#This Row],[Quartile]]="TopQuartile", 1,
 IF(Table13[[#This Row],[Quartile]]="SecondQuartile", 2,
 IF(Table13[[#This Row],[Quartile]]="ThirdQuartile", 3,
 IF(Table13[[#This Row],[Quartile]]="FourthQuartile", 4, ""))))</f>
        <v>2</v>
      </c>
      <c r="F1636" s="9" t="s">
        <v>549</v>
      </c>
      <c r="G1636" s="9" t="str" cm="1">
        <f t="array" ref="G1636">IFERROR(
  INDEX(Table13[Quartile],
    MATCH(1,
      (Table13[[#This Row],[OrgName]]=Table13[OrgName]) *
      (Table13[[#This Row],[Month Number]]-1=Table13[Month Number]),
    0)
  ),
"")</f>
        <v>SecondQuartile</v>
      </c>
      <c r="H1636" s="9">
        <f>IF(Table13[[#This Row],[Previous Quartile]]="TopQuartile", 1,
 IF(Table13[[#This Row],[Previous Quartile]]="SecondQuartile", 2,
 IF(Table13[[#This Row],[Previous Quartile]]="ThirdQuartile", 3,
 IF(Table13[[#This Row],[Previous Quartile]]="FourthQuartile", 4, ""))))</f>
        <v>2</v>
      </c>
      <c r="I1636" s="9" t="str">
        <f>IF(Table13[[#This Row],[Previous Quartile Value]]="", "",
   IF(Table13[[#This Row],[Quartile Value]] &lt; Table13[[#This Row],[Previous Quartile Value]], "Improved",
   IF(Table13[[#This Row],[Quartile Value]] &gt; Table13[[#This Row],[Previous Quartile Value]], "Dropped", "Same")))</f>
        <v>Same</v>
      </c>
      <c r="J1636" s="10" t="s">
        <v>18</v>
      </c>
      <c r="K1636" s="7" t="str">
        <f>VLOOKUP(J1636,Introduction!$B$6:$C$14,2)</f>
        <v>Midlands</v>
      </c>
      <c r="L1636" s="11">
        <v>105</v>
      </c>
      <c r="M1636" s="12" t="s">
        <v>530</v>
      </c>
    </row>
    <row r="1637" spans="1:13" ht="19.95" customHeight="1" x14ac:dyDescent="0.25">
      <c r="A1637" s="41">
        <v>45323</v>
      </c>
      <c r="B1637" s="47">
        <f>MONTH(Table13[[#This Row],[YearMonth]])</f>
        <v>2</v>
      </c>
      <c r="C1637" s="9" t="s">
        <v>126</v>
      </c>
      <c r="D1637" s="14" t="s">
        <v>338</v>
      </c>
      <c r="E1637" s="14">
        <f>IF(Table13[[#This Row],[Quartile]]="TopQuartile", 1,
 IF(Table13[[#This Row],[Quartile]]="SecondQuartile", 2,
 IF(Table13[[#This Row],[Quartile]]="ThirdQuartile", 3,
 IF(Table13[[#This Row],[Quartile]]="FourthQuartile", 4, ""))))</f>
        <v>2</v>
      </c>
      <c r="F1637" s="9" t="s">
        <v>548</v>
      </c>
      <c r="G1637" s="9" t="str" cm="1">
        <f t="array" ref="G1637">IFERROR(
  INDEX(Table13[Quartile],
    MATCH(1,
      (Table13[[#This Row],[OrgName]]=Table13[OrgName]) *
      (Table13[[#This Row],[Month Number]]-1=Table13[Month Number]),
    0)
  ),
"")</f>
        <v>SecondQuartile</v>
      </c>
      <c r="H1637" s="9">
        <f>IF(Table13[[#This Row],[Previous Quartile]]="TopQuartile", 1,
 IF(Table13[[#This Row],[Previous Quartile]]="SecondQuartile", 2,
 IF(Table13[[#This Row],[Previous Quartile]]="ThirdQuartile", 3,
 IF(Table13[[#This Row],[Previous Quartile]]="FourthQuartile", 4, ""))))</f>
        <v>2</v>
      </c>
      <c r="I1637" s="9" t="str">
        <f>IF(Table13[[#This Row],[Previous Quartile Value]]="", "",
   IF(Table13[[#This Row],[Quartile Value]] &lt; Table13[[#This Row],[Previous Quartile Value]], "Improved",
   IF(Table13[[#This Row],[Quartile Value]] &gt; Table13[[#This Row],[Previous Quartile Value]], "Dropped", "Same")))</f>
        <v>Same</v>
      </c>
      <c r="J1637" s="10" t="s">
        <v>12</v>
      </c>
      <c r="K1637" s="7" t="str">
        <f>VLOOKUP(J1637,Introduction!$B$6:$C$14,2)</f>
        <v>London</v>
      </c>
      <c r="L1637" s="11">
        <v>487</v>
      </c>
      <c r="M1637" s="12" t="s">
        <v>530</v>
      </c>
    </row>
    <row r="1638" spans="1:13" ht="19.95" customHeight="1" x14ac:dyDescent="0.25">
      <c r="A1638" s="41">
        <v>45323</v>
      </c>
      <c r="B1638" s="47">
        <f>MONTH(Table13[[#This Row],[YearMonth]])</f>
        <v>2</v>
      </c>
      <c r="C1638" s="9" t="s">
        <v>64</v>
      </c>
      <c r="D1638" s="14" t="s">
        <v>338</v>
      </c>
      <c r="E1638" s="14">
        <f>IF(Table13[[#This Row],[Quartile]]="TopQuartile", 1,
 IF(Table13[[#This Row],[Quartile]]="SecondQuartile", 2,
 IF(Table13[[#This Row],[Quartile]]="ThirdQuartile", 3,
 IF(Table13[[#This Row],[Quartile]]="FourthQuartile", 4, ""))))</f>
        <v>2</v>
      </c>
      <c r="F1638" s="9" t="s">
        <v>537</v>
      </c>
      <c r="G1638" s="9" t="str" cm="1">
        <f t="array" ref="G1638">IFERROR(
  INDEX(Table13[Quartile],
    MATCH(1,
      (Table13[[#This Row],[OrgName]]=Table13[OrgName]) *
      (Table13[[#This Row],[Month Number]]-1=Table13[Month Number]),
    0)
  ),
"")</f>
        <v>SecondQuartile</v>
      </c>
      <c r="H1638" s="9">
        <f>IF(Table13[[#This Row],[Previous Quartile]]="TopQuartile", 1,
 IF(Table13[[#This Row],[Previous Quartile]]="SecondQuartile", 2,
 IF(Table13[[#This Row],[Previous Quartile]]="ThirdQuartile", 3,
 IF(Table13[[#This Row],[Previous Quartile]]="FourthQuartile", 4, ""))))</f>
        <v>2</v>
      </c>
      <c r="I1638" s="9" t="str">
        <f>IF(Table13[[#This Row],[Previous Quartile Value]]="", "",
   IF(Table13[[#This Row],[Quartile Value]] &lt; Table13[[#This Row],[Previous Quartile Value]], "Improved",
   IF(Table13[[#This Row],[Quartile Value]] &gt; Table13[[#This Row],[Previous Quartile Value]], "Dropped", "Same")))</f>
        <v>Same</v>
      </c>
      <c r="J1638" s="10" t="s">
        <v>20</v>
      </c>
      <c r="K1638" s="7" t="str">
        <f>VLOOKUP(J1638,Introduction!$B$6:$C$14,2)</f>
        <v>East of England</v>
      </c>
      <c r="L1638" s="11">
        <v>465</v>
      </c>
      <c r="M1638" s="12" t="s">
        <v>530</v>
      </c>
    </row>
    <row r="1639" spans="1:13" ht="19.95" customHeight="1" x14ac:dyDescent="0.25">
      <c r="A1639" s="41">
        <v>45323</v>
      </c>
      <c r="B1639" s="47">
        <f>MONTH(Table13[[#This Row],[YearMonth]])</f>
        <v>2</v>
      </c>
      <c r="C1639" s="9" t="s">
        <v>93</v>
      </c>
      <c r="D1639" s="14" t="s">
        <v>338</v>
      </c>
      <c r="E1639" s="14">
        <f>IF(Table13[[#This Row],[Quartile]]="TopQuartile", 1,
 IF(Table13[[#This Row],[Quartile]]="SecondQuartile", 2,
 IF(Table13[[#This Row],[Quartile]]="ThirdQuartile", 3,
 IF(Table13[[#This Row],[Quartile]]="FourthQuartile", 4, ""))))</f>
        <v>2</v>
      </c>
      <c r="F1639" s="9" t="s">
        <v>543</v>
      </c>
      <c r="G1639" s="9" t="str" cm="1">
        <f t="array" ref="G1639">IFERROR(
  INDEX(Table13[Quartile],
    MATCH(1,
      (Table13[[#This Row],[OrgName]]=Table13[OrgName]) *
      (Table13[[#This Row],[Month Number]]-1=Table13[Month Number]),
    0)
  ),
"")</f>
        <v>ThirdQuartile</v>
      </c>
      <c r="H1639" s="9">
        <f>IF(Table13[[#This Row],[Previous Quartile]]="TopQuartile", 1,
 IF(Table13[[#This Row],[Previous Quartile]]="SecondQuartile", 2,
 IF(Table13[[#This Row],[Previous Quartile]]="ThirdQuartile", 3,
 IF(Table13[[#This Row],[Previous Quartile]]="FourthQuartile", 4, ""))))</f>
        <v>3</v>
      </c>
      <c r="I1639" s="9" t="str">
        <f>IF(Table13[[#This Row],[Previous Quartile Value]]="", "",
   IF(Table13[[#This Row],[Quartile Value]] &lt; Table13[[#This Row],[Previous Quartile Value]], "Improved",
   IF(Table13[[#This Row],[Quartile Value]] &gt; Table13[[#This Row],[Previous Quartile Value]], "Dropped", "Same")))</f>
        <v>Improved</v>
      </c>
      <c r="J1639" s="10" t="s">
        <v>16</v>
      </c>
      <c r="K1639" s="7" t="str">
        <f>VLOOKUP(J1639,Introduction!$B$6:$C$14,2)</f>
        <v>South East</v>
      </c>
      <c r="L1639" s="11">
        <v>495</v>
      </c>
      <c r="M1639" s="12" t="s">
        <v>530</v>
      </c>
    </row>
    <row r="1640" spans="1:13" ht="19.95" customHeight="1" x14ac:dyDescent="0.25">
      <c r="A1640" s="41">
        <v>45323</v>
      </c>
      <c r="B1640" s="47">
        <f>MONTH(Table13[[#This Row],[YearMonth]])</f>
        <v>2</v>
      </c>
      <c r="C1640" s="9" t="s">
        <v>162</v>
      </c>
      <c r="D1640" s="14" t="s">
        <v>338</v>
      </c>
      <c r="E1640" s="14">
        <f>IF(Table13[[#This Row],[Quartile]]="TopQuartile", 1,
 IF(Table13[[#This Row],[Quartile]]="SecondQuartile", 2,
 IF(Table13[[#This Row],[Quartile]]="ThirdQuartile", 3,
 IF(Table13[[#This Row],[Quartile]]="FourthQuartile", 4, ""))))</f>
        <v>2</v>
      </c>
      <c r="F1640" s="9" t="s">
        <v>553</v>
      </c>
      <c r="G1640" s="9" t="str" cm="1">
        <f t="array" ref="G1640">IFERROR(
  INDEX(Table13[Quartile],
    MATCH(1,
      (Table13[[#This Row],[OrgName]]=Table13[OrgName]) *
      (Table13[[#This Row],[Month Number]]-1=Table13[Month Number]),
    0)
  ),
"")</f>
        <v>SecondQuartile</v>
      </c>
      <c r="H1640" s="9">
        <f>IF(Table13[[#This Row],[Previous Quartile]]="TopQuartile", 1,
 IF(Table13[[#This Row],[Previous Quartile]]="SecondQuartile", 2,
 IF(Table13[[#This Row],[Previous Quartile]]="ThirdQuartile", 3,
 IF(Table13[[#This Row],[Previous Quartile]]="FourthQuartile", 4, ""))))</f>
        <v>2</v>
      </c>
      <c r="I1640" s="9" t="str">
        <f>IF(Table13[[#This Row],[Previous Quartile Value]]="", "",
   IF(Table13[[#This Row],[Quartile Value]] &lt; Table13[[#This Row],[Previous Quartile Value]], "Improved",
   IF(Table13[[#This Row],[Quartile Value]] &gt; Table13[[#This Row],[Previous Quartile Value]], "Dropped", "Same")))</f>
        <v>Same</v>
      </c>
      <c r="J1640" s="10" t="s">
        <v>14</v>
      </c>
      <c r="K1640" s="7" t="str">
        <f>VLOOKUP(J1640,Introduction!$B$6:$C$14,2)</f>
        <v>South West</v>
      </c>
      <c r="L1640" s="11">
        <v>471</v>
      </c>
      <c r="M1640" s="12" t="s">
        <v>530</v>
      </c>
    </row>
    <row r="1641" spans="1:13" ht="19.95" customHeight="1" x14ac:dyDescent="0.25">
      <c r="A1641" s="41">
        <v>45323</v>
      </c>
      <c r="B1641" s="47">
        <f>MONTH(Table13[[#This Row],[YearMonth]])</f>
        <v>2</v>
      </c>
      <c r="C1641" s="9" t="s">
        <v>139</v>
      </c>
      <c r="D1641" s="14" t="s">
        <v>338</v>
      </c>
      <c r="E1641" s="14">
        <f>IF(Table13[[#This Row],[Quartile]]="TopQuartile", 1,
 IF(Table13[[#This Row],[Quartile]]="SecondQuartile", 2,
 IF(Table13[[#This Row],[Quartile]]="ThirdQuartile", 3,
 IF(Table13[[#This Row],[Quartile]]="FourthQuartile", 4, ""))))</f>
        <v>2</v>
      </c>
      <c r="F1641" s="9" t="s">
        <v>550</v>
      </c>
      <c r="G1641" s="9" t="str" cm="1">
        <f t="array" ref="G1641">IFERROR(
  INDEX(Table13[Quartile],
    MATCH(1,
      (Table13[[#This Row],[OrgName]]=Table13[OrgName]) *
      (Table13[[#This Row],[Month Number]]-1=Table13[Month Number]),
    0)
  ),
"")</f>
        <v>SecondQuartile</v>
      </c>
      <c r="H1641" s="9">
        <f>IF(Table13[[#This Row],[Previous Quartile]]="TopQuartile", 1,
 IF(Table13[[#This Row],[Previous Quartile]]="SecondQuartile", 2,
 IF(Table13[[#This Row],[Previous Quartile]]="ThirdQuartile", 3,
 IF(Table13[[#This Row],[Previous Quartile]]="FourthQuartile", 4, ""))))</f>
        <v>2</v>
      </c>
      <c r="I1641" s="9" t="str">
        <f>IF(Table13[[#This Row],[Previous Quartile Value]]="", "",
   IF(Table13[[#This Row],[Quartile Value]] &lt; Table13[[#This Row],[Previous Quartile Value]], "Improved",
   IF(Table13[[#This Row],[Quartile Value]] &gt; Table13[[#This Row],[Previous Quartile Value]], "Dropped", "Same")))</f>
        <v>Same</v>
      </c>
      <c r="J1641" s="10" t="s">
        <v>18</v>
      </c>
      <c r="K1641" s="7" t="str">
        <f>VLOOKUP(J1641,Introduction!$B$6:$C$14,2)</f>
        <v>Midlands</v>
      </c>
      <c r="L1641" s="11">
        <v>529</v>
      </c>
      <c r="M1641" s="12" t="s">
        <v>530</v>
      </c>
    </row>
    <row r="1642" spans="1:13" ht="19.95" customHeight="1" x14ac:dyDescent="0.25">
      <c r="A1642" s="41">
        <v>45323</v>
      </c>
      <c r="B1642" s="47">
        <f>MONTH(Table13[[#This Row],[YearMonth]])</f>
        <v>2</v>
      </c>
      <c r="C1642" s="9" t="s">
        <v>100</v>
      </c>
      <c r="D1642" s="14" t="s">
        <v>338</v>
      </c>
      <c r="E1642" s="14">
        <f>IF(Table13[[#This Row],[Quartile]]="TopQuartile", 1,
 IF(Table13[[#This Row],[Quartile]]="SecondQuartile", 2,
 IF(Table13[[#This Row],[Quartile]]="ThirdQuartile", 3,
 IF(Table13[[#This Row],[Quartile]]="FourthQuartile", 4, ""))))</f>
        <v>2</v>
      </c>
      <c r="F1642" s="9" t="s">
        <v>544</v>
      </c>
      <c r="G1642" s="9" t="str" cm="1">
        <f t="array" ref="G1642">IFERROR(
  INDEX(Table13[Quartile],
    MATCH(1,
      (Table13[[#This Row],[OrgName]]=Table13[OrgName]) *
      (Table13[[#This Row],[Month Number]]-1=Table13[Month Number]),
    0)
  ),
"")</f>
        <v>SecondQuartile</v>
      </c>
      <c r="H1642" s="9">
        <f>IF(Table13[[#This Row],[Previous Quartile]]="TopQuartile", 1,
 IF(Table13[[#This Row],[Previous Quartile]]="SecondQuartile", 2,
 IF(Table13[[#This Row],[Previous Quartile]]="ThirdQuartile", 3,
 IF(Table13[[#This Row],[Previous Quartile]]="FourthQuartile", 4, ""))))</f>
        <v>2</v>
      </c>
      <c r="I1642" s="9" t="str">
        <f>IF(Table13[[#This Row],[Previous Quartile Value]]="", "",
   IF(Table13[[#This Row],[Quartile Value]] &lt; Table13[[#This Row],[Previous Quartile Value]], "Improved",
   IF(Table13[[#This Row],[Quartile Value]] &gt; Table13[[#This Row],[Previous Quartile Value]], "Dropped", "Same")))</f>
        <v>Same</v>
      </c>
      <c r="J1642" s="10" t="s">
        <v>24</v>
      </c>
      <c r="K1642" s="7" t="str">
        <f>VLOOKUP(J1642,Introduction!$B$6:$C$14,2)</f>
        <v>North East and Yorkshire</v>
      </c>
      <c r="L1642" s="11">
        <v>133</v>
      </c>
      <c r="M1642" s="12" t="s">
        <v>530</v>
      </c>
    </row>
    <row r="1643" spans="1:13" ht="19.95" customHeight="1" x14ac:dyDescent="0.25">
      <c r="A1643" s="41">
        <v>45323</v>
      </c>
      <c r="B1643" s="47">
        <f>MONTH(Table13[[#This Row],[YearMonth]])</f>
        <v>2</v>
      </c>
      <c r="C1643" s="9" t="s">
        <v>166</v>
      </c>
      <c r="D1643" s="14" t="s">
        <v>338</v>
      </c>
      <c r="E1643" s="14">
        <f>IF(Table13[[#This Row],[Quartile]]="TopQuartile", 1,
 IF(Table13[[#This Row],[Quartile]]="SecondQuartile", 2,
 IF(Table13[[#This Row],[Quartile]]="ThirdQuartile", 3,
 IF(Table13[[#This Row],[Quartile]]="FourthQuartile", 4, ""))))</f>
        <v>2</v>
      </c>
      <c r="F1643" s="9" t="s">
        <v>554</v>
      </c>
      <c r="G1643" s="9" t="str" cm="1">
        <f t="array" ref="G1643">IFERROR(
  INDEX(Table13[Quartile],
    MATCH(1,
      (Table13[[#This Row],[OrgName]]=Table13[OrgName]) *
      (Table13[[#This Row],[Month Number]]-1=Table13[Month Number]),
    0)
  ),
"")</f>
        <v>SecondQuartile</v>
      </c>
      <c r="H1643" s="9">
        <f>IF(Table13[[#This Row],[Previous Quartile]]="TopQuartile", 1,
 IF(Table13[[#This Row],[Previous Quartile]]="SecondQuartile", 2,
 IF(Table13[[#This Row],[Previous Quartile]]="ThirdQuartile", 3,
 IF(Table13[[#This Row],[Previous Quartile]]="FourthQuartile", 4, ""))))</f>
        <v>2</v>
      </c>
      <c r="I1643" s="9" t="str">
        <f>IF(Table13[[#This Row],[Previous Quartile Value]]="", "",
   IF(Table13[[#This Row],[Quartile Value]] &lt; Table13[[#This Row],[Previous Quartile Value]], "Improved",
   IF(Table13[[#This Row],[Quartile Value]] &gt; Table13[[#This Row],[Previous Quartile Value]], "Dropped", "Same")))</f>
        <v>Same</v>
      </c>
      <c r="J1643" s="10" t="s">
        <v>18</v>
      </c>
      <c r="K1643" s="7" t="str">
        <f>VLOOKUP(J1643,Introduction!$B$6:$C$14,2)</f>
        <v>Midlands</v>
      </c>
      <c r="L1643" s="11">
        <v>996</v>
      </c>
      <c r="M1643" s="12" t="s">
        <v>530</v>
      </c>
    </row>
    <row r="1644" spans="1:13" ht="19.95" customHeight="1" x14ac:dyDescent="0.25">
      <c r="A1644" s="41">
        <v>45323</v>
      </c>
      <c r="B1644" s="47">
        <f>MONTH(Table13[[#This Row],[YearMonth]])</f>
        <v>2</v>
      </c>
      <c r="C1644" s="9" t="s">
        <v>115</v>
      </c>
      <c r="D1644" s="14" t="s">
        <v>341</v>
      </c>
      <c r="E1644" s="14">
        <f>IF(Table13[[#This Row],[Quartile]]="TopQuartile", 1,
 IF(Table13[[#This Row],[Quartile]]="SecondQuartile", 2,
 IF(Table13[[#This Row],[Quartile]]="ThirdQuartile", 3,
 IF(Table13[[#This Row],[Quartile]]="FourthQuartile", 4, ""))))</f>
        <v>3</v>
      </c>
      <c r="F1644" s="9" t="s">
        <v>546</v>
      </c>
      <c r="G1644" s="9" t="str" cm="1">
        <f t="array" ref="G1644">IFERROR(
  INDEX(Table13[Quartile],
    MATCH(1,
      (Table13[[#This Row],[OrgName]]=Table13[OrgName]) *
      (Table13[[#This Row],[Month Number]]-1=Table13[Month Number]),
    0)
  ),
"")</f>
        <v>ThirdQuartile</v>
      </c>
      <c r="H1644" s="9">
        <f>IF(Table13[[#This Row],[Previous Quartile]]="TopQuartile", 1,
 IF(Table13[[#This Row],[Previous Quartile]]="SecondQuartile", 2,
 IF(Table13[[#This Row],[Previous Quartile]]="ThirdQuartile", 3,
 IF(Table13[[#This Row],[Previous Quartile]]="FourthQuartile", 4, ""))))</f>
        <v>3</v>
      </c>
      <c r="I1644" s="9" t="str">
        <f>IF(Table13[[#This Row],[Previous Quartile Value]]="", "",
   IF(Table13[[#This Row],[Quartile Value]] &lt; Table13[[#This Row],[Previous Quartile Value]], "Improved",
   IF(Table13[[#This Row],[Quartile Value]] &gt; Table13[[#This Row],[Previous Quartile Value]], "Dropped", "Same")))</f>
        <v>Same</v>
      </c>
      <c r="J1644" s="10" t="s">
        <v>18</v>
      </c>
      <c r="K1644" s="7" t="str">
        <f>VLOOKUP(J1644,Introduction!$B$6:$C$14,2)</f>
        <v>Midlands</v>
      </c>
      <c r="L1644" s="11">
        <v>942</v>
      </c>
      <c r="M1644" s="12" t="s">
        <v>530</v>
      </c>
    </row>
    <row r="1645" spans="1:13" ht="19.95" customHeight="1" x14ac:dyDescent="0.25">
      <c r="A1645" s="41">
        <v>45323</v>
      </c>
      <c r="B1645" s="47">
        <f>MONTH(Table13[[#This Row],[YearMonth]])</f>
        <v>2</v>
      </c>
      <c r="C1645" s="9" t="s">
        <v>231</v>
      </c>
      <c r="D1645" s="14" t="s">
        <v>341</v>
      </c>
      <c r="E1645" s="14">
        <f>IF(Table13[[#This Row],[Quartile]]="TopQuartile", 1,
 IF(Table13[[#This Row],[Quartile]]="SecondQuartile", 2,
 IF(Table13[[#This Row],[Quartile]]="ThirdQuartile", 3,
 IF(Table13[[#This Row],[Quartile]]="FourthQuartile", 4, ""))))</f>
        <v>3</v>
      </c>
      <c r="F1645" s="9" t="s">
        <v>558</v>
      </c>
      <c r="G1645" s="9" t="str" cm="1">
        <f t="array" ref="G1645">IFERROR(
  INDEX(Table13[Quartile],
    MATCH(1,
      (Table13[[#This Row],[OrgName]]=Table13[OrgName]) *
      (Table13[[#This Row],[Month Number]]-1=Table13[Month Number]),
    0)
  ),
"")</f>
        <v>ThirdQuartile</v>
      </c>
      <c r="H1645" s="9">
        <f>IF(Table13[[#This Row],[Previous Quartile]]="TopQuartile", 1,
 IF(Table13[[#This Row],[Previous Quartile]]="SecondQuartile", 2,
 IF(Table13[[#This Row],[Previous Quartile]]="ThirdQuartile", 3,
 IF(Table13[[#This Row],[Previous Quartile]]="FourthQuartile", 4, ""))))</f>
        <v>3</v>
      </c>
      <c r="I1645" s="9" t="str">
        <f>IF(Table13[[#This Row],[Previous Quartile Value]]="", "",
   IF(Table13[[#This Row],[Quartile Value]] &lt; Table13[[#This Row],[Previous Quartile Value]], "Improved",
   IF(Table13[[#This Row],[Quartile Value]] &gt; Table13[[#This Row],[Previous Quartile Value]], "Dropped", "Same")))</f>
        <v>Same</v>
      </c>
      <c r="J1645" s="10" t="s">
        <v>12</v>
      </c>
      <c r="K1645" s="7" t="str">
        <f>VLOOKUP(J1645,Introduction!$B$6:$C$14,2)</f>
        <v>London</v>
      </c>
      <c r="L1645" s="11">
        <v>491</v>
      </c>
      <c r="M1645" s="12" t="s">
        <v>530</v>
      </c>
    </row>
    <row r="1646" spans="1:13" ht="19.95" customHeight="1" x14ac:dyDescent="0.25">
      <c r="A1646" s="41">
        <v>45323</v>
      </c>
      <c r="B1646" s="47">
        <f>MONTH(Table13[[#This Row],[YearMonth]])</f>
        <v>2</v>
      </c>
      <c r="C1646" s="9" t="s">
        <v>216</v>
      </c>
      <c r="D1646" s="14" t="s">
        <v>341</v>
      </c>
      <c r="E1646" s="14">
        <f>IF(Table13[[#This Row],[Quartile]]="TopQuartile", 1,
 IF(Table13[[#This Row],[Quartile]]="SecondQuartile", 2,
 IF(Table13[[#This Row],[Quartile]]="ThirdQuartile", 3,
 IF(Table13[[#This Row],[Quartile]]="FourthQuartile", 4, ""))))</f>
        <v>3</v>
      </c>
      <c r="F1646" s="9" t="s">
        <v>556</v>
      </c>
      <c r="G1646" s="9" t="str" cm="1">
        <f t="array" ref="G1646">IFERROR(
  INDEX(Table13[Quartile],
    MATCH(1,
      (Table13[[#This Row],[OrgName]]=Table13[OrgName]) *
      (Table13[[#This Row],[Month Number]]-1=Table13[Month Number]),
    0)
  ),
"")</f>
        <v>ThirdQuartile</v>
      </c>
      <c r="H1646" s="9">
        <f>IF(Table13[[#This Row],[Previous Quartile]]="TopQuartile", 1,
 IF(Table13[[#This Row],[Previous Quartile]]="SecondQuartile", 2,
 IF(Table13[[#This Row],[Previous Quartile]]="ThirdQuartile", 3,
 IF(Table13[[#This Row],[Previous Quartile]]="FourthQuartile", 4, ""))))</f>
        <v>3</v>
      </c>
      <c r="I1646" s="9" t="str">
        <f>IF(Table13[[#This Row],[Previous Quartile Value]]="", "",
   IF(Table13[[#This Row],[Quartile Value]] &lt; Table13[[#This Row],[Previous Quartile Value]], "Improved",
   IF(Table13[[#This Row],[Quartile Value]] &gt; Table13[[#This Row],[Previous Quartile Value]], "Dropped", "Same")))</f>
        <v>Same</v>
      </c>
      <c r="J1646" s="10" t="s">
        <v>12</v>
      </c>
      <c r="K1646" s="7" t="str">
        <f>VLOOKUP(J1646,Introduction!$B$6:$C$14,2)</f>
        <v>London</v>
      </c>
      <c r="L1646" s="11">
        <v>985</v>
      </c>
      <c r="M1646" s="12" t="s">
        <v>530</v>
      </c>
    </row>
    <row r="1647" spans="1:13" ht="19.95" customHeight="1" x14ac:dyDescent="0.25">
      <c r="A1647" s="41">
        <v>45323</v>
      </c>
      <c r="B1647" s="47">
        <f>MONTH(Table13[[#This Row],[YearMonth]])</f>
        <v>2</v>
      </c>
      <c r="C1647" s="9" t="s">
        <v>151</v>
      </c>
      <c r="D1647" s="14" t="s">
        <v>341</v>
      </c>
      <c r="E1647" s="14">
        <f>IF(Table13[[#This Row],[Quartile]]="TopQuartile", 1,
 IF(Table13[[#This Row],[Quartile]]="SecondQuartile", 2,
 IF(Table13[[#This Row],[Quartile]]="ThirdQuartile", 3,
 IF(Table13[[#This Row],[Quartile]]="FourthQuartile", 4, ""))))</f>
        <v>3</v>
      </c>
      <c r="F1647" s="9" t="s">
        <v>551</v>
      </c>
      <c r="G1647" s="9" t="str" cm="1">
        <f t="array" ref="G1647">IFERROR(
  INDEX(Table13[Quartile],
    MATCH(1,
      (Table13[[#This Row],[OrgName]]=Table13[OrgName]) *
      (Table13[[#This Row],[Month Number]]-1=Table13[Month Number]),
    0)
  ),
"")</f>
        <v>ThirdQuartile</v>
      </c>
      <c r="H1647" s="9">
        <f>IF(Table13[[#This Row],[Previous Quartile]]="TopQuartile", 1,
 IF(Table13[[#This Row],[Previous Quartile]]="SecondQuartile", 2,
 IF(Table13[[#This Row],[Previous Quartile]]="ThirdQuartile", 3,
 IF(Table13[[#This Row],[Previous Quartile]]="FourthQuartile", 4, ""))))</f>
        <v>3</v>
      </c>
      <c r="I1647" s="9" t="str">
        <f>IF(Table13[[#This Row],[Previous Quartile Value]]="", "",
   IF(Table13[[#This Row],[Quartile Value]] &lt; Table13[[#This Row],[Previous Quartile Value]], "Improved",
   IF(Table13[[#This Row],[Quartile Value]] &gt; Table13[[#This Row],[Previous Quartile Value]], "Dropped", "Same")))</f>
        <v>Same</v>
      </c>
      <c r="J1647" s="10" t="s">
        <v>18</v>
      </c>
      <c r="K1647" s="7" t="str">
        <f>VLOOKUP(J1647,Introduction!$B$6:$C$14,2)</f>
        <v>Midlands</v>
      </c>
      <c r="L1647" s="11">
        <v>111</v>
      </c>
      <c r="M1647" s="12" t="s">
        <v>530</v>
      </c>
    </row>
    <row r="1648" spans="1:13" ht="19.95" customHeight="1" x14ac:dyDescent="0.25">
      <c r="A1648" s="41">
        <v>45323</v>
      </c>
      <c r="B1648" s="47">
        <f>MONTH(Table13[[#This Row],[YearMonth]])</f>
        <v>2</v>
      </c>
      <c r="C1648" s="9" t="s">
        <v>206</v>
      </c>
      <c r="D1648" s="14" t="s">
        <v>341</v>
      </c>
      <c r="E1648" s="14">
        <f>IF(Table13[[#This Row],[Quartile]]="TopQuartile", 1,
 IF(Table13[[#This Row],[Quartile]]="SecondQuartile", 2,
 IF(Table13[[#This Row],[Quartile]]="ThirdQuartile", 3,
 IF(Table13[[#This Row],[Quartile]]="FourthQuartile", 4, ""))))</f>
        <v>3</v>
      </c>
      <c r="F1648" s="9" t="s">
        <v>555</v>
      </c>
      <c r="G1648" s="9" t="str" cm="1">
        <f t="array" ref="G1648">IFERROR(
  INDEX(Table13[Quartile],
    MATCH(1,
      (Table13[[#This Row],[OrgName]]=Table13[OrgName]) *
      (Table13[[#This Row],[Month Number]]-1=Table13[Month Number]),
    0)
  ),
"")</f>
        <v>ThirdQuartile</v>
      </c>
      <c r="H1648" s="9">
        <f>IF(Table13[[#This Row],[Previous Quartile]]="TopQuartile", 1,
 IF(Table13[[#This Row],[Previous Quartile]]="SecondQuartile", 2,
 IF(Table13[[#This Row],[Previous Quartile]]="ThirdQuartile", 3,
 IF(Table13[[#This Row],[Previous Quartile]]="FourthQuartile", 4, ""))))</f>
        <v>3</v>
      </c>
      <c r="I1648" s="9" t="str">
        <f>IF(Table13[[#This Row],[Previous Quartile Value]]="", "",
   IF(Table13[[#This Row],[Quartile Value]] &lt; Table13[[#This Row],[Previous Quartile Value]], "Improved",
   IF(Table13[[#This Row],[Quartile Value]] &gt; Table13[[#This Row],[Previous Quartile Value]], "Dropped", "Same")))</f>
        <v>Same</v>
      </c>
      <c r="J1648" s="10" t="s">
        <v>12</v>
      </c>
      <c r="K1648" s="7" t="str">
        <f>VLOOKUP(J1648,Introduction!$B$6:$C$14,2)</f>
        <v>London</v>
      </c>
      <c r="L1648" s="11">
        <v>807</v>
      </c>
      <c r="M1648" s="12" t="s">
        <v>530</v>
      </c>
    </row>
    <row r="1649" spans="1:13" ht="19.95" customHeight="1" x14ac:dyDescent="0.25">
      <c r="A1649" s="41">
        <v>45323</v>
      </c>
      <c r="B1649" s="47">
        <f>MONTH(Table13[[#This Row],[YearMonth]])</f>
        <v>2</v>
      </c>
      <c r="C1649" s="9" t="s">
        <v>272</v>
      </c>
      <c r="D1649" s="14" t="s">
        <v>341</v>
      </c>
      <c r="E1649" s="14">
        <f>IF(Table13[[#This Row],[Quartile]]="TopQuartile", 1,
 IF(Table13[[#This Row],[Quartile]]="SecondQuartile", 2,
 IF(Table13[[#This Row],[Quartile]]="ThirdQuartile", 3,
 IF(Table13[[#This Row],[Quartile]]="FourthQuartile", 4, ""))))</f>
        <v>3</v>
      </c>
      <c r="F1649" s="9" t="s">
        <v>564</v>
      </c>
      <c r="G1649" s="9" t="str" cm="1">
        <f t="array" ref="G1649">IFERROR(
  INDEX(Table13[Quartile],
    MATCH(1,
      (Table13[[#This Row],[OrgName]]=Table13[OrgName]) *
      (Table13[[#This Row],[Month Number]]-1=Table13[Month Number]),
    0)
  ),
"")</f>
        <v>TopQuartile</v>
      </c>
      <c r="H1649" s="9">
        <f>IF(Table13[[#This Row],[Previous Quartile]]="TopQuartile", 1,
 IF(Table13[[#This Row],[Previous Quartile]]="SecondQuartile", 2,
 IF(Table13[[#This Row],[Previous Quartile]]="ThirdQuartile", 3,
 IF(Table13[[#This Row],[Previous Quartile]]="FourthQuartile", 4, ""))))</f>
        <v>1</v>
      </c>
      <c r="I1649" s="9" t="str">
        <f>IF(Table13[[#This Row],[Previous Quartile Value]]="", "",
   IF(Table13[[#This Row],[Quartile Value]] &lt; Table13[[#This Row],[Previous Quartile Value]], "Improved",
   IF(Table13[[#This Row],[Quartile Value]] &gt; Table13[[#This Row],[Previous Quartile Value]], "Dropped", "Same")))</f>
        <v>Dropped</v>
      </c>
      <c r="J1649" s="10" t="s">
        <v>20</v>
      </c>
      <c r="K1649" s="7" t="str">
        <f>VLOOKUP(J1649,Introduction!$B$6:$C$14,2)</f>
        <v>East of England</v>
      </c>
      <c r="L1649" s="11">
        <v>708</v>
      </c>
      <c r="M1649" s="12" t="s">
        <v>530</v>
      </c>
    </row>
    <row r="1650" spans="1:13" ht="19.95" customHeight="1" x14ac:dyDescent="0.25">
      <c r="A1650" s="41">
        <v>45323</v>
      </c>
      <c r="B1650" s="47">
        <f>MONTH(Table13[[#This Row],[YearMonth]])</f>
        <v>2</v>
      </c>
      <c r="C1650" s="9" t="s">
        <v>266</v>
      </c>
      <c r="D1650" s="14" t="s">
        <v>341</v>
      </c>
      <c r="E1650" s="14">
        <f>IF(Table13[[#This Row],[Quartile]]="TopQuartile", 1,
 IF(Table13[[#This Row],[Quartile]]="SecondQuartile", 2,
 IF(Table13[[#This Row],[Quartile]]="ThirdQuartile", 3,
 IF(Table13[[#This Row],[Quartile]]="FourthQuartile", 4, ""))))</f>
        <v>3</v>
      </c>
      <c r="F1650" s="9" t="s">
        <v>563</v>
      </c>
      <c r="G1650" s="9" t="str" cm="1">
        <f t="array" ref="G1650">IFERROR(
  INDEX(Table13[Quartile],
    MATCH(1,
      (Table13[[#This Row],[OrgName]]=Table13[OrgName]) *
      (Table13[[#This Row],[Month Number]]-1=Table13[Month Number]),
    0)
  ),
"")</f>
        <v>FourthQuartile</v>
      </c>
      <c r="H1650" s="9">
        <f>IF(Table13[[#This Row],[Previous Quartile]]="TopQuartile", 1,
 IF(Table13[[#This Row],[Previous Quartile]]="SecondQuartile", 2,
 IF(Table13[[#This Row],[Previous Quartile]]="ThirdQuartile", 3,
 IF(Table13[[#This Row],[Previous Quartile]]="FourthQuartile", 4, ""))))</f>
        <v>4</v>
      </c>
      <c r="I1650" s="9" t="str">
        <f>IF(Table13[[#This Row],[Previous Quartile Value]]="", "",
   IF(Table13[[#This Row],[Quartile Value]] &lt; Table13[[#This Row],[Previous Quartile Value]], "Improved",
   IF(Table13[[#This Row],[Quartile Value]] &gt; Table13[[#This Row],[Previous Quartile Value]], "Dropped", "Same")))</f>
        <v>Improved</v>
      </c>
      <c r="J1650" s="10" t="s">
        <v>12</v>
      </c>
      <c r="K1650" s="7" t="str">
        <f>VLOOKUP(J1650,Introduction!$B$6:$C$14,2)</f>
        <v>London</v>
      </c>
      <c r="L1650" s="11">
        <v>161</v>
      </c>
      <c r="M1650" s="12" t="s">
        <v>530</v>
      </c>
    </row>
    <row r="1651" spans="1:13" ht="19.95" customHeight="1" x14ac:dyDescent="0.25">
      <c r="A1651" s="41">
        <v>45323</v>
      </c>
      <c r="B1651" s="47">
        <f>MONTH(Table13[[#This Row],[YearMonth]])</f>
        <v>2</v>
      </c>
      <c r="C1651" s="9" t="s">
        <v>234</v>
      </c>
      <c r="D1651" s="14" t="s">
        <v>350</v>
      </c>
      <c r="E1651" s="14">
        <f>IF(Table13[[#This Row],[Quartile]]="TopQuartile", 1,
 IF(Table13[[#This Row],[Quartile]]="SecondQuartile", 2,
 IF(Table13[[#This Row],[Quartile]]="ThirdQuartile", 3,
 IF(Table13[[#This Row],[Quartile]]="FourthQuartile", 4, ""))))</f>
        <v>4</v>
      </c>
      <c r="F1651" s="9" t="s">
        <v>559</v>
      </c>
      <c r="G1651" s="9" t="str" cm="1">
        <f t="array" ref="G1651">IFERROR(
  INDEX(Table13[Quartile],
    MATCH(1,
      (Table13[[#This Row],[OrgName]]=Table13[OrgName]) *
      (Table13[[#This Row],[Month Number]]-1=Table13[Month Number]),
    0)
  ),
"")</f>
        <v>ThirdQuartile</v>
      </c>
      <c r="H1651" s="9">
        <f>IF(Table13[[#This Row],[Previous Quartile]]="TopQuartile", 1,
 IF(Table13[[#This Row],[Previous Quartile]]="SecondQuartile", 2,
 IF(Table13[[#This Row],[Previous Quartile]]="ThirdQuartile", 3,
 IF(Table13[[#This Row],[Previous Quartile]]="FourthQuartile", 4, ""))))</f>
        <v>3</v>
      </c>
      <c r="I1651" s="9" t="str">
        <f>IF(Table13[[#This Row],[Previous Quartile Value]]="", "",
   IF(Table13[[#This Row],[Quartile Value]] &lt; Table13[[#This Row],[Previous Quartile Value]], "Improved",
   IF(Table13[[#This Row],[Quartile Value]] &gt; Table13[[#This Row],[Previous Quartile Value]], "Dropped", "Same")))</f>
        <v>Dropped</v>
      </c>
      <c r="J1651" s="10" t="s">
        <v>22</v>
      </c>
      <c r="K1651" s="7" t="str">
        <f>VLOOKUP(J1651,Introduction!$B$6:$C$14,2)</f>
        <v>North West</v>
      </c>
      <c r="L1651" s="11">
        <v>125</v>
      </c>
      <c r="M1651" s="12" t="s">
        <v>530</v>
      </c>
    </row>
    <row r="1652" spans="1:13" ht="19.95" customHeight="1" x14ac:dyDescent="0.25">
      <c r="A1652" s="41">
        <v>45323</v>
      </c>
      <c r="B1652" s="47">
        <f>MONTH(Table13[[#This Row],[YearMonth]])</f>
        <v>2</v>
      </c>
      <c r="C1652" s="9" t="s">
        <v>265</v>
      </c>
      <c r="D1652" s="14" t="s">
        <v>350</v>
      </c>
      <c r="E1652" s="14">
        <f>IF(Table13[[#This Row],[Quartile]]="TopQuartile", 1,
 IF(Table13[[#This Row],[Quartile]]="SecondQuartile", 2,
 IF(Table13[[#This Row],[Quartile]]="ThirdQuartile", 3,
 IF(Table13[[#This Row],[Quartile]]="FourthQuartile", 4, ""))))</f>
        <v>4</v>
      </c>
      <c r="F1652" s="9" t="s">
        <v>562</v>
      </c>
      <c r="G1652" s="9" t="str" cm="1">
        <f t="array" ref="G1652">IFERROR(
  INDEX(Table13[Quartile],
    MATCH(1,
      (Table13[[#This Row],[OrgName]]=Table13[OrgName]) *
      (Table13[[#This Row],[Month Number]]-1=Table13[Month Number]),
    0)
  ),
"")</f>
        <v>FourthQuartile</v>
      </c>
      <c r="H1652" s="9">
        <f>IF(Table13[[#This Row],[Previous Quartile]]="TopQuartile", 1,
 IF(Table13[[#This Row],[Previous Quartile]]="SecondQuartile", 2,
 IF(Table13[[#This Row],[Previous Quartile]]="ThirdQuartile", 3,
 IF(Table13[[#This Row],[Previous Quartile]]="FourthQuartile", 4, ""))))</f>
        <v>4</v>
      </c>
      <c r="I1652" s="9" t="str">
        <f>IF(Table13[[#This Row],[Previous Quartile Value]]="", "",
   IF(Table13[[#This Row],[Quartile Value]] &lt; Table13[[#This Row],[Previous Quartile Value]], "Improved",
   IF(Table13[[#This Row],[Quartile Value]] &gt; Table13[[#This Row],[Previous Quartile Value]], "Dropped", "Same")))</f>
        <v>Same</v>
      </c>
      <c r="J1652" s="10" t="s">
        <v>16</v>
      </c>
      <c r="K1652" s="7" t="str">
        <f>VLOOKUP(J1652,Introduction!$B$6:$C$14,2)</f>
        <v>South East</v>
      </c>
      <c r="L1652" s="11">
        <v>256</v>
      </c>
      <c r="M1652" s="12" t="s">
        <v>530</v>
      </c>
    </row>
    <row r="1653" spans="1:13" ht="19.95" customHeight="1" x14ac:dyDescent="0.25">
      <c r="A1653" s="41">
        <v>45323</v>
      </c>
      <c r="B1653" s="47">
        <f>MONTH(Table13[[#This Row],[YearMonth]])</f>
        <v>2</v>
      </c>
      <c r="C1653" s="9" t="s">
        <v>275</v>
      </c>
      <c r="D1653" s="14" t="s">
        <v>350</v>
      </c>
      <c r="E1653" s="14">
        <f>IF(Table13[[#This Row],[Quartile]]="TopQuartile", 1,
 IF(Table13[[#This Row],[Quartile]]="SecondQuartile", 2,
 IF(Table13[[#This Row],[Quartile]]="ThirdQuartile", 3,
 IF(Table13[[#This Row],[Quartile]]="FourthQuartile", 4, ""))))</f>
        <v>4</v>
      </c>
      <c r="F1653" s="9" t="s">
        <v>565</v>
      </c>
      <c r="G1653" s="9" t="str" cm="1">
        <f t="array" ref="G1653">IFERROR(
  INDEX(Table13[Quartile],
    MATCH(1,
      (Table13[[#This Row],[OrgName]]=Table13[OrgName]) *
      (Table13[[#This Row],[Month Number]]-1=Table13[Month Number]),
    0)
  ),
"")</f>
        <v>FourthQuartile</v>
      </c>
      <c r="H1653" s="9">
        <f>IF(Table13[[#This Row],[Previous Quartile]]="TopQuartile", 1,
 IF(Table13[[#This Row],[Previous Quartile]]="SecondQuartile", 2,
 IF(Table13[[#This Row],[Previous Quartile]]="ThirdQuartile", 3,
 IF(Table13[[#This Row],[Previous Quartile]]="FourthQuartile", 4, ""))))</f>
        <v>4</v>
      </c>
      <c r="I1653" s="9" t="str">
        <f>IF(Table13[[#This Row],[Previous Quartile Value]]="", "",
   IF(Table13[[#This Row],[Quartile Value]] &lt; Table13[[#This Row],[Previous Quartile Value]], "Improved",
   IF(Table13[[#This Row],[Quartile Value]] &gt; Table13[[#This Row],[Previous Quartile Value]], "Dropped", "Same")))</f>
        <v>Same</v>
      </c>
      <c r="J1653" s="10" t="s">
        <v>18</v>
      </c>
      <c r="K1653" s="7" t="str">
        <f>VLOOKUP(J1653,Introduction!$B$6:$C$14,2)</f>
        <v>Midlands</v>
      </c>
      <c r="L1653" s="11">
        <v>118</v>
      </c>
      <c r="M1653" s="12" t="s">
        <v>530</v>
      </c>
    </row>
    <row r="1654" spans="1:13" ht="19.95" customHeight="1" x14ac:dyDescent="0.25">
      <c r="A1654" s="41">
        <v>45323</v>
      </c>
      <c r="B1654" s="47">
        <f>MONTH(Table13[[#This Row],[YearMonth]])</f>
        <v>2</v>
      </c>
      <c r="C1654" s="9" t="s">
        <v>284</v>
      </c>
      <c r="D1654" s="14" t="s">
        <v>350</v>
      </c>
      <c r="E1654" s="14">
        <f>IF(Table13[[#This Row],[Quartile]]="TopQuartile", 1,
 IF(Table13[[#This Row],[Quartile]]="SecondQuartile", 2,
 IF(Table13[[#This Row],[Quartile]]="ThirdQuartile", 3,
 IF(Table13[[#This Row],[Quartile]]="FourthQuartile", 4, ""))))</f>
        <v>4</v>
      </c>
      <c r="F1654" s="9" t="s">
        <v>566</v>
      </c>
      <c r="G1654" s="9" t="str" cm="1">
        <f t="array" ref="G1654">IFERROR(
  INDEX(Table13[Quartile],
    MATCH(1,
      (Table13[[#This Row],[OrgName]]=Table13[OrgName]) *
      (Table13[[#This Row],[Month Number]]-1=Table13[Month Number]),
    0)
  ),
"")</f>
        <v>FourthQuartile</v>
      </c>
      <c r="H1654" s="9">
        <f>IF(Table13[[#This Row],[Previous Quartile]]="TopQuartile", 1,
 IF(Table13[[#This Row],[Previous Quartile]]="SecondQuartile", 2,
 IF(Table13[[#This Row],[Previous Quartile]]="ThirdQuartile", 3,
 IF(Table13[[#This Row],[Previous Quartile]]="FourthQuartile", 4, ""))))</f>
        <v>4</v>
      </c>
      <c r="I1654" s="9" t="str">
        <f>IF(Table13[[#This Row],[Previous Quartile Value]]="", "",
   IF(Table13[[#This Row],[Quartile Value]] &lt; Table13[[#This Row],[Previous Quartile Value]], "Improved",
   IF(Table13[[#This Row],[Quartile Value]] &gt; Table13[[#This Row],[Previous Quartile Value]], "Dropped", "Same")))</f>
        <v>Same</v>
      </c>
      <c r="J1654" s="10" t="s">
        <v>20</v>
      </c>
      <c r="K1654" s="7" t="str">
        <f>VLOOKUP(J1654,Introduction!$B$6:$C$14,2)</f>
        <v>East of England</v>
      </c>
      <c r="L1654" s="11">
        <v>468</v>
      </c>
      <c r="M1654" s="12" t="s">
        <v>530</v>
      </c>
    </row>
    <row r="1655" spans="1:13" ht="19.95" customHeight="1" x14ac:dyDescent="0.25">
      <c r="A1655" s="41">
        <v>45323</v>
      </c>
      <c r="B1655" s="47">
        <f>MONTH(Table13[[#This Row],[YearMonth]])</f>
        <v>2</v>
      </c>
      <c r="C1655" s="9" t="s">
        <v>247</v>
      </c>
      <c r="D1655" s="14" t="s">
        <v>350</v>
      </c>
      <c r="E1655" s="14">
        <f>IF(Table13[[#This Row],[Quartile]]="TopQuartile", 1,
 IF(Table13[[#This Row],[Quartile]]="SecondQuartile", 2,
 IF(Table13[[#This Row],[Quartile]]="ThirdQuartile", 3,
 IF(Table13[[#This Row],[Quartile]]="FourthQuartile", 4, ""))))</f>
        <v>4</v>
      </c>
      <c r="F1655" s="9" t="s">
        <v>560</v>
      </c>
      <c r="G1655" s="9" t="str" cm="1">
        <f t="array" ref="G1655">IFERROR(
  INDEX(Table13[Quartile],
    MATCH(1,
      (Table13[[#This Row],[OrgName]]=Table13[OrgName]) *
      (Table13[[#This Row],[Month Number]]-1=Table13[Month Number]),
    0)
  ),
"")</f>
        <v>FourthQuartile</v>
      </c>
      <c r="H1655" s="9">
        <f>IF(Table13[[#This Row],[Previous Quartile]]="TopQuartile", 1,
 IF(Table13[[#This Row],[Previous Quartile]]="SecondQuartile", 2,
 IF(Table13[[#This Row],[Previous Quartile]]="ThirdQuartile", 3,
 IF(Table13[[#This Row],[Previous Quartile]]="FourthQuartile", 4, ""))))</f>
        <v>4</v>
      </c>
      <c r="I1655" s="9" t="str">
        <f>IF(Table13[[#This Row],[Previous Quartile Value]]="", "",
   IF(Table13[[#This Row],[Quartile Value]] &lt; Table13[[#This Row],[Previous Quartile Value]], "Improved",
   IF(Table13[[#This Row],[Quartile Value]] &gt; Table13[[#This Row],[Previous Quartile Value]], "Dropped", "Same")))</f>
        <v>Same</v>
      </c>
      <c r="J1655" s="10" t="s">
        <v>24</v>
      </c>
      <c r="K1655" s="7" t="str">
        <f>VLOOKUP(J1655,Introduction!$B$6:$C$14,2)</f>
        <v>North East and Yorkshire</v>
      </c>
      <c r="L1655" s="11">
        <v>134</v>
      </c>
      <c r="M1655" s="12" t="s">
        <v>530</v>
      </c>
    </row>
    <row r="1656" spans="1:13" ht="19.95" customHeight="1" x14ac:dyDescent="0.25">
      <c r="A1656" s="41">
        <v>45323</v>
      </c>
      <c r="B1656" s="47">
        <f>MONTH(Table13[[#This Row],[YearMonth]])</f>
        <v>2</v>
      </c>
      <c r="C1656" s="9" t="s">
        <v>262</v>
      </c>
      <c r="D1656" s="14" t="s">
        <v>350</v>
      </c>
      <c r="E1656" s="14">
        <f>IF(Table13[[#This Row],[Quartile]]="TopQuartile", 1,
 IF(Table13[[#This Row],[Quartile]]="SecondQuartile", 2,
 IF(Table13[[#This Row],[Quartile]]="ThirdQuartile", 3,
 IF(Table13[[#This Row],[Quartile]]="FourthQuartile", 4, ""))))</f>
        <v>4</v>
      </c>
      <c r="F1656" s="9" t="s">
        <v>561</v>
      </c>
      <c r="G1656" s="9" t="str" cm="1">
        <f t="array" ref="G1656">IFERROR(
  INDEX(Table13[Quartile],
    MATCH(1,
      (Table13[[#This Row],[OrgName]]=Table13[OrgName]) *
      (Table13[[#This Row],[Month Number]]-1=Table13[Month Number]),
    0)
  ),
"")</f>
        <v>FourthQuartile</v>
      </c>
      <c r="H1656" s="9">
        <f>IF(Table13[[#This Row],[Previous Quartile]]="TopQuartile", 1,
 IF(Table13[[#This Row],[Previous Quartile]]="SecondQuartile", 2,
 IF(Table13[[#This Row],[Previous Quartile]]="ThirdQuartile", 3,
 IF(Table13[[#This Row],[Previous Quartile]]="FourthQuartile", 4, ""))))</f>
        <v>4</v>
      </c>
      <c r="I1656" s="9" t="str">
        <f>IF(Table13[[#This Row],[Previous Quartile Value]]="", "",
   IF(Table13[[#This Row],[Quartile Value]] &lt; Table13[[#This Row],[Previous Quartile Value]], "Improved",
   IF(Table13[[#This Row],[Quartile Value]] &gt; Table13[[#This Row],[Previous Quartile Value]], "Dropped", "Same")))</f>
        <v>Same</v>
      </c>
      <c r="J1656" s="10" t="s">
        <v>22</v>
      </c>
      <c r="K1656" s="7" t="str">
        <f>VLOOKUP(J1656,Introduction!$B$6:$C$14,2)</f>
        <v>North West</v>
      </c>
      <c r="L1656" s="11">
        <v>896</v>
      </c>
      <c r="M1656" s="12" t="s">
        <v>530</v>
      </c>
    </row>
    <row r="1657" spans="1:13" ht="19.95" customHeight="1" x14ac:dyDescent="0.25">
      <c r="A1657" s="41">
        <v>45323</v>
      </c>
      <c r="B1657" s="47">
        <f>MONTH(Table13[[#This Row],[YearMonth]])</f>
        <v>2</v>
      </c>
      <c r="C1657" s="9" t="s">
        <v>304</v>
      </c>
      <c r="D1657" s="14" t="s">
        <v>350</v>
      </c>
      <c r="E1657" s="14">
        <f>IF(Table13[[#This Row],[Quartile]]="TopQuartile", 1,
 IF(Table13[[#This Row],[Quartile]]="SecondQuartile", 2,
 IF(Table13[[#This Row],[Quartile]]="ThirdQuartile", 3,
 IF(Table13[[#This Row],[Quartile]]="FourthQuartile", 4, ""))))</f>
        <v>4</v>
      </c>
      <c r="F1657" s="9" t="s">
        <v>569</v>
      </c>
      <c r="G1657" s="9" t="str" cm="1">
        <f t="array" ref="G1657">IFERROR(
  INDEX(Table13[Quartile],
    MATCH(1,
      (Table13[[#This Row],[OrgName]]=Table13[OrgName]) *
      (Table13[[#This Row],[Month Number]]-1=Table13[Month Number]),
    0)
  ),
"")</f>
        <v>FourthQuartile</v>
      </c>
      <c r="H1657" s="9">
        <f>IF(Table13[[#This Row],[Previous Quartile]]="TopQuartile", 1,
 IF(Table13[[#This Row],[Previous Quartile]]="SecondQuartile", 2,
 IF(Table13[[#This Row],[Previous Quartile]]="ThirdQuartile", 3,
 IF(Table13[[#This Row],[Previous Quartile]]="FourthQuartile", 4, ""))))</f>
        <v>4</v>
      </c>
      <c r="I1657" s="9" t="str">
        <f>IF(Table13[[#This Row],[Previous Quartile Value]]="", "",
   IF(Table13[[#This Row],[Quartile Value]] &lt; Table13[[#This Row],[Previous Quartile Value]], "Improved",
   IF(Table13[[#This Row],[Quartile Value]] &gt; Table13[[#This Row],[Previous Quartile Value]], "Dropped", "Same")))</f>
        <v>Same</v>
      </c>
      <c r="J1657" s="10" t="s">
        <v>20</v>
      </c>
      <c r="K1657" s="7" t="str">
        <f>VLOOKUP(J1657,Introduction!$B$6:$C$14,2)</f>
        <v>East of England</v>
      </c>
      <c r="L1657" s="11">
        <v>710</v>
      </c>
      <c r="M1657" s="12" t="s">
        <v>530</v>
      </c>
    </row>
    <row r="1658" spans="1:13" ht="19.95" customHeight="1" x14ac:dyDescent="0.25">
      <c r="A1658" s="41">
        <v>45323</v>
      </c>
      <c r="B1658" s="47">
        <f>MONTH(Table13[[#This Row],[YearMonth]])</f>
        <v>2</v>
      </c>
      <c r="C1658" s="9" t="s">
        <v>303</v>
      </c>
      <c r="D1658" s="14" t="s">
        <v>350</v>
      </c>
      <c r="E1658" s="14">
        <f>IF(Table13[[#This Row],[Quartile]]="TopQuartile", 1,
 IF(Table13[[#This Row],[Quartile]]="SecondQuartile", 2,
 IF(Table13[[#This Row],[Quartile]]="ThirdQuartile", 3,
 IF(Table13[[#This Row],[Quartile]]="FourthQuartile", 4, ""))))</f>
        <v>4</v>
      </c>
      <c r="F1658" s="9" t="s">
        <v>568</v>
      </c>
      <c r="G1658" s="9" t="str" cm="1">
        <f t="array" ref="G1658">IFERROR(
  INDEX(Table13[Quartile],
    MATCH(1,
      (Table13[[#This Row],[OrgName]]=Table13[OrgName]) *
      (Table13[[#This Row],[Month Number]]-1=Table13[Month Number]),
    0)
  ),
"")</f>
        <v>FourthQuartile</v>
      </c>
      <c r="H1658" s="9">
        <f>IF(Table13[[#This Row],[Previous Quartile]]="TopQuartile", 1,
 IF(Table13[[#This Row],[Previous Quartile]]="SecondQuartile", 2,
 IF(Table13[[#This Row],[Previous Quartile]]="ThirdQuartile", 3,
 IF(Table13[[#This Row],[Previous Quartile]]="FourthQuartile", 4, ""))))</f>
        <v>4</v>
      </c>
      <c r="I1658" s="9" t="str">
        <f>IF(Table13[[#This Row],[Previous Quartile Value]]="", "",
   IF(Table13[[#This Row],[Quartile Value]] &lt; Table13[[#This Row],[Previous Quartile Value]], "Improved",
   IF(Table13[[#This Row],[Quartile Value]] &gt; Table13[[#This Row],[Previous Quartile Value]], "Dropped", "Same")))</f>
        <v>Same</v>
      </c>
      <c r="J1658" s="10" t="s">
        <v>14</v>
      </c>
      <c r="K1658" s="7" t="str">
        <f>VLOOKUP(J1658,Introduction!$B$6:$C$14,2)</f>
        <v>South West</v>
      </c>
      <c r="L1658" s="11">
        <v>467</v>
      </c>
      <c r="M1658" s="12" t="s">
        <v>530</v>
      </c>
    </row>
    <row r="1659" spans="1:13" ht="19.95" customHeight="1" x14ac:dyDescent="0.25">
      <c r="A1659" s="41">
        <v>45323</v>
      </c>
      <c r="B1659" s="47">
        <f>MONTH(Table13[[#This Row],[YearMonth]])</f>
        <v>2</v>
      </c>
      <c r="C1659" s="9" t="s">
        <v>302</v>
      </c>
      <c r="D1659" s="14" t="s">
        <v>350</v>
      </c>
      <c r="E1659" s="14">
        <f>IF(Table13[[#This Row],[Quartile]]="TopQuartile", 1,
 IF(Table13[[#This Row],[Quartile]]="SecondQuartile", 2,
 IF(Table13[[#This Row],[Quartile]]="ThirdQuartile", 3,
 IF(Table13[[#This Row],[Quartile]]="FourthQuartile", 4, ""))))</f>
        <v>4</v>
      </c>
      <c r="F1659" s="9" t="s">
        <v>567</v>
      </c>
      <c r="G1659" s="9" t="str" cm="1">
        <f t="array" ref="G1659">IFERROR(
  INDEX(Table13[Quartile],
    MATCH(1,
      (Table13[[#This Row],[OrgName]]=Table13[OrgName]) *
      (Table13[[#This Row],[Month Number]]-1=Table13[Month Number]),
    0)
  ),
"")</f>
        <v>FourthQuartile</v>
      </c>
      <c r="H1659" s="9">
        <f>IF(Table13[[#This Row],[Previous Quartile]]="TopQuartile", 1,
 IF(Table13[[#This Row],[Previous Quartile]]="SecondQuartile", 2,
 IF(Table13[[#This Row],[Previous Quartile]]="ThirdQuartile", 3,
 IF(Table13[[#This Row],[Previous Quartile]]="FourthQuartile", 4, ""))))</f>
        <v>4</v>
      </c>
      <c r="I1659" s="9" t="str">
        <f>IF(Table13[[#This Row],[Previous Quartile Value]]="", "",
   IF(Table13[[#This Row],[Quartile Value]] &lt; Table13[[#This Row],[Previous Quartile Value]], "Improved",
   IF(Table13[[#This Row],[Quartile Value]] &gt; Table13[[#This Row],[Previous Quartile Value]], "Dropped", "Same")))</f>
        <v>Same</v>
      </c>
      <c r="J1659" s="10" t="s">
        <v>24</v>
      </c>
      <c r="K1659" s="7" t="str">
        <f>VLOOKUP(J1659,Introduction!$B$6:$C$14,2)</f>
        <v>North East and Yorkshire</v>
      </c>
      <c r="L1659" s="11">
        <v>475</v>
      </c>
      <c r="M1659" s="12" t="s">
        <v>530</v>
      </c>
    </row>
    <row r="1660" spans="1:13" ht="19.95" customHeight="1" x14ac:dyDescent="0.25">
      <c r="A1660" s="41">
        <v>45323</v>
      </c>
      <c r="B1660" s="47">
        <f>MONTH(Table13[[#This Row],[YearMonth]])</f>
        <v>2</v>
      </c>
      <c r="C1660" s="9" t="s">
        <v>221</v>
      </c>
      <c r="D1660" s="14" t="s">
        <v>350</v>
      </c>
      <c r="E1660" s="14">
        <f>IF(Table13[[#This Row],[Quartile]]="TopQuartile", 1,
 IF(Table13[[#This Row],[Quartile]]="SecondQuartile", 2,
 IF(Table13[[#This Row],[Quartile]]="ThirdQuartile", 3,
 IF(Table13[[#This Row],[Quartile]]="FourthQuartile", 4, ""))))</f>
        <v>4</v>
      </c>
      <c r="F1660" s="9" t="s">
        <v>557</v>
      </c>
      <c r="G1660" s="9" t="str" cm="1">
        <f t="array" ref="G1660">IFERROR(
  INDEX(Table13[Quartile],
    MATCH(1,
      (Table13[[#This Row],[OrgName]]=Table13[OrgName]) *
      (Table13[[#This Row],[Month Number]]-1=Table13[Month Number]),
    0)
  ),
"")</f>
        <v>FourthQuartile</v>
      </c>
      <c r="H1660" s="9">
        <f>IF(Table13[[#This Row],[Previous Quartile]]="TopQuartile", 1,
 IF(Table13[[#This Row],[Previous Quartile]]="SecondQuartile", 2,
 IF(Table13[[#This Row],[Previous Quartile]]="ThirdQuartile", 3,
 IF(Table13[[#This Row],[Previous Quartile]]="FourthQuartile", 4, ""))))</f>
        <v>4</v>
      </c>
      <c r="I1660" s="9" t="str">
        <f>IF(Table13[[#This Row],[Previous Quartile Value]]="", "",
   IF(Table13[[#This Row],[Quartile Value]] &lt; Table13[[#This Row],[Previous Quartile Value]], "Improved",
   IF(Table13[[#This Row],[Quartile Value]] &gt; Table13[[#This Row],[Previous Quartile Value]], "Dropped", "Same")))</f>
        <v>Same</v>
      </c>
      <c r="J1660" s="10" t="s">
        <v>16</v>
      </c>
      <c r="K1660" s="7" t="str">
        <f>VLOOKUP(J1660,Introduction!$B$6:$C$14,2)</f>
        <v>South East</v>
      </c>
      <c r="L1660" s="11">
        <v>95</v>
      </c>
      <c r="M1660" s="12" t="s">
        <v>530</v>
      </c>
    </row>
    <row r="1661" spans="1:13" ht="19.95" customHeight="1" x14ac:dyDescent="0.25">
      <c r="A1661" s="41">
        <v>45323</v>
      </c>
      <c r="B1661" s="47">
        <f>MONTH(Table13[[#This Row],[YearMonth]])</f>
        <v>2</v>
      </c>
      <c r="C1661" s="9" t="s">
        <v>311</v>
      </c>
      <c r="D1661" s="14" t="s">
        <v>350</v>
      </c>
      <c r="E1661" s="14">
        <f>IF(Table13[[#This Row],[Quartile]]="TopQuartile", 1,
 IF(Table13[[#This Row],[Quartile]]="SecondQuartile", 2,
 IF(Table13[[#This Row],[Quartile]]="ThirdQuartile", 3,
 IF(Table13[[#This Row],[Quartile]]="FourthQuartile", 4, ""))))</f>
        <v>4</v>
      </c>
      <c r="F1661" s="9" t="s">
        <v>570</v>
      </c>
      <c r="G1661" s="9" t="str" cm="1">
        <f t="array" ref="G1661">IFERROR(
  INDEX(Table13[Quartile],
    MATCH(1,
      (Table13[[#This Row],[OrgName]]=Table13[OrgName]) *
      (Table13[[#This Row],[Month Number]]-1=Table13[Month Number]),
    0)
  ),
"")</f>
        <v>FourthQuartile</v>
      </c>
      <c r="H1661" s="9">
        <f>IF(Table13[[#This Row],[Previous Quartile]]="TopQuartile", 1,
 IF(Table13[[#This Row],[Previous Quartile]]="SecondQuartile", 2,
 IF(Table13[[#This Row],[Previous Quartile]]="ThirdQuartile", 3,
 IF(Table13[[#This Row],[Previous Quartile]]="FourthQuartile", 4, ""))))</f>
        <v>4</v>
      </c>
      <c r="I1661" s="9" t="str">
        <f>IF(Table13[[#This Row],[Previous Quartile Value]]="", "",
   IF(Table13[[#This Row],[Quartile Value]] &lt; Table13[[#This Row],[Previous Quartile Value]], "Improved",
   IF(Table13[[#This Row],[Quartile Value]] &gt; Table13[[#This Row],[Previous Quartile Value]], "Dropped", "Same")))</f>
        <v>Same</v>
      </c>
      <c r="J1661" s="10" t="s">
        <v>24</v>
      </c>
      <c r="K1661" s="7" t="str">
        <f>VLOOKUP(J1661,Introduction!$B$6:$C$14,2)</f>
        <v>North East and Yorkshire</v>
      </c>
      <c r="L1661" s="11">
        <v>857</v>
      </c>
      <c r="M1661" s="12" t="s">
        <v>530</v>
      </c>
    </row>
    <row r="1662" spans="1:13" ht="19.95" customHeight="1" x14ac:dyDescent="0.25">
      <c r="A1662" s="41">
        <v>45323</v>
      </c>
      <c r="B1662" s="47">
        <f>MONTH(Table13[[#This Row],[YearMonth]])</f>
        <v>2</v>
      </c>
      <c r="C1662" s="9" t="s">
        <v>312</v>
      </c>
      <c r="D1662" s="14" t="s">
        <v>350</v>
      </c>
      <c r="E1662" s="14">
        <f>IF(Table13[[#This Row],[Quartile]]="TopQuartile", 1,
 IF(Table13[[#This Row],[Quartile]]="SecondQuartile", 2,
 IF(Table13[[#This Row],[Quartile]]="ThirdQuartile", 3,
 IF(Table13[[#This Row],[Quartile]]="FourthQuartile", 4, ""))))</f>
        <v>4</v>
      </c>
      <c r="F1662" s="9" t="s">
        <v>571</v>
      </c>
      <c r="G1662" s="9" t="str" cm="1">
        <f t="array" ref="G1662">IFERROR(
  INDEX(Table13[Quartile],
    MATCH(1,
      (Table13[[#This Row],[OrgName]]=Table13[OrgName]) *
      (Table13[[#This Row],[Month Number]]-1=Table13[Month Number]),
    0)
  ),
"")</f>
        <v>FourthQuartile</v>
      </c>
      <c r="H1662" s="9">
        <f>IF(Table13[[#This Row],[Previous Quartile]]="TopQuartile", 1,
 IF(Table13[[#This Row],[Previous Quartile]]="SecondQuartile", 2,
 IF(Table13[[#This Row],[Previous Quartile]]="ThirdQuartile", 3,
 IF(Table13[[#This Row],[Previous Quartile]]="FourthQuartile", 4, ""))))</f>
        <v>4</v>
      </c>
      <c r="I1662" s="9" t="str">
        <f>IF(Table13[[#This Row],[Previous Quartile Value]]="", "",
   IF(Table13[[#This Row],[Quartile Value]] &lt; Table13[[#This Row],[Previous Quartile Value]], "Improved",
   IF(Table13[[#This Row],[Quartile Value]] &gt; Table13[[#This Row],[Previous Quartile Value]], "Dropped", "Same")))</f>
        <v>Same</v>
      </c>
      <c r="J1662" s="10" t="s">
        <v>20</v>
      </c>
      <c r="K1662" s="7" t="str">
        <f>VLOOKUP(J1662,Introduction!$B$6:$C$14,2)</f>
        <v>East of England</v>
      </c>
      <c r="L1662" s="11">
        <v>644</v>
      </c>
      <c r="M1662" s="12" t="s">
        <v>530</v>
      </c>
    </row>
    <row r="1663" spans="1:13" ht="19.95" customHeight="1" x14ac:dyDescent="0.25">
      <c r="A1663" s="41">
        <v>45323</v>
      </c>
      <c r="B1663" s="47">
        <f>MONTH(Table13[[#This Row],[YearMonth]])</f>
        <v>2</v>
      </c>
      <c r="C1663" s="9" t="s">
        <v>34</v>
      </c>
      <c r="D1663" s="14" t="s">
        <v>330</v>
      </c>
      <c r="E1663" s="14">
        <f>IF(Table13[[#This Row],[Quartile]]="TopQuartile", 1,
 IF(Table13[[#This Row],[Quartile]]="SecondQuartile", 2,
 IF(Table13[[#This Row],[Quartile]]="ThirdQuartile", 3,
 IF(Table13[[#This Row],[Quartile]]="FourthQuartile", 4, ""))))</f>
        <v>1</v>
      </c>
      <c r="F1663" s="9" t="s">
        <v>572</v>
      </c>
      <c r="G1663" s="9" t="str" cm="1">
        <f t="array" ref="G1663">IFERROR(
  INDEX(Table13[Quartile],
    MATCH(1,
      (Table13[[#This Row],[OrgName]]=Table13[OrgName]) *
      (Table13[[#This Row],[Month Number]]-1=Table13[Month Number]),
    0)
  ),
"")</f>
        <v>TopQuartile</v>
      </c>
      <c r="H1663" s="9">
        <f>IF(Table13[[#This Row],[Previous Quartile]]="TopQuartile", 1,
 IF(Table13[[#This Row],[Previous Quartile]]="SecondQuartile", 2,
 IF(Table13[[#This Row],[Previous Quartile]]="ThirdQuartile", 3,
 IF(Table13[[#This Row],[Previous Quartile]]="FourthQuartile", 4, ""))))</f>
        <v>1</v>
      </c>
      <c r="I1663" s="9" t="str">
        <f>IF(Table13[[#This Row],[Previous Quartile Value]]="", "",
   IF(Table13[[#This Row],[Quartile Value]] &lt; Table13[[#This Row],[Previous Quartile Value]], "Improved",
   IF(Table13[[#This Row],[Quartile Value]] &gt; Table13[[#This Row],[Previous Quartile Value]], "Dropped", "Same")))</f>
        <v>Same</v>
      </c>
      <c r="J1663" s="10" t="s">
        <v>14</v>
      </c>
      <c r="K1663" s="7" t="str">
        <f>VLOOKUP(J1663,Introduction!$B$6:$C$14,2)</f>
        <v>South West</v>
      </c>
      <c r="L1663" s="11">
        <v>201</v>
      </c>
      <c r="M1663" s="12" t="s">
        <v>573</v>
      </c>
    </row>
    <row r="1664" spans="1:13" ht="19.95" customHeight="1" x14ac:dyDescent="0.25">
      <c r="A1664" s="41">
        <v>45323</v>
      </c>
      <c r="B1664" s="47">
        <f>MONTH(Table13[[#This Row],[YearMonth]])</f>
        <v>2</v>
      </c>
      <c r="C1664" s="9" t="s">
        <v>44</v>
      </c>
      <c r="D1664" s="14" t="s">
        <v>330</v>
      </c>
      <c r="E1664" s="14">
        <f>IF(Table13[[#This Row],[Quartile]]="TopQuartile", 1,
 IF(Table13[[#This Row],[Quartile]]="SecondQuartile", 2,
 IF(Table13[[#This Row],[Quartile]]="ThirdQuartile", 3,
 IF(Table13[[#This Row],[Quartile]]="FourthQuartile", 4, ""))))</f>
        <v>1</v>
      </c>
      <c r="F1664" s="9" t="s">
        <v>576</v>
      </c>
      <c r="G1664" s="9" t="str" cm="1">
        <f t="array" ref="G1664">IFERROR(
  INDEX(Table13[Quartile],
    MATCH(1,
      (Table13[[#This Row],[OrgName]]=Table13[OrgName]) *
      (Table13[[#This Row],[Month Number]]-1=Table13[Month Number]),
    0)
  ),
"")</f>
        <v>TopQuartile</v>
      </c>
      <c r="H1664" s="9">
        <f>IF(Table13[[#This Row],[Previous Quartile]]="TopQuartile", 1,
 IF(Table13[[#This Row],[Previous Quartile]]="SecondQuartile", 2,
 IF(Table13[[#This Row],[Previous Quartile]]="ThirdQuartile", 3,
 IF(Table13[[#This Row],[Previous Quartile]]="FourthQuartile", 4, ""))))</f>
        <v>1</v>
      </c>
      <c r="I1664" s="9" t="str">
        <f>IF(Table13[[#This Row],[Previous Quartile Value]]="", "",
   IF(Table13[[#This Row],[Quartile Value]] &lt; Table13[[#This Row],[Previous Quartile Value]], "Improved",
   IF(Table13[[#This Row],[Quartile Value]] &gt; Table13[[#This Row],[Previous Quartile Value]], "Dropped", "Same")))</f>
        <v>Same</v>
      </c>
      <c r="J1664" s="10" t="s">
        <v>24</v>
      </c>
      <c r="K1664" s="7" t="str">
        <f>VLOOKUP(J1664,Introduction!$B$6:$C$14,2)</f>
        <v>North East and Yorkshire</v>
      </c>
      <c r="L1664" s="11">
        <v>173</v>
      </c>
      <c r="M1664" s="12" t="s">
        <v>573</v>
      </c>
    </row>
    <row r="1665" spans="1:13" ht="19.95" customHeight="1" x14ac:dyDescent="0.25">
      <c r="A1665" s="41">
        <v>45323</v>
      </c>
      <c r="B1665" s="47">
        <f>MONTH(Table13[[#This Row],[YearMonth]])</f>
        <v>2</v>
      </c>
      <c r="C1665" s="9" t="s">
        <v>36</v>
      </c>
      <c r="D1665" s="14" t="s">
        <v>330</v>
      </c>
      <c r="E1665" s="14">
        <f>IF(Table13[[#This Row],[Quartile]]="TopQuartile", 1,
 IF(Table13[[#This Row],[Quartile]]="SecondQuartile", 2,
 IF(Table13[[#This Row],[Quartile]]="ThirdQuartile", 3,
 IF(Table13[[#This Row],[Quartile]]="FourthQuartile", 4, ""))))</f>
        <v>1</v>
      </c>
      <c r="F1665" s="9" t="s">
        <v>574</v>
      </c>
      <c r="G1665" s="9" t="str" cm="1">
        <f t="array" ref="G1665">IFERROR(
  INDEX(Table13[Quartile],
    MATCH(1,
      (Table13[[#This Row],[OrgName]]=Table13[OrgName]) *
      (Table13[[#This Row],[Month Number]]-1=Table13[Month Number]),
    0)
  ),
"")</f>
        <v>TopQuartile</v>
      </c>
      <c r="H1665" s="9">
        <f>IF(Table13[[#This Row],[Previous Quartile]]="TopQuartile", 1,
 IF(Table13[[#This Row],[Previous Quartile]]="SecondQuartile", 2,
 IF(Table13[[#This Row],[Previous Quartile]]="ThirdQuartile", 3,
 IF(Table13[[#This Row],[Previous Quartile]]="FourthQuartile", 4, ""))))</f>
        <v>1</v>
      </c>
      <c r="I1665" s="9" t="str">
        <f>IF(Table13[[#This Row],[Previous Quartile Value]]="", "",
   IF(Table13[[#This Row],[Quartile Value]] &lt; Table13[[#This Row],[Previous Quartile Value]], "Improved",
   IF(Table13[[#This Row],[Quartile Value]] &gt; Table13[[#This Row],[Previous Quartile Value]], "Dropped", "Same")))</f>
        <v>Same</v>
      </c>
      <c r="J1665" s="10" t="s">
        <v>18</v>
      </c>
      <c r="K1665" s="7" t="str">
        <f>VLOOKUP(J1665,Introduction!$B$6:$C$14,2)</f>
        <v>Midlands</v>
      </c>
      <c r="L1665" s="11">
        <v>274</v>
      </c>
      <c r="M1665" s="12" t="s">
        <v>573</v>
      </c>
    </row>
    <row r="1666" spans="1:13" ht="19.95" customHeight="1" x14ac:dyDescent="0.25">
      <c r="A1666" s="41">
        <v>45323</v>
      </c>
      <c r="B1666" s="47">
        <f>MONTH(Table13[[#This Row],[YearMonth]])</f>
        <v>2</v>
      </c>
      <c r="C1666" s="9" t="s">
        <v>49</v>
      </c>
      <c r="D1666" s="14" t="s">
        <v>330</v>
      </c>
      <c r="E1666" s="14">
        <f>IF(Table13[[#This Row],[Quartile]]="TopQuartile", 1,
 IF(Table13[[#This Row],[Quartile]]="SecondQuartile", 2,
 IF(Table13[[#This Row],[Quartile]]="ThirdQuartile", 3,
 IF(Table13[[#This Row],[Quartile]]="FourthQuartile", 4, ""))))</f>
        <v>1</v>
      </c>
      <c r="F1666" s="9" t="s">
        <v>577</v>
      </c>
      <c r="G1666" s="9" t="str" cm="1">
        <f t="array" ref="G1666">IFERROR(
  INDEX(Table13[Quartile],
    MATCH(1,
      (Table13[[#This Row],[OrgName]]=Table13[OrgName]) *
      (Table13[[#This Row],[Month Number]]-1=Table13[Month Number]),
    0)
  ),
"")</f>
        <v>TopQuartile</v>
      </c>
      <c r="H1666" s="9">
        <f>IF(Table13[[#This Row],[Previous Quartile]]="TopQuartile", 1,
 IF(Table13[[#This Row],[Previous Quartile]]="SecondQuartile", 2,
 IF(Table13[[#This Row],[Previous Quartile]]="ThirdQuartile", 3,
 IF(Table13[[#This Row],[Previous Quartile]]="FourthQuartile", 4, ""))))</f>
        <v>1</v>
      </c>
      <c r="I1666" s="9" t="str">
        <f>IF(Table13[[#This Row],[Previous Quartile Value]]="", "",
   IF(Table13[[#This Row],[Quartile Value]] &lt; Table13[[#This Row],[Previous Quartile Value]], "Improved",
   IF(Table13[[#This Row],[Quartile Value]] &gt; Table13[[#This Row],[Previous Quartile Value]], "Dropped", "Same")))</f>
        <v>Same</v>
      </c>
      <c r="J1666" s="10" t="s">
        <v>24</v>
      </c>
      <c r="K1666" s="7" t="str">
        <f>VLOOKUP(J1666,Introduction!$B$6:$C$14,2)</f>
        <v>North East and Yorkshire</v>
      </c>
      <c r="L1666" s="11">
        <v>263</v>
      </c>
      <c r="M1666" s="12" t="s">
        <v>573</v>
      </c>
    </row>
    <row r="1667" spans="1:13" ht="19.95" customHeight="1" x14ac:dyDescent="0.25">
      <c r="A1667" s="41">
        <v>45323</v>
      </c>
      <c r="B1667" s="47">
        <f>MONTH(Table13[[#This Row],[YearMonth]])</f>
        <v>2</v>
      </c>
      <c r="C1667" s="9" t="s">
        <v>38</v>
      </c>
      <c r="D1667" s="14" t="s">
        <v>330</v>
      </c>
      <c r="E1667" s="14">
        <f>IF(Table13[[#This Row],[Quartile]]="TopQuartile", 1,
 IF(Table13[[#This Row],[Quartile]]="SecondQuartile", 2,
 IF(Table13[[#This Row],[Quartile]]="ThirdQuartile", 3,
 IF(Table13[[#This Row],[Quartile]]="FourthQuartile", 4, ""))))</f>
        <v>1</v>
      </c>
      <c r="F1667" s="9" t="s">
        <v>575</v>
      </c>
      <c r="G1667" s="9" t="str" cm="1">
        <f t="array" ref="G1667">IFERROR(
  INDEX(Table13[Quartile],
    MATCH(1,
      (Table13[[#This Row],[OrgName]]=Table13[OrgName]) *
      (Table13[[#This Row],[Month Number]]-1=Table13[Month Number]),
    0)
  ),
"")</f>
        <v>TopQuartile</v>
      </c>
      <c r="H1667" s="9">
        <f>IF(Table13[[#This Row],[Previous Quartile]]="TopQuartile", 1,
 IF(Table13[[#This Row],[Previous Quartile]]="SecondQuartile", 2,
 IF(Table13[[#This Row],[Previous Quartile]]="ThirdQuartile", 3,
 IF(Table13[[#This Row],[Previous Quartile]]="FourthQuartile", 4, ""))))</f>
        <v>1</v>
      </c>
      <c r="I1667" s="9" t="str">
        <f>IF(Table13[[#This Row],[Previous Quartile Value]]="", "",
   IF(Table13[[#This Row],[Quartile Value]] &lt; Table13[[#This Row],[Previous Quartile Value]], "Improved",
   IF(Table13[[#This Row],[Quartile Value]] &gt; Table13[[#This Row],[Previous Quartile Value]], "Dropped", "Same")))</f>
        <v>Same</v>
      </c>
      <c r="J1667" s="10" t="s">
        <v>16</v>
      </c>
      <c r="K1667" s="7" t="str">
        <f>VLOOKUP(J1667,Introduction!$B$6:$C$14,2)</f>
        <v>South East</v>
      </c>
      <c r="L1667" s="11">
        <v>354</v>
      </c>
      <c r="M1667" s="12" t="s">
        <v>573</v>
      </c>
    </row>
    <row r="1668" spans="1:13" ht="19.95" customHeight="1" x14ac:dyDescent="0.25">
      <c r="A1668" s="41">
        <v>45323</v>
      </c>
      <c r="B1668" s="47">
        <f>MONTH(Table13[[#This Row],[YearMonth]])</f>
        <v>2</v>
      </c>
      <c r="C1668" s="9" t="s">
        <v>71</v>
      </c>
      <c r="D1668" s="14" t="s">
        <v>330</v>
      </c>
      <c r="E1668" s="14">
        <f>IF(Table13[[#This Row],[Quartile]]="TopQuartile", 1,
 IF(Table13[[#This Row],[Quartile]]="SecondQuartile", 2,
 IF(Table13[[#This Row],[Quartile]]="ThirdQuartile", 3,
 IF(Table13[[#This Row],[Quartile]]="FourthQuartile", 4, ""))))</f>
        <v>1</v>
      </c>
      <c r="F1668" s="9" t="s">
        <v>582</v>
      </c>
      <c r="G1668" s="9" t="str" cm="1">
        <f t="array" ref="G1668">IFERROR(
  INDEX(Table13[Quartile],
    MATCH(1,
      (Table13[[#This Row],[OrgName]]=Table13[OrgName]) *
      (Table13[[#This Row],[Month Number]]-1=Table13[Month Number]),
    0)
  ),
"")</f>
        <v>TopQuartile</v>
      </c>
      <c r="H1668" s="9">
        <f>IF(Table13[[#This Row],[Previous Quartile]]="TopQuartile", 1,
 IF(Table13[[#This Row],[Previous Quartile]]="SecondQuartile", 2,
 IF(Table13[[#This Row],[Previous Quartile]]="ThirdQuartile", 3,
 IF(Table13[[#This Row],[Previous Quartile]]="FourthQuartile", 4, ""))))</f>
        <v>1</v>
      </c>
      <c r="I1668" s="9" t="str">
        <f>IF(Table13[[#This Row],[Previous Quartile Value]]="", "",
   IF(Table13[[#This Row],[Quartile Value]] &lt; Table13[[#This Row],[Previous Quartile Value]], "Improved",
   IF(Table13[[#This Row],[Quartile Value]] &gt; Table13[[#This Row],[Previous Quartile Value]], "Dropped", "Same")))</f>
        <v>Same</v>
      </c>
      <c r="J1668" s="10" t="s">
        <v>14</v>
      </c>
      <c r="K1668" s="7" t="str">
        <f>VLOOKUP(J1668,Introduction!$B$6:$C$14,2)</f>
        <v>South West</v>
      </c>
      <c r="L1668" s="11">
        <v>342</v>
      </c>
      <c r="M1668" s="12" t="s">
        <v>573</v>
      </c>
    </row>
    <row r="1669" spans="1:13" ht="19.95" customHeight="1" x14ac:dyDescent="0.25">
      <c r="A1669" s="41">
        <v>45323</v>
      </c>
      <c r="B1669" s="47">
        <f>MONTH(Table13[[#This Row],[YearMonth]])</f>
        <v>2</v>
      </c>
      <c r="C1669" s="9" t="s">
        <v>74</v>
      </c>
      <c r="D1669" s="14" t="s">
        <v>330</v>
      </c>
      <c r="E1669" s="14">
        <f>IF(Table13[[#This Row],[Quartile]]="TopQuartile", 1,
 IF(Table13[[#This Row],[Quartile]]="SecondQuartile", 2,
 IF(Table13[[#This Row],[Quartile]]="ThirdQuartile", 3,
 IF(Table13[[#This Row],[Quartile]]="FourthQuartile", 4, ""))))</f>
        <v>1</v>
      </c>
      <c r="F1669" s="9" t="s">
        <v>583</v>
      </c>
      <c r="G1669" s="9" t="str" cm="1">
        <f t="array" ref="G1669">IFERROR(
  INDEX(Table13[Quartile],
    MATCH(1,
      (Table13[[#This Row],[OrgName]]=Table13[OrgName]) *
      (Table13[[#This Row],[Month Number]]-1=Table13[Month Number]),
    0)
  ),
"")</f>
        <v>TopQuartile</v>
      </c>
      <c r="H1669" s="9">
        <f>IF(Table13[[#This Row],[Previous Quartile]]="TopQuartile", 1,
 IF(Table13[[#This Row],[Previous Quartile]]="SecondQuartile", 2,
 IF(Table13[[#This Row],[Previous Quartile]]="ThirdQuartile", 3,
 IF(Table13[[#This Row],[Previous Quartile]]="FourthQuartile", 4, ""))))</f>
        <v>1</v>
      </c>
      <c r="I1669" s="9" t="str">
        <f>IF(Table13[[#This Row],[Previous Quartile Value]]="", "",
   IF(Table13[[#This Row],[Quartile Value]] &lt; Table13[[#This Row],[Previous Quartile Value]], "Improved",
   IF(Table13[[#This Row],[Quartile Value]] &gt; Table13[[#This Row],[Previous Quartile Value]], "Dropped", "Same")))</f>
        <v>Same</v>
      </c>
      <c r="J1669" s="10" t="s">
        <v>24</v>
      </c>
      <c r="K1669" s="7" t="str">
        <f>VLOOKUP(J1669,Introduction!$B$6:$C$14,2)</f>
        <v>North East and Yorkshire</v>
      </c>
      <c r="L1669" s="11">
        <v>378</v>
      </c>
      <c r="M1669" s="12" t="s">
        <v>573</v>
      </c>
    </row>
    <row r="1670" spans="1:13" ht="19.95" customHeight="1" x14ac:dyDescent="0.25">
      <c r="A1670" s="41">
        <v>45323</v>
      </c>
      <c r="B1670" s="47">
        <f>MONTH(Table13[[#This Row],[YearMonth]])</f>
        <v>2</v>
      </c>
      <c r="C1670" s="9" t="s">
        <v>70</v>
      </c>
      <c r="D1670" s="14" t="s">
        <v>330</v>
      </c>
      <c r="E1670" s="14">
        <f>IF(Table13[[#This Row],[Quartile]]="TopQuartile", 1,
 IF(Table13[[#This Row],[Quartile]]="SecondQuartile", 2,
 IF(Table13[[#This Row],[Quartile]]="ThirdQuartile", 3,
 IF(Table13[[#This Row],[Quartile]]="FourthQuartile", 4, ""))))</f>
        <v>1</v>
      </c>
      <c r="F1670" s="9" t="s">
        <v>581</v>
      </c>
      <c r="G1670" s="9" t="str" cm="1">
        <f t="array" ref="G1670">IFERROR(
  INDEX(Table13[Quartile],
    MATCH(1,
      (Table13[[#This Row],[OrgName]]=Table13[OrgName]) *
      (Table13[[#This Row],[Month Number]]-1=Table13[Month Number]),
    0)
  ),
"")</f>
        <v>TopQuartile</v>
      </c>
      <c r="H1670" s="9">
        <f>IF(Table13[[#This Row],[Previous Quartile]]="TopQuartile", 1,
 IF(Table13[[#This Row],[Previous Quartile]]="SecondQuartile", 2,
 IF(Table13[[#This Row],[Previous Quartile]]="ThirdQuartile", 3,
 IF(Table13[[#This Row],[Previous Quartile]]="FourthQuartile", 4, ""))))</f>
        <v>1</v>
      </c>
      <c r="I1670" s="9" t="str">
        <f>IF(Table13[[#This Row],[Previous Quartile Value]]="", "",
   IF(Table13[[#This Row],[Quartile Value]] &lt; Table13[[#This Row],[Previous Quartile Value]], "Improved",
   IF(Table13[[#This Row],[Quartile Value]] &gt; Table13[[#This Row],[Previous Quartile Value]], "Dropped", "Same")))</f>
        <v>Same</v>
      </c>
      <c r="J1670" s="10" t="s">
        <v>14</v>
      </c>
      <c r="K1670" s="7" t="str">
        <f>VLOOKUP(J1670,Introduction!$B$6:$C$14,2)</f>
        <v>South West</v>
      </c>
      <c r="L1670" s="11">
        <v>369</v>
      </c>
      <c r="M1670" s="12" t="s">
        <v>573</v>
      </c>
    </row>
    <row r="1671" spans="1:13" ht="19.95" customHeight="1" x14ac:dyDescent="0.25">
      <c r="A1671" s="41">
        <v>45323</v>
      </c>
      <c r="B1671" s="47">
        <f>MONTH(Table13[[#This Row],[YearMonth]])</f>
        <v>2</v>
      </c>
      <c r="C1671" s="9" t="s">
        <v>109</v>
      </c>
      <c r="D1671" s="14" t="s">
        <v>330</v>
      </c>
      <c r="E1671" s="14">
        <f>IF(Table13[[#This Row],[Quartile]]="TopQuartile", 1,
 IF(Table13[[#This Row],[Quartile]]="SecondQuartile", 2,
 IF(Table13[[#This Row],[Quartile]]="ThirdQuartile", 3,
 IF(Table13[[#This Row],[Quartile]]="FourthQuartile", 4, ""))))</f>
        <v>1</v>
      </c>
      <c r="F1671" s="9" t="s">
        <v>589</v>
      </c>
      <c r="G1671" s="9" t="str" cm="1">
        <f t="array" ref="G1671">IFERROR(
  INDEX(Table13[Quartile],
    MATCH(1,
      (Table13[[#This Row],[OrgName]]=Table13[OrgName]) *
      (Table13[[#This Row],[Month Number]]-1=Table13[Month Number]),
    0)
  ),
"")</f>
        <v>TopQuartile</v>
      </c>
      <c r="H1671" s="9">
        <f>IF(Table13[[#This Row],[Previous Quartile]]="TopQuartile", 1,
 IF(Table13[[#This Row],[Previous Quartile]]="SecondQuartile", 2,
 IF(Table13[[#This Row],[Previous Quartile]]="ThirdQuartile", 3,
 IF(Table13[[#This Row],[Previous Quartile]]="FourthQuartile", 4, ""))))</f>
        <v>1</v>
      </c>
      <c r="I1671" s="9" t="str">
        <f>IF(Table13[[#This Row],[Previous Quartile Value]]="", "",
   IF(Table13[[#This Row],[Quartile Value]] &lt; Table13[[#This Row],[Previous Quartile Value]], "Improved",
   IF(Table13[[#This Row],[Quartile Value]] &gt; Table13[[#This Row],[Previous Quartile Value]], "Dropped", "Same")))</f>
        <v>Same</v>
      </c>
      <c r="J1671" s="10" t="s">
        <v>12</v>
      </c>
      <c r="K1671" s="7" t="str">
        <f>VLOOKUP(J1671,Introduction!$B$6:$C$14,2)</f>
        <v>London</v>
      </c>
      <c r="L1671" s="11">
        <v>333</v>
      </c>
      <c r="M1671" s="12" t="s">
        <v>573</v>
      </c>
    </row>
    <row r="1672" spans="1:13" ht="19.95" customHeight="1" x14ac:dyDescent="0.25">
      <c r="A1672" s="41">
        <v>45323</v>
      </c>
      <c r="B1672" s="47">
        <f>MONTH(Table13[[#This Row],[YearMonth]])</f>
        <v>2</v>
      </c>
      <c r="C1672" s="9" t="s">
        <v>62</v>
      </c>
      <c r="D1672" s="14" t="s">
        <v>330</v>
      </c>
      <c r="E1672" s="14">
        <f>IF(Table13[[#This Row],[Quartile]]="TopQuartile", 1,
 IF(Table13[[#This Row],[Quartile]]="SecondQuartile", 2,
 IF(Table13[[#This Row],[Quartile]]="ThirdQuartile", 3,
 IF(Table13[[#This Row],[Quartile]]="FourthQuartile", 4, ""))))</f>
        <v>1</v>
      </c>
      <c r="F1672" s="9" t="s">
        <v>579</v>
      </c>
      <c r="G1672" s="9" t="str" cm="1">
        <f t="array" ref="G1672">IFERROR(
  INDEX(Table13[Quartile],
    MATCH(1,
      (Table13[[#This Row],[OrgName]]=Table13[OrgName]) *
      (Table13[[#This Row],[Month Number]]-1=Table13[Month Number]),
    0)
  ),
"")</f>
        <v>TopQuartile</v>
      </c>
      <c r="H1672" s="9">
        <f>IF(Table13[[#This Row],[Previous Quartile]]="TopQuartile", 1,
 IF(Table13[[#This Row],[Previous Quartile]]="SecondQuartile", 2,
 IF(Table13[[#This Row],[Previous Quartile]]="ThirdQuartile", 3,
 IF(Table13[[#This Row],[Previous Quartile]]="FourthQuartile", 4, ""))))</f>
        <v>1</v>
      </c>
      <c r="I1672" s="9" t="str">
        <f>IF(Table13[[#This Row],[Previous Quartile Value]]="", "",
   IF(Table13[[#This Row],[Quartile Value]] &lt; Table13[[#This Row],[Previous Quartile Value]], "Improved",
   IF(Table13[[#This Row],[Quartile Value]] &gt; Table13[[#This Row],[Previous Quartile Value]], "Dropped", "Same")))</f>
        <v>Same</v>
      </c>
      <c r="J1672" s="10" t="s">
        <v>22</v>
      </c>
      <c r="K1672" s="7" t="str">
        <f>VLOOKUP(J1672,Introduction!$B$6:$C$14,2)</f>
        <v>North West</v>
      </c>
      <c r="L1672" s="11">
        <v>373</v>
      </c>
      <c r="M1672" s="12" t="s">
        <v>573</v>
      </c>
    </row>
    <row r="1673" spans="1:13" ht="19.95" customHeight="1" x14ac:dyDescent="0.25">
      <c r="A1673" s="41">
        <v>45323</v>
      </c>
      <c r="B1673" s="47">
        <f>MONTH(Table13[[#This Row],[YearMonth]])</f>
        <v>2</v>
      </c>
      <c r="C1673" s="9" t="s">
        <v>92</v>
      </c>
      <c r="D1673" s="14" t="s">
        <v>330</v>
      </c>
      <c r="E1673" s="14">
        <f>IF(Table13[[#This Row],[Quartile]]="TopQuartile", 1,
 IF(Table13[[#This Row],[Quartile]]="SecondQuartile", 2,
 IF(Table13[[#This Row],[Quartile]]="ThirdQuartile", 3,
 IF(Table13[[#This Row],[Quartile]]="FourthQuartile", 4, ""))))</f>
        <v>1</v>
      </c>
      <c r="F1673" s="9" t="s">
        <v>586</v>
      </c>
      <c r="G1673" s="9" t="str" cm="1">
        <f t="array" ref="G1673">IFERROR(
  INDEX(Table13[Quartile],
    MATCH(1,
      (Table13[[#This Row],[OrgName]]=Table13[OrgName]) *
      (Table13[[#This Row],[Month Number]]-1=Table13[Month Number]),
    0)
  ),
"")</f>
        <v>TopQuartile</v>
      </c>
      <c r="H1673" s="9">
        <f>IF(Table13[[#This Row],[Previous Quartile]]="TopQuartile", 1,
 IF(Table13[[#This Row],[Previous Quartile]]="SecondQuartile", 2,
 IF(Table13[[#This Row],[Previous Quartile]]="ThirdQuartile", 3,
 IF(Table13[[#This Row],[Previous Quartile]]="FourthQuartile", 4, ""))))</f>
        <v>1</v>
      </c>
      <c r="I1673" s="9" t="str">
        <f>IF(Table13[[#This Row],[Previous Quartile Value]]="", "",
   IF(Table13[[#This Row],[Quartile Value]] &lt; Table13[[#This Row],[Previous Quartile Value]], "Improved",
   IF(Table13[[#This Row],[Quartile Value]] &gt; Table13[[#This Row],[Previous Quartile Value]], "Dropped", "Same")))</f>
        <v>Same</v>
      </c>
      <c r="J1673" s="10" t="s">
        <v>24</v>
      </c>
      <c r="K1673" s="7" t="str">
        <f>VLOOKUP(J1673,Introduction!$B$6:$C$14,2)</f>
        <v>North East and Yorkshire</v>
      </c>
      <c r="L1673" s="11">
        <v>338</v>
      </c>
      <c r="M1673" s="12" t="s">
        <v>573</v>
      </c>
    </row>
    <row r="1674" spans="1:13" ht="19.95" customHeight="1" x14ac:dyDescent="0.25">
      <c r="A1674" s="41">
        <v>45323</v>
      </c>
      <c r="B1674" s="47">
        <f>MONTH(Table13[[#This Row],[YearMonth]])</f>
        <v>2</v>
      </c>
      <c r="C1674" s="9" t="s">
        <v>101</v>
      </c>
      <c r="D1674" s="14" t="s">
        <v>330</v>
      </c>
      <c r="E1674" s="14">
        <f>IF(Table13[[#This Row],[Quartile]]="TopQuartile", 1,
 IF(Table13[[#This Row],[Quartile]]="SecondQuartile", 2,
 IF(Table13[[#This Row],[Quartile]]="ThirdQuartile", 3,
 IF(Table13[[#This Row],[Quartile]]="FourthQuartile", 4, ""))))</f>
        <v>1</v>
      </c>
      <c r="F1674" s="9" t="s">
        <v>587</v>
      </c>
      <c r="G1674" s="9" t="str" cm="1">
        <f t="array" ref="G1674">IFERROR(
  INDEX(Table13[Quartile],
    MATCH(1,
      (Table13[[#This Row],[OrgName]]=Table13[OrgName]) *
      (Table13[[#This Row],[Month Number]]-1=Table13[Month Number]),
    0)
  ),
"")</f>
        <v>SecondQuartile</v>
      </c>
      <c r="H1674" s="9">
        <f>IF(Table13[[#This Row],[Previous Quartile]]="TopQuartile", 1,
 IF(Table13[[#This Row],[Previous Quartile]]="SecondQuartile", 2,
 IF(Table13[[#This Row],[Previous Quartile]]="ThirdQuartile", 3,
 IF(Table13[[#This Row],[Previous Quartile]]="FourthQuartile", 4, ""))))</f>
        <v>2</v>
      </c>
      <c r="I1674" s="9" t="str">
        <f>IF(Table13[[#This Row],[Previous Quartile Value]]="", "",
   IF(Table13[[#This Row],[Quartile Value]] &lt; Table13[[#This Row],[Previous Quartile Value]], "Improved",
   IF(Table13[[#This Row],[Quartile Value]] &gt; Table13[[#This Row],[Previous Quartile Value]], "Dropped", "Same")))</f>
        <v>Improved</v>
      </c>
      <c r="J1674" s="10" t="s">
        <v>22</v>
      </c>
      <c r="K1674" s="7" t="str">
        <f>VLOOKUP(J1674,Introduction!$B$6:$C$14,2)</f>
        <v>North West</v>
      </c>
      <c r="L1674" s="11">
        <v>350</v>
      </c>
      <c r="M1674" s="12" t="s">
        <v>573</v>
      </c>
    </row>
    <row r="1675" spans="1:13" ht="19.95" customHeight="1" x14ac:dyDescent="0.25">
      <c r="A1675" s="41">
        <v>45323</v>
      </c>
      <c r="B1675" s="47">
        <f>MONTH(Table13[[#This Row],[YearMonth]])</f>
        <v>2</v>
      </c>
      <c r="C1675" s="9" t="s">
        <v>107</v>
      </c>
      <c r="D1675" s="14" t="s">
        <v>330</v>
      </c>
      <c r="E1675" s="14">
        <f>IF(Table13[[#This Row],[Quartile]]="TopQuartile", 1,
 IF(Table13[[#This Row],[Quartile]]="SecondQuartile", 2,
 IF(Table13[[#This Row],[Quartile]]="ThirdQuartile", 3,
 IF(Table13[[#This Row],[Quartile]]="FourthQuartile", 4, ""))))</f>
        <v>1</v>
      </c>
      <c r="F1675" s="9" t="s">
        <v>588</v>
      </c>
      <c r="G1675" s="9" t="str" cm="1">
        <f t="array" ref="G1675">IFERROR(
  INDEX(Table13[Quartile],
    MATCH(1,
      (Table13[[#This Row],[OrgName]]=Table13[OrgName]) *
      (Table13[[#This Row],[Month Number]]-1=Table13[Month Number]),
    0)
  ),
"")</f>
        <v>TopQuartile</v>
      </c>
      <c r="H1675" s="9">
        <f>IF(Table13[[#This Row],[Previous Quartile]]="TopQuartile", 1,
 IF(Table13[[#This Row],[Previous Quartile]]="SecondQuartile", 2,
 IF(Table13[[#This Row],[Previous Quartile]]="ThirdQuartile", 3,
 IF(Table13[[#This Row],[Previous Quartile]]="FourthQuartile", 4, ""))))</f>
        <v>1</v>
      </c>
      <c r="I1675" s="9" t="str">
        <f>IF(Table13[[#This Row],[Previous Quartile Value]]="", "",
   IF(Table13[[#This Row],[Quartile Value]] &lt; Table13[[#This Row],[Previous Quartile Value]], "Improved",
   IF(Table13[[#This Row],[Quartile Value]] &gt; Table13[[#This Row],[Previous Quartile Value]], "Dropped", "Same")))</f>
        <v>Same</v>
      </c>
      <c r="J1675" s="10" t="s">
        <v>12</v>
      </c>
      <c r="K1675" s="7" t="str">
        <f>VLOOKUP(J1675,Introduction!$B$6:$C$14,2)</f>
        <v>London</v>
      </c>
      <c r="L1675" s="11">
        <v>294</v>
      </c>
      <c r="M1675" s="12" t="s">
        <v>573</v>
      </c>
    </row>
    <row r="1676" spans="1:13" ht="19.95" customHeight="1" x14ac:dyDescent="0.25">
      <c r="A1676" s="41">
        <v>45323</v>
      </c>
      <c r="B1676" s="47">
        <f>MONTH(Table13[[#This Row],[YearMonth]])</f>
        <v>2</v>
      </c>
      <c r="C1676" s="9" t="s">
        <v>116</v>
      </c>
      <c r="D1676" s="14" t="s">
        <v>330</v>
      </c>
      <c r="E1676" s="14">
        <f>IF(Table13[[#This Row],[Quartile]]="TopQuartile", 1,
 IF(Table13[[#This Row],[Quartile]]="SecondQuartile", 2,
 IF(Table13[[#This Row],[Quartile]]="ThirdQuartile", 3,
 IF(Table13[[#This Row],[Quartile]]="FourthQuartile", 4, ""))))</f>
        <v>1</v>
      </c>
      <c r="F1676" s="9" t="s">
        <v>591</v>
      </c>
      <c r="G1676" s="9" t="str" cm="1">
        <f t="array" ref="G1676">IFERROR(
  INDEX(Table13[Quartile],
    MATCH(1,
      (Table13[[#This Row],[OrgName]]=Table13[OrgName]) *
      (Table13[[#This Row],[Month Number]]-1=Table13[Month Number]),
    0)
  ),
"")</f>
        <v>TopQuartile</v>
      </c>
      <c r="H1676" s="9">
        <f>IF(Table13[[#This Row],[Previous Quartile]]="TopQuartile", 1,
 IF(Table13[[#This Row],[Previous Quartile]]="SecondQuartile", 2,
 IF(Table13[[#This Row],[Previous Quartile]]="ThirdQuartile", 3,
 IF(Table13[[#This Row],[Previous Quartile]]="FourthQuartile", 4, ""))))</f>
        <v>1</v>
      </c>
      <c r="I1676" s="9" t="str">
        <f>IF(Table13[[#This Row],[Previous Quartile Value]]="", "",
   IF(Table13[[#This Row],[Quartile Value]] &lt; Table13[[#This Row],[Previous Quartile Value]], "Improved",
   IF(Table13[[#This Row],[Quartile Value]] &gt; Table13[[#This Row],[Previous Quartile Value]], "Dropped", "Same")))</f>
        <v>Same</v>
      </c>
      <c r="J1676" s="10" t="s">
        <v>14</v>
      </c>
      <c r="K1676" s="7" t="str">
        <f>VLOOKUP(J1676,Introduction!$B$6:$C$14,2)</f>
        <v>South West</v>
      </c>
      <c r="L1676" s="11">
        <v>152</v>
      </c>
      <c r="M1676" s="12" t="s">
        <v>573</v>
      </c>
    </row>
    <row r="1677" spans="1:13" ht="19.95" customHeight="1" x14ac:dyDescent="0.25">
      <c r="A1677" s="41">
        <v>45323</v>
      </c>
      <c r="B1677" s="47">
        <f>MONTH(Table13[[#This Row],[YearMonth]])</f>
        <v>2</v>
      </c>
      <c r="C1677" s="9" t="s">
        <v>213</v>
      </c>
      <c r="D1677" s="14" t="s">
        <v>338</v>
      </c>
      <c r="E1677" s="14">
        <f>IF(Table13[[#This Row],[Quartile]]="TopQuartile", 1,
 IF(Table13[[#This Row],[Quartile]]="SecondQuartile", 2,
 IF(Table13[[#This Row],[Quartile]]="ThirdQuartile", 3,
 IF(Table13[[#This Row],[Quartile]]="FourthQuartile", 4, ""))))</f>
        <v>2</v>
      </c>
      <c r="F1677" s="9" t="s">
        <v>604</v>
      </c>
      <c r="G1677" s="9" t="str" cm="1">
        <f t="array" ref="G1677">IFERROR(
  INDEX(Table13[Quartile],
    MATCH(1,
      (Table13[[#This Row],[OrgName]]=Table13[OrgName]) *
      (Table13[[#This Row],[Month Number]]-1=Table13[Month Number]),
    0)
  ),
"")</f>
        <v>SecondQuartile</v>
      </c>
      <c r="H1677" s="9">
        <f>IF(Table13[[#This Row],[Previous Quartile]]="TopQuartile", 1,
 IF(Table13[[#This Row],[Previous Quartile]]="SecondQuartile", 2,
 IF(Table13[[#This Row],[Previous Quartile]]="ThirdQuartile", 3,
 IF(Table13[[#This Row],[Previous Quartile]]="FourthQuartile", 4, ""))))</f>
        <v>2</v>
      </c>
      <c r="I1677" s="9" t="str">
        <f>IF(Table13[[#This Row],[Previous Quartile Value]]="", "",
   IF(Table13[[#This Row],[Quartile Value]] &lt; Table13[[#This Row],[Previous Quartile Value]], "Improved",
   IF(Table13[[#This Row],[Quartile Value]] &gt; Table13[[#This Row],[Previous Quartile Value]], "Dropped", "Same")))</f>
        <v>Same</v>
      </c>
      <c r="J1677" s="10" t="s">
        <v>12</v>
      </c>
      <c r="K1677" s="7" t="str">
        <f>VLOOKUP(J1677,Introduction!$B$6:$C$14,2)</f>
        <v>London</v>
      </c>
      <c r="L1677" s="11">
        <v>363</v>
      </c>
      <c r="M1677" s="12" t="s">
        <v>573</v>
      </c>
    </row>
    <row r="1678" spans="1:13" ht="19.95" customHeight="1" x14ac:dyDescent="0.25">
      <c r="A1678" s="41">
        <v>45323</v>
      </c>
      <c r="B1678" s="47">
        <f>MONTH(Table13[[#This Row],[YearMonth]])</f>
        <v>2</v>
      </c>
      <c r="C1678" s="9" t="s">
        <v>208</v>
      </c>
      <c r="D1678" s="14" t="s">
        <v>338</v>
      </c>
      <c r="E1678" s="14">
        <f>IF(Table13[[#This Row],[Quartile]]="TopQuartile", 1,
 IF(Table13[[#This Row],[Quartile]]="SecondQuartile", 2,
 IF(Table13[[#This Row],[Quartile]]="ThirdQuartile", 3,
 IF(Table13[[#This Row],[Quartile]]="FourthQuartile", 4, ""))))</f>
        <v>2</v>
      </c>
      <c r="F1678" s="9" t="s">
        <v>603</v>
      </c>
      <c r="G1678" s="9" t="str" cm="1">
        <f t="array" ref="G1678">IFERROR(
  INDEX(Table13[Quartile],
    MATCH(1,
      (Table13[[#This Row],[OrgName]]=Table13[OrgName]) *
      (Table13[[#This Row],[Month Number]]-1=Table13[Month Number]),
    0)
  ),
"")</f>
        <v>SecondQuartile</v>
      </c>
      <c r="H1678" s="9">
        <f>IF(Table13[[#This Row],[Previous Quartile]]="TopQuartile", 1,
 IF(Table13[[#This Row],[Previous Quartile]]="SecondQuartile", 2,
 IF(Table13[[#This Row],[Previous Quartile]]="ThirdQuartile", 3,
 IF(Table13[[#This Row],[Previous Quartile]]="FourthQuartile", 4, ""))))</f>
        <v>2</v>
      </c>
      <c r="I1678" s="9" t="str">
        <f>IF(Table13[[#This Row],[Previous Quartile Value]]="", "",
   IF(Table13[[#This Row],[Quartile Value]] &lt; Table13[[#This Row],[Previous Quartile Value]], "Improved",
   IF(Table13[[#This Row],[Quartile Value]] &gt; Table13[[#This Row],[Previous Quartile Value]], "Dropped", "Same")))</f>
        <v>Same</v>
      </c>
      <c r="J1678" s="10" t="s">
        <v>20</v>
      </c>
      <c r="K1678" s="7" t="str">
        <f>VLOOKUP(J1678,Introduction!$B$6:$C$14,2)</f>
        <v>East of England</v>
      </c>
      <c r="L1678" s="11">
        <v>246</v>
      </c>
      <c r="M1678" s="12" t="s">
        <v>573</v>
      </c>
    </row>
    <row r="1679" spans="1:13" ht="19.95" customHeight="1" x14ac:dyDescent="0.25">
      <c r="A1679" s="41">
        <v>45323</v>
      </c>
      <c r="B1679" s="47">
        <f>MONTH(Table13[[#This Row],[YearMonth]])</f>
        <v>2</v>
      </c>
      <c r="C1679" s="9" t="s">
        <v>178</v>
      </c>
      <c r="D1679" s="14" t="s">
        <v>338</v>
      </c>
      <c r="E1679" s="14">
        <f>IF(Table13[[#This Row],[Quartile]]="TopQuartile", 1,
 IF(Table13[[#This Row],[Quartile]]="SecondQuartile", 2,
 IF(Table13[[#This Row],[Quartile]]="ThirdQuartile", 3,
 IF(Table13[[#This Row],[Quartile]]="FourthQuartile", 4, ""))))</f>
        <v>2</v>
      </c>
      <c r="F1679" s="9" t="s">
        <v>599</v>
      </c>
      <c r="G1679" s="9" t="str" cm="1">
        <f t="array" ref="G1679">IFERROR(
  INDEX(Table13[Quartile],
    MATCH(1,
      (Table13[[#This Row],[OrgName]]=Table13[OrgName]) *
      (Table13[[#This Row],[Month Number]]-1=Table13[Month Number]),
    0)
  ),
"")</f>
        <v>SecondQuartile</v>
      </c>
      <c r="H1679" s="9">
        <f>IF(Table13[[#This Row],[Previous Quartile]]="TopQuartile", 1,
 IF(Table13[[#This Row],[Previous Quartile]]="SecondQuartile", 2,
 IF(Table13[[#This Row],[Previous Quartile]]="ThirdQuartile", 3,
 IF(Table13[[#This Row],[Previous Quartile]]="FourthQuartile", 4, ""))))</f>
        <v>2</v>
      </c>
      <c r="I1679" s="9" t="str">
        <f>IF(Table13[[#This Row],[Previous Quartile Value]]="", "",
   IF(Table13[[#This Row],[Quartile Value]] &lt; Table13[[#This Row],[Previous Quartile Value]], "Improved",
   IF(Table13[[#This Row],[Quartile Value]] &gt; Table13[[#This Row],[Previous Quartile Value]], "Dropped", "Same")))</f>
        <v>Same</v>
      </c>
      <c r="J1679" s="10" t="s">
        <v>16</v>
      </c>
      <c r="K1679" s="7" t="str">
        <f>VLOOKUP(J1679,Introduction!$B$6:$C$14,2)</f>
        <v>South East</v>
      </c>
      <c r="L1679" s="11">
        <v>348</v>
      </c>
      <c r="M1679" s="12" t="s">
        <v>573</v>
      </c>
    </row>
    <row r="1680" spans="1:13" ht="19.95" customHeight="1" x14ac:dyDescent="0.25">
      <c r="A1680" s="41">
        <v>45323</v>
      </c>
      <c r="B1680" s="47">
        <f>MONTH(Table13[[#This Row],[YearMonth]])</f>
        <v>2</v>
      </c>
      <c r="C1680" s="9" t="s">
        <v>78</v>
      </c>
      <c r="D1680" s="14" t="s">
        <v>338</v>
      </c>
      <c r="E1680" s="14">
        <f>IF(Table13[[#This Row],[Quartile]]="TopQuartile", 1,
 IF(Table13[[#This Row],[Quartile]]="SecondQuartile", 2,
 IF(Table13[[#This Row],[Quartile]]="ThirdQuartile", 3,
 IF(Table13[[#This Row],[Quartile]]="FourthQuartile", 4, ""))))</f>
        <v>2</v>
      </c>
      <c r="F1680" s="9" t="s">
        <v>585</v>
      </c>
      <c r="G1680" s="9" t="str" cm="1">
        <f t="array" ref="G1680">IFERROR(
  INDEX(Table13[Quartile],
    MATCH(1,
      (Table13[[#This Row],[OrgName]]=Table13[OrgName]) *
      (Table13[[#This Row],[Month Number]]-1=Table13[Month Number]),
    0)
  ),
"")</f>
        <v>SecondQuartile</v>
      </c>
      <c r="H1680" s="9">
        <f>IF(Table13[[#This Row],[Previous Quartile]]="TopQuartile", 1,
 IF(Table13[[#This Row],[Previous Quartile]]="SecondQuartile", 2,
 IF(Table13[[#This Row],[Previous Quartile]]="ThirdQuartile", 3,
 IF(Table13[[#This Row],[Previous Quartile]]="FourthQuartile", 4, ""))))</f>
        <v>2</v>
      </c>
      <c r="I1680" s="9" t="str">
        <f>IF(Table13[[#This Row],[Previous Quartile Value]]="", "",
   IF(Table13[[#This Row],[Quartile Value]] &lt; Table13[[#This Row],[Previous Quartile Value]], "Improved",
   IF(Table13[[#This Row],[Quartile Value]] &gt; Table13[[#This Row],[Previous Quartile Value]], "Dropped", "Same")))</f>
        <v>Same</v>
      </c>
      <c r="J1680" s="10" t="s">
        <v>24</v>
      </c>
      <c r="K1680" s="7" t="str">
        <f>VLOOKUP(J1680,Introduction!$B$6:$C$14,2)</f>
        <v>North East and Yorkshire</v>
      </c>
      <c r="L1680" s="11">
        <v>346</v>
      </c>
      <c r="M1680" s="12" t="s">
        <v>573</v>
      </c>
    </row>
    <row r="1681" spans="1:13" ht="19.95" customHeight="1" x14ac:dyDescent="0.25">
      <c r="A1681" s="41">
        <v>45323</v>
      </c>
      <c r="B1681" s="47">
        <f>MONTH(Table13[[#This Row],[YearMonth]])</f>
        <v>2</v>
      </c>
      <c r="C1681" s="9" t="s">
        <v>146</v>
      </c>
      <c r="D1681" s="14" t="s">
        <v>338</v>
      </c>
      <c r="E1681" s="14">
        <f>IF(Table13[[#This Row],[Quartile]]="TopQuartile", 1,
 IF(Table13[[#This Row],[Quartile]]="SecondQuartile", 2,
 IF(Table13[[#This Row],[Quartile]]="ThirdQuartile", 3,
 IF(Table13[[#This Row],[Quartile]]="FourthQuartile", 4, ""))))</f>
        <v>2</v>
      </c>
      <c r="F1681" s="9" t="s">
        <v>595</v>
      </c>
      <c r="G1681" s="9" t="str" cm="1">
        <f t="array" ref="G1681">IFERROR(
  INDEX(Table13[Quartile],
    MATCH(1,
      (Table13[[#This Row],[OrgName]]=Table13[OrgName]) *
      (Table13[[#This Row],[Month Number]]-1=Table13[Month Number]),
    0)
  ),
"")</f>
        <v>SecondQuartile</v>
      </c>
      <c r="H1681" s="9">
        <f>IF(Table13[[#This Row],[Previous Quartile]]="TopQuartile", 1,
 IF(Table13[[#This Row],[Previous Quartile]]="SecondQuartile", 2,
 IF(Table13[[#This Row],[Previous Quartile]]="ThirdQuartile", 3,
 IF(Table13[[#This Row],[Previous Quartile]]="FourthQuartile", 4, ""))))</f>
        <v>2</v>
      </c>
      <c r="I1681" s="9" t="str">
        <f>IF(Table13[[#This Row],[Previous Quartile Value]]="", "",
   IF(Table13[[#This Row],[Quartile Value]] &lt; Table13[[#This Row],[Previous Quartile Value]], "Improved",
   IF(Table13[[#This Row],[Quartile Value]] &gt; Table13[[#This Row],[Previous Quartile Value]], "Dropped", "Same")))</f>
        <v>Same</v>
      </c>
      <c r="J1681" s="10" t="s">
        <v>22</v>
      </c>
      <c r="K1681" s="7" t="str">
        <f>VLOOKUP(J1681,Introduction!$B$6:$C$14,2)</f>
        <v>North West</v>
      </c>
      <c r="L1681" s="11">
        <v>437</v>
      </c>
      <c r="M1681" s="12" t="s">
        <v>573</v>
      </c>
    </row>
    <row r="1682" spans="1:13" ht="19.95" customHeight="1" x14ac:dyDescent="0.25">
      <c r="A1682" s="41">
        <v>45323</v>
      </c>
      <c r="B1682" s="47">
        <f>MONTH(Table13[[#This Row],[YearMonth]])</f>
        <v>2</v>
      </c>
      <c r="C1682" s="9" t="s">
        <v>141</v>
      </c>
      <c r="D1682" s="14" t="s">
        <v>338</v>
      </c>
      <c r="E1682" s="14">
        <f>IF(Table13[[#This Row],[Quartile]]="TopQuartile", 1,
 IF(Table13[[#This Row],[Quartile]]="SecondQuartile", 2,
 IF(Table13[[#This Row],[Quartile]]="ThirdQuartile", 3,
 IF(Table13[[#This Row],[Quartile]]="FourthQuartile", 4, ""))))</f>
        <v>2</v>
      </c>
      <c r="F1682" s="9" t="s">
        <v>594</v>
      </c>
      <c r="G1682" s="9" t="str" cm="1">
        <f t="array" ref="G1682">IFERROR(
  INDEX(Table13[Quartile],
    MATCH(1,
      (Table13[[#This Row],[OrgName]]=Table13[OrgName]) *
      (Table13[[#This Row],[Month Number]]-1=Table13[Month Number]),
    0)
  ),
"")</f>
        <v>SecondQuartile</v>
      </c>
      <c r="H1682" s="9">
        <f>IF(Table13[[#This Row],[Previous Quartile]]="TopQuartile", 1,
 IF(Table13[[#This Row],[Previous Quartile]]="SecondQuartile", 2,
 IF(Table13[[#This Row],[Previous Quartile]]="ThirdQuartile", 3,
 IF(Table13[[#This Row],[Previous Quartile]]="FourthQuartile", 4, ""))))</f>
        <v>2</v>
      </c>
      <c r="I1682" s="9" t="str">
        <f>IF(Table13[[#This Row],[Previous Quartile Value]]="", "",
   IF(Table13[[#This Row],[Quartile Value]] &lt; Table13[[#This Row],[Previous Quartile Value]], "Improved",
   IF(Table13[[#This Row],[Quartile Value]] &gt; Table13[[#This Row],[Previous Quartile Value]], "Dropped", "Same")))</f>
        <v>Same</v>
      </c>
      <c r="J1682" s="10" t="s">
        <v>12</v>
      </c>
      <c r="K1682" s="7" t="str">
        <f>VLOOKUP(J1682,Introduction!$B$6:$C$14,2)</f>
        <v>London</v>
      </c>
      <c r="L1682" s="11">
        <v>306</v>
      </c>
      <c r="M1682" s="12" t="s">
        <v>573</v>
      </c>
    </row>
    <row r="1683" spans="1:13" ht="19.95" customHeight="1" x14ac:dyDescent="0.25">
      <c r="A1683" s="41">
        <v>45323</v>
      </c>
      <c r="B1683" s="47">
        <f>MONTH(Table13[[#This Row],[YearMonth]])</f>
        <v>2</v>
      </c>
      <c r="C1683" s="9" t="s">
        <v>77</v>
      </c>
      <c r="D1683" s="14" t="s">
        <v>338</v>
      </c>
      <c r="E1683" s="14">
        <f>IF(Table13[[#This Row],[Quartile]]="TopQuartile", 1,
 IF(Table13[[#This Row],[Quartile]]="SecondQuartile", 2,
 IF(Table13[[#This Row],[Quartile]]="ThirdQuartile", 3,
 IF(Table13[[#This Row],[Quartile]]="FourthQuartile", 4, ""))))</f>
        <v>2</v>
      </c>
      <c r="F1683" s="9" t="s">
        <v>584</v>
      </c>
      <c r="G1683" s="9" t="str" cm="1">
        <f t="array" ref="G1683">IFERROR(
  INDEX(Table13[Quartile],
    MATCH(1,
      (Table13[[#This Row],[OrgName]]=Table13[OrgName]) *
      (Table13[[#This Row],[Month Number]]-1=Table13[Month Number]),
    0)
  ),
"")</f>
        <v>SecondQuartile</v>
      </c>
      <c r="H1683" s="9">
        <f>IF(Table13[[#This Row],[Previous Quartile]]="TopQuartile", 1,
 IF(Table13[[#This Row],[Previous Quartile]]="SecondQuartile", 2,
 IF(Table13[[#This Row],[Previous Quartile]]="ThirdQuartile", 3,
 IF(Table13[[#This Row],[Previous Quartile]]="FourthQuartile", 4, ""))))</f>
        <v>2</v>
      </c>
      <c r="I1683" s="9" t="str">
        <f>IF(Table13[[#This Row],[Previous Quartile Value]]="", "",
   IF(Table13[[#This Row],[Quartile Value]] &lt; Table13[[#This Row],[Previous Quartile Value]], "Improved",
   IF(Table13[[#This Row],[Quartile Value]] &gt; Table13[[#This Row],[Previous Quartile Value]], "Dropped", "Same")))</f>
        <v>Same</v>
      </c>
      <c r="J1683" s="10" t="s">
        <v>14</v>
      </c>
      <c r="K1683" s="7" t="str">
        <f>VLOOKUP(J1683,Introduction!$B$6:$C$14,2)</f>
        <v>South West</v>
      </c>
      <c r="L1683" s="11">
        <v>327</v>
      </c>
      <c r="M1683" s="12" t="s">
        <v>573</v>
      </c>
    </row>
    <row r="1684" spans="1:13" ht="19.95" customHeight="1" x14ac:dyDescent="0.25">
      <c r="A1684" s="41">
        <v>45323</v>
      </c>
      <c r="B1684" s="47">
        <f>MONTH(Table13[[#This Row],[YearMonth]])</f>
        <v>2</v>
      </c>
      <c r="C1684" s="9" t="s">
        <v>152</v>
      </c>
      <c r="D1684" s="14" t="s">
        <v>338</v>
      </c>
      <c r="E1684" s="14">
        <f>IF(Table13[[#This Row],[Quartile]]="TopQuartile", 1,
 IF(Table13[[#This Row],[Quartile]]="SecondQuartile", 2,
 IF(Table13[[#This Row],[Quartile]]="ThirdQuartile", 3,
 IF(Table13[[#This Row],[Quartile]]="FourthQuartile", 4, ""))))</f>
        <v>2</v>
      </c>
      <c r="F1684" s="9" t="s">
        <v>596</v>
      </c>
      <c r="G1684" s="9" t="str" cm="1">
        <f t="array" ref="G1684">IFERROR(
  INDEX(Table13[Quartile],
    MATCH(1,
      (Table13[[#This Row],[OrgName]]=Table13[OrgName]) *
      (Table13[[#This Row],[Month Number]]-1=Table13[Month Number]),
    0)
  ),
"")</f>
        <v>SecondQuartile</v>
      </c>
      <c r="H1684" s="9">
        <f>IF(Table13[[#This Row],[Previous Quartile]]="TopQuartile", 1,
 IF(Table13[[#This Row],[Previous Quartile]]="SecondQuartile", 2,
 IF(Table13[[#This Row],[Previous Quartile]]="ThirdQuartile", 3,
 IF(Table13[[#This Row],[Previous Quartile]]="FourthQuartile", 4, ""))))</f>
        <v>2</v>
      </c>
      <c r="I1684" s="9" t="str">
        <f>IF(Table13[[#This Row],[Previous Quartile Value]]="", "",
   IF(Table13[[#This Row],[Quartile Value]] &lt; Table13[[#This Row],[Previous Quartile Value]], "Improved",
   IF(Table13[[#This Row],[Quartile Value]] &gt; Table13[[#This Row],[Previous Quartile Value]], "Dropped", "Same")))</f>
        <v>Same</v>
      </c>
      <c r="J1684" s="10" t="s">
        <v>12</v>
      </c>
      <c r="K1684" s="7" t="str">
        <f>VLOOKUP(J1684,Introduction!$B$6:$C$14,2)</f>
        <v>London</v>
      </c>
      <c r="L1684" s="11">
        <v>222</v>
      </c>
      <c r="M1684" s="12" t="s">
        <v>573</v>
      </c>
    </row>
    <row r="1685" spans="1:13" ht="19.95" customHeight="1" x14ac:dyDescent="0.25">
      <c r="A1685" s="41">
        <v>45323</v>
      </c>
      <c r="B1685" s="47">
        <f>MONTH(Table13[[#This Row],[YearMonth]])</f>
        <v>2</v>
      </c>
      <c r="C1685" s="9" t="s">
        <v>114</v>
      </c>
      <c r="D1685" s="14" t="s">
        <v>338</v>
      </c>
      <c r="E1685" s="14">
        <f>IF(Table13[[#This Row],[Quartile]]="TopQuartile", 1,
 IF(Table13[[#This Row],[Quartile]]="SecondQuartile", 2,
 IF(Table13[[#This Row],[Quartile]]="ThirdQuartile", 3,
 IF(Table13[[#This Row],[Quartile]]="FourthQuartile", 4, ""))))</f>
        <v>2</v>
      </c>
      <c r="F1685" s="9" t="s">
        <v>590</v>
      </c>
      <c r="G1685" s="9" t="str" cm="1">
        <f t="array" ref="G1685">IFERROR(
  INDEX(Table13[Quartile],
    MATCH(1,
      (Table13[[#This Row],[OrgName]]=Table13[OrgName]) *
      (Table13[[#This Row],[Month Number]]-1=Table13[Month Number]),
    0)
  ),
"")</f>
        <v>ThirdQuartile</v>
      </c>
      <c r="H1685" s="9">
        <f>IF(Table13[[#This Row],[Previous Quartile]]="TopQuartile", 1,
 IF(Table13[[#This Row],[Previous Quartile]]="SecondQuartile", 2,
 IF(Table13[[#This Row],[Previous Quartile]]="ThirdQuartile", 3,
 IF(Table13[[#This Row],[Previous Quartile]]="FourthQuartile", 4, ""))))</f>
        <v>3</v>
      </c>
      <c r="I1685" s="9" t="str">
        <f>IF(Table13[[#This Row],[Previous Quartile Value]]="", "",
   IF(Table13[[#This Row],[Quartile Value]] &lt; Table13[[#This Row],[Previous Quartile Value]], "Improved",
   IF(Table13[[#This Row],[Quartile Value]] &gt; Table13[[#This Row],[Previous Quartile Value]], "Dropped", "Same")))</f>
        <v>Improved</v>
      </c>
      <c r="J1685" s="10" t="s">
        <v>20</v>
      </c>
      <c r="K1685" s="7" t="str">
        <f>VLOOKUP(J1685,Introduction!$B$6:$C$14,2)</f>
        <v>East of England</v>
      </c>
      <c r="L1685" s="11">
        <v>367</v>
      </c>
      <c r="M1685" s="12" t="s">
        <v>573</v>
      </c>
    </row>
    <row r="1686" spans="1:13" ht="19.95" customHeight="1" x14ac:dyDescent="0.25">
      <c r="A1686" s="41">
        <v>45323</v>
      </c>
      <c r="B1686" s="47">
        <f>MONTH(Table13[[#This Row],[YearMonth]])</f>
        <v>2</v>
      </c>
      <c r="C1686" s="9" t="s">
        <v>182</v>
      </c>
      <c r="D1686" s="14" t="s">
        <v>338</v>
      </c>
      <c r="E1686" s="14">
        <f>IF(Table13[[#This Row],[Quartile]]="TopQuartile", 1,
 IF(Table13[[#This Row],[Quartile]]="SecondQuartile", 2,
 IF(Table13[[#This Row],[Quartile]]="ThirdQuartile", 3,
 IF(Table13[[#This Row],[Quartile]]="FourthQuartile", 4, ""))))</f>
        <v>2</v>
      </c>
      <c r="F1686" s="9" t="s">
        <v>600</v>
      </c>
      <c r="G1686" s="9" t="str" cm="1">
        <f t="array" ref="G1686">IFERROR(
  INDEX(Table13[Quartile],
    MATCH(1,
      (Table13[[#This Row],[OrgName]]=Table13[OrgName]) *
      (Table13[[#This Row],[Month Number]]-1=Table13[Month Number]),
    0)
  ),
"")</f>
        <v>SecondQuartile</v>
      </c>
      <c r="H1686" s="9">
        <f>IF(Table13[[#This Row],[Previous Quartile]]="TopQuartile", 1,
 IF(Table13[[#This Row],[Previous Quartile]]="SecondQuartile", 2,
 IF(Table13[[#This Row],[Previous Quartile]]="ThirdQuartile", 3,
 IF(Table13[[#This Row],[Previous Quartile]]="FourthQuartile", 4, ""))))</f>
        <v>2</v>
      </c>
      <c r="I1686" s="9" t="str">
        <f>IF(Table13[[#This Row],[Previous Quartile Value]]="", "",
   IF(Table13[[#This Row],[Quartile Value]] &lt; Table13[[#This Row],[Previous Quartile Value]], "Improved",
   IF(Table13[[#This Row],[Quartile Value]] &gt; Table13[[#This Row],[Previous Quartile Value]], "Dropped", "Same")))</f>
        <v>Same</v>
      </c>
      <c r="J1686" s="10" t="s">
        <v>18</v>
      </c>
      <c r="K1686" s="7" t="str">
        <f>VLOOKUP(J1686,Introduction!$B$6:$C$14,2)</f>
        <v>Midlands</v>
      </c>
      <c r="L1686" s="11">
        <v>270</v>
      </c>
      <c r="M1686" s="12" t="s">
        <v>573</v>
      </c>
    </row>
    <row r="1687" spans="1:13" ht="19.95" customHeight="1" x14ac:dyDescent="0.25">
      <c r="A1687" s="41">
        <v>45323</v>
      </c>
      <c r="B1687" s="47">
        <f>MONTH(Table13[[#This Row],[YearMonth]])</f>
        <v>2</v>
      </c>
      <c r="C1687" s="9" t="s">
        <v>244</v>
      </c>
      <c r="D1687" s="14" t="s">
        <v>338</v>
      </c>
      <c r="E1687" s="14">
        <f>IF(Table13[[#This Row],[Quartile]]="TopQuartile", 1,
 IF(Table13[[#This Row],[Quartile]]="SecondQuartile", 2,
 IF(Table13[[#This Row],[Quartile]]="ThirdQuartile", 3,
 IF(Table13[[#This Row],[Quartile]]="FourthQuartile", 4, ""))))</f>
        <v>2</v>
      </c>
      <c r="F1687" s="9" t="s">
        <v>606</v>
      </c>
      <c r="G1687" s="9" t="str" cm="1">
        <f t="array" ref="G1687">IFERROR(
  INDEX(Table13[Quartile],
    MATCH(1,
      (Table13[[#This Row],[OrgName]]=Table13[OrgName]) *
      (Table13[[#This Row],[Month Number]]-1=Table13[Month Number]),
    0)
  ),
"")</f>
        <v>SecondQuartile</v>
      </c>
      <c r="H1687" s="9">
        <f>IF(Table13[[#This Row],[Previous Quartile]]="TopQuartile", 1,
 IF(Table13[[#This Row],[Previous Quartile]]="SecondQuartile", 2,
 IF(Table13[[#This Row],[Previous Quartile]]="ThirdQuartile", 3,
 IF(Table13[[#This Row],[Previous Quartile]]="FourthQuartile", 4, ""))))</f>
        <v>2</v>
      </c>
      <c r="I1687" s="9" t="str">
        <f>IF(Table13[[#This Row],[Previous Quartile Value]]="", "",
   IF(Table13[[#This Row],[Quartile Value]] &lt; Table13[[#This Row],[Previous Quartile Value]], "Improved",
   IF(Table13[[#This Row],[Quartile Value]] &gt; Table13[[#This Row],[Previous Quartile Value]], "Dropped", "Same")))</f>
        <v>Same</v>
      </c>
      <c r="J1687" s="10" t="s">
        <v>18</v>
      </c>
      <c r="K1687" s="7" t="str">
        <f>VLOOKUP(J1687,Introduction!$B$6:$C$14,2)</f>
        <v>Midlands</v>
      </c>
      <c r="L1687" s="11">
        <v>313</v>
      </c>
      <c r="M1687" s="12" t="s">
        <v>573</v>
      </c>
    </row>
    <row r="1688" spans="1:13" ht="19.95" customHeight="1" x14ac:dyDescent="0.25">
      <c r="A1688" s="41">
        <v>45323</v>
      </c>
      <c r="B1688" s="47">
        <f>MONTH(Table13[[#This Row],[YearMonth]])</f>
        <v>2</v>
      </c>
      <c r="C1688" s="9" t="s">
        <v>172</v>
      </c>
      <c r="D1688" s="14" t="s">
        <v>338</v>
      </c>
      <c r="E1688" s="14">
        <f>IF(Table13[[#This Row],[Quartile]]="TopQuartile", 1,
 IF(Table13[[#This Row],[Quartile]]="SecondQuartile", 2,
 IF(Table13[[#This Row],[Quartile]]="ThirdQuartile", 3,
 IF(Table13[[#This Row],[Quartile]]="FourthQuartile", 4, ""))))</f>
        <v>2</v>
      </c>
      <c r="F1688" s="9" t="s">
        <v>598</v>
      </c>
      <c r="G1688" s="9" t="str" cm="1">
        <f t="array" ref="G1688">IFERROR(
  INDEX(Table13[Quartile],
    MATCH(1,
      (Table13[[#This Row],[OrgName]]=Table13[OrgName]) *
      (Table13[[#This Row],[Month Number]]-1=Table13[Month Number]),
    0)
  ),
"")</f>
        <v>SecondQuartile</v>
      </c>
      <c r="H1688" s="9">
        <f>IF(Table13[[#This Row],[Previous Quartile]]="TopQuartile", 1,
 IF(Table13[[#This Row],[Previous Quartile]]="SecondQuartile", 2,
 IF(Table13[[#This Row],[Previous Quartile]]="ThirdQuartile", 3,
 IF(Table13[[#This Row],[Previous Quartile]]="FourthQuartile", 4, ""))))</f>
        <v>2</v>
      </c>
      <c r="I1688" s="9" t="str">
        <f>IF(Table13[[#This Row],[Previous Quartile Value]]="", "",
   IF(Table13[[#This Row],[Quartile Value]] &lt; Table13[[#This Row],[Previous Quartile Value]], "Improved",
   IF(Table13[[#This Row],[Quartile Value]] &gt; Table13[[#This Row],[Previous Quartile Value]], "Dropped", "Same")))</f>
        <v>Same</v>
      </c>
      <c r="J1688" s="10" t="s">
        <v>18</v>
      </c>
      <c r="K1688" s="7" t="str">
        <f>VLOOKUP(J1688,Introduction!$B$6:$C$14,2)</f>
        <v>Midlands</v>
      </c>
      <c r="L1688" s="11">
        <v>232</v>
      </c>
      <c r="M1688" s="12" t="s">
        <v>573</v>
      </c>
    </row>
    <row r="1689" spans="1:13" ht="19.95" customHeight="1" x14ac:dyDescent="0.25">
      <c r="A1689" s="41">
        <v>45323</v>
      </c>
      <c r="B1689" s="47">
        <f>MONTH(Table13[[#This Row],[YearMonth]])</f>
        <v>2</v>
      </c>
      <c r="C1689" s="9" t="s">
        <v>67</v>
      </c>
      <c r="D1689" s="14" t="s">
        <v>338</v>
      </c>
      <c r="E1689" s="14">
        <f>IF(Table13[[#This Row],[Quartile]]="TopQuartile", 1,
 IF(Table13[[#This Row],[Quartile]]="SecondQuartile", 2,
 IF(Table13[[#This Row],[Quartile]]="ThirdQuartile", 3,
 IF(Table13[[#This Row],[Quartile]]="FourthQuartile", 4, ""))))</f>
        <v>2</v>
      </c>
      <c r="F1689" s="9" t="s">
        <v>580</v>
      </c>
      <c r="G1689" s="9" t="str" cm="1">
        <f t="array" ref="G1689">IFERROR(
  INDEX(Table13[Quartile],
    MATCH(1,
      (Table13[[#This Row],[OrgName]]=Table13[OrgName]) *
      (Table13[[#This Row],[Month Number]]-1=Table13[Month Number]),
    0)
  ),
"")</f>
        <v>SecondQuartile</v>
      </c>
      <c r="H1689" s="9">
        <f>IF(Table13[[#This Row],[Previous Quartile]]="TopQuartile", 1,
 IF(Table13[[#This Row],[Previous Quartile]]="SecondQuartile", 2,
 IF(Table13[[#This Row],[Previous Quartile]]="ThirdQuartile", 3,
 IF(Table13[[#This Row],[Previous Quartile]]="FourthQuartile", 4, ""))))</f>
        <v>2</v>
      </c>
      <c r="I1689" s="9" t="str">
        <f>IF(Table13[[#This Row],[Previous Quartile Value]]="", "",
   IF(Table13[[#This Row],[Quartile Value]] &lt; Table13[[#This Row],[Previous Quartile Value]], "Improved",
   IF(Table13[[#This Row],[Quartile Value]] &gt; Table13[[#This Row],[Previous Quartile Value]], "Dropped", "Same")))</f>
        <v>Same</v>
      </c>
      <c r="J1689" s="10" t="s">
        <v>22</v>
      </c>
      <c r="K1689" s="7" t="str">
        <f>VLOOKUP(J1689,Introduction!$B$6:$C$14,2)</f>
        <v>North West</v>
      </c>
      <c r="L1689" s="11">
        <v>311</v>
      </c>
      <c r="M1689" s="12" t="s">
        <v>573</v>
      </c>
    </row>
    <row r="1690" spans="1:13" ht="19.95" customHeight="1" x14ac:dyDescent="0.25">
      <c r="A1690" s="41">
        <v>45323</v>
      </c>
      <c r="B1690" s="47">
        <f>MONTH(Table13[[#This Row],[YearMonth]])</f>
        <v>2</v>
      </c>
      <c r="C1690" s="9" t="s">
        <v>187</v>
      </c>
      <c r="D1690" s="14" t="s">
        <v>341</v>
      </c>
      <c r="E1690" s="14">
        <f>IF(Table13[[#This Row],[Quartile]]="TopQuartile", 1,
 IF(Table13[[#This Row],[Quartile]]="SecondQuartile", 2,
 IF(Table13[[#This Row],[Quartile]]="ThirdQuartile", 3,
 IF(Table13[[#This Row],[Quartile]]="FourthQuartile", 4, ""))))</f>
        <v>3</v>
      </c>
      <c r="F1690" s="9" t="s">
        <v>602</v>
      </c>
      <c r="G1690" s="9" t="str" cm="1">
        <f t="array" ref="G1690">IFERROR(
  INDEX(Table13[Quartile],
    MATCH(1,
      (Table13[[#This Row],[OrgName]]=Table13[OrgName]) *
      (Table13[[#This Row],[Month Number]]-1=Table13[Month Number]),
    0)
  ),
"")</f>
        <v>ThirdQuartile</v>
      </c>
      <c r="H1690" s="9">
        <f>IF(Table13[[#This Row],[Previous Quartile]]="TopQuartile", 1,
 IF(Table13[[#This Row],[Previous Quartile]]="SecondQuartile", 2,
 IF(Table13[[#This Row],[Previous Quartile]]="ThirdQuartile", 3,
 IF(Table13[[#This Row],[Previous Quartile]]="FourthQuartile", 4, ""))))</f>
        <v>3</v>
      </c>
      <c r="I1690" s="9" t="str">
        <f>IF(Table13[[#This Row],[Previous Quartile Value]]="", "",
   IF(Table13[[#This Row],[Quartile Value]] &lt; Table13[[#This Row],[Previous Quartile Value]], "Improved",
   IF(Table13[[#This Row],[Quartile Value]] &gt; Table13[[#This Row],[Previous Quartile Value]], "Dropped", "Same")))</f>
        <v>Same</v>
      </c>
      <c r="J1690" s="10" t="s">
        <v>18</v>
      </c>
      <c r="K1690" s="7" t="str">
        <f>VLOOKUP(J1690,Introduction!$B$6:$C$14,2)</f>
        <v>Midlands</v>
      </c>
      <c r="L1690" s="11">
        <v>383</v>
      </c>
      <c r="M1690" s="12" t="s">
        <v>573</v>
      </c>
    </row>
    <row r="1691" spans="1:13" ht="19.95" customHeight="1" x14ac:dyDescent="0.25">
      <c r="A1691" s="41">
        <v>45323</v>
      </c>
      <c r="B1691" s="47">
        <f>MONTH(Table13[[#This Row],[YearMonth]])</f>
        <v>2</v>
      </c>
      <c r="C1691" s="9" t="s">
        <v>58</v>
      </c>
      <c r="D1691" s="14" t="s">
        <v>341</v>
      </c>
      <c r="E1691" s="14">
        <f>IF(Table13[[#This Row],[Quartile]]="TopQuartile", 1,
 IF(Table13[[#This Row],[Quartile]]="SecondQuartile", 2,
 IF(Table13[[#This Row],[Quartile]]="ThirdQuartile", 3,
 IF(Table13[[#This Row],[Quartile]]="FourthQuartile", 4, ""))))</f>
        <v>3</v>
      </c>
      <c r="F1691" s="9" t="s">
        <v>578</v>
      </c>
      <c r="G1691" s="9" t="str" cm="1">
        <f t="array" ref="G1691">IFERROR(
  INDEX(Table13[Quartile],
    MATCH(1,
      (Table13[[#This Row],[OrgName]]=Table13[OrgName]) *
      (Table13[[#This Row],[Month Number]]-1=Table13[Month Number]),
    0)
  ),
"")</f>
        <v>ThirdQuartile</v>
      </c>
      <c r="H1691" s="9">
        <f>IF(Table13[[#This Row],[Previous Quartile]]="TopQuartile", 1,
 IF(Table13[[#This Row],[Previous Quartile]]="SecondQuartile", 2,
 IF(Table13[[#This Row],[Previous Quartile]]="ThirdQuartile", 3,
 IF(Table13[[#This Row],[Previous Quartile]]="FourthQuartile", 4, ""))))</f>
        <v>3</v>
      </c>
      <c r="I1691" s="9" t="str">
        <f>IF(Table13[[#This Row],[Previous Quartile Value]]="", "",
   IF(Table13[[#This Row],[Quartile Value]] &lt; Table13[[#This Row],[Previous Quartile Value]], "Improved",
   IF(Table13[[#This Row],[Quartile Value]] &gt; Table13[[#This Row],[Previous Quartile Value]], "Dropped", "Same")))</f>
        <v>Same</v>
      </c>
      <c r="J1691" s="10" t="s">
        <v>24</v>
      </c>
      <c r="K1691" s="7" t="str">
        <f>VLOOKUP(J1691,Introduction!$B$6:$C$14,2)</f>
        <v>North East and Yorkshire</v>
      </c>
      <c r="L1691" s="11">
        <v>376</v>
      </c>
      <c r="M1691" s="12" t="s">
        <v>573</v>
      </c>
    </row>
    <row r="1692" spans="1:13" ht="19.95" customHeight="1" x14ac:dyDescent="0.25">
      <c r="A1692" s="41">
        <v>45323</v>
      </c>
      <c r="B1692" s="47">
        <f>MONTH(Table13[[#This Row],[YearMonth]])</f>
        <v>2</v>
      </c>
      <c r="C1692" s="9" t="s">
        <v>167</v>
      </c>
      <c r="D1692" s="14" t="s">
        <v>341</v>
      </c>
      <c r="E1692" s="14">
        <f>IF(Table13[[#This Row],[Quartile]]="TopQuartile", 1,
 IF(Table13[[#This Row],[Quartile]]="SecondQuartile", 2,
 IF(Table13[[#This Row],[Quartile]]="ThirdQuartile", 3,
 IF(Table13[[#This Row],[Quartile]]="FourthQuartile", 4, ""))))</f>
        <v>3</v>
      </c>
      <c r="F1692" s="9" t="s">
        <v>597</v>
      </c>
      <c r="G1692" s="9" t="str" cm="1">
        <f t="array" ref="G1692">IFERROR(
  INDEX(Table13[Quartile],
    MATCH(1,
      (Table13[[#This Row],[OrgName]]=Table13[OrgName]) *
      (Table13[[#This Row],[Month Number]]-1=Table13[Month Number]),
    0)
  ),
"")</f>
        <v>ThirdQuartile</v>
      </c>
      <c r="H1692" s="9">
        <f>IF(Table13[[#This Row],[Previous Quartile]]="TopQuartile", 1,
 IF(Table13[[#This Row],[Previous Quartile]]="SecondQuartile", 2,
 IF(Table13[[#This Row],[Previous Quartile]]="ThirdQuartile", 3,
 IF(Table13[[#This Row],[Previous Quartile]]="FourthQuartile", 4, ""))))</f>
        <v>3</v>
      </c>
      <c r="I1692" s="9" t="str">
        <f>IF(Table13[[#This Row],[Previous Quartile Value]]="", "",
   IF(Table13[[#This Row],[Quartile Value]] &lt; Table13[[#This Row],[Previous Quartile Value]], "Improved",
   IF(Table13[[#This Row],[Quartile Value]] &gt; Table13[[#This Row],[Previous Quartile Value]], "Dropped", "Same")))</f>
        <v>Same</v>
      </c>
      <c r="J1692" s="10" t="s">
        <v>18</v>
      </c>
      <c r="K1692" s="7" t="str">
        <f>VLOOKUP(J1692,Introduction!$B$6:$C$14,2)</f>
        <v>Midlands</v>
      </c>
      <c r="L1692" s="11">
        <v>301</v>
      </c>
      <c r="M1692" s="12" t="s">
        <v>573</v>
      </c>
    </row>
    <row r="1693" spans="1:13" ht="19.95" customHeight="1" x14ac:dyDescent="0.25">
      <c r="A1693" s="41">
        <v>45323</v>
      </c>
      <c r="B1693" s="47">
        <f>MONTH(Table13[[#This Row],[YearMonth]])</f>
        <v>2</v>
      </c>
      <c r="C1693" s="9" t="s">
        <v>240</v>
      </c>
      <c r="D1693" s="14" t="s">
        <v>341</v>
      </c>
      <c r="E1693" s="14">
        <f>IF(Table13[[#This Row],[Quartile]]="TopQuartile", 1,
 IF(Table13[[#This Row],[Quartile]]="SecondQuartile", 2,
 IF(Table13[[#This Row],[Quartile]]="ThirdQuartile", 3,
 IF(Table13[[#This Row],[Quartile]]="FourthQuartile", 4, ""))))</f>
        <v>3</v>
      </c>
      <c r="F1693" s="9" t="s">
        <v>605</v>
      </c>
      <c r="G1693" s="9" t="str" cm="1">
        <f t="array" ref="G1693">IFERROR(
  INDEX(Table13[Quartile],
    MATCH(1,
      (Table13[[#This Row],[OrgName]]=Table13[OrgName]) *
      (Table13[[#This Row],[Month Number]]-1=Table13[Month Number]),
    0)
  ),
"")</f>
        <v>ThirdQuartile</v>
      </c>
      <c r="H1693" s="9">
        <f>IF(Table13[[#This Row],[Previous Quartile]]="TopQuartile", 1,
 IF(Table13[[#This Row],[Previous Quartile]]="SecondQuartile", 2,
 IF(Table13[[#This Row],[Previous Quartile]]="ThirdQuartile", 3,
 IF(Table13[[#This Row],[Previous Quartile]]="FourthQuartile", 4, ""))))</f>
        <v>3</v>
      </c>
      <c r="I1693" s="9" t="str">
        <f>IF(Table13[[#This Row],[Previous Quartile Value]]="", "",
   IF(Table13[[#This Row],[Quartile Value]] &lt; Table13[[#This Row],[Previous Quartile Value]], "Improved",
   IF(Table13[[#This Row],[Quartile Value]] &gt; Table13[[#This Row],[Previous Quartile Value]], "Dropped", "Same")))</f>
        <v>Same</v>
      </c>
      <c r="J1693" s="10" t="s">
        <v>12</v>
      </c>
      <c r="K1693" s="7" t="str">
        <f>VLOOKUP(J1693,Introduction!$B$6:$C$14,2)</f>
        <v>London</v>
      </c>
      <c r="L1693" s="11">
        <v>277</v>
      </c>
      <c r="M1693" s="12" t="s">
        <v>573</v>
      </c>
    </row>
    <row r="1694" spans="1:13" ht="19.95" customHeight="1" x14ac:dyDescent="0.25">
      <c r="A1694" s="41">
        <v>45323</v>
      </c>
      <c r="B1694" s="47">
        <f>MONTH(Table13[[#This Row],[YearMonth]])</f>
        <v>2</v>
      </c>
      <c r="C1694" s="9" t="s">
        <v>118</v>
      </c>
      <c r="D1694" s="14" t="s">
        <v>341</v>
      </c>
      <c r="E1694" s="14">
        <f>IF(Table13[[#This Row],[Quartile]]="TopQuartile", 1,
 IF(Table13[[#This Row],[Quartile]]="SecondQuartile", 2,
 IF(Table13[[#This Row],[Quartile]]="ThirdQuartile", 3,
 IF(Table13[[#This Row],[Quartile]]="FourthQuartile", 4, ""))))</f>
        <v>3</v>
      </c>
      <c r="F1694" s="9" t="s">
        <v>592</v>
      </c>
      <c r="G1694" s="9" t="str" cm="1">
        <f t="array" ref="G1694">IFERROR(
  INDEX(Table13[Quartile],
    MATCH(1,
      (Table13[[#This Row],[OrgName]]=Table13[OrgName]) *
      (Table13[[#This Row],[Month Number]]-1=Table13[Month Number]),
    0)
  ),
"")</f>
        <v>ThirdQuartile</v>
      </c>
      <c r="H1694" s="9">
        <f>IF(Table13[[#This Row],[Previous Quartile]]="TopQuartile", 1,
 IF(Table13[[#This Row],[Previous Quartile]]="SecondQuartile", 2,
 IF(Table13[[#This Row],[Previous Quartile]]="ThirdQuartile", 3,
 IF(Table13[[#This Row],[Previous Quartile]]="FourthQuartile", 4, ""))))</f>
        <v>3</v>
      </c>
      <c r="I1694" s="9" t="str">
        <f>IF(Table13[[#This Row],[Previous Quartile Value]]="", "",
   IF(Table13[[#This Row],[Quartile Value]] &lt; Table13[[#This Row],[Previous Quartile Value]], "Improved",
   IF(Table13[[#This Row],[Quartile Value]] &gt; Table13[[#This Row],[Previous Quartile Value]], "Dropped", "Same")))</f>
        <v>Same</v>
      </c>
      <c r="J1694" s="10" t="s">
        <v>18</v>
      </c>
      <c r="K1694" s="7" t="str">
        <f>VLOOKUP(J1694,Introduction!$B$6:$C$14,2)</f>
        <v>Midlands</v>
      </c>
      <c r="L1694" s="11">
        <v>186</v>
      </c>
      <c r="M1694" s="12" t="s">
        <v>573</v>
      </c>
    </row>
    <row r="1695" spans="1:13" ht="19.95" customHeight="1" x14ac:dyDescent="0.25">
      <c r="A1695" s="41">
        <v>45323</v>
      </c>
      <c r="B1695" s="47">
        <f>MONTH(Table13[[#This Row],[YearMonth]])</f>
        <v>2</v>
      </c>
      <c r="C1695" s="9" t="s">
        <v>280</v>
      </c>
      <c r="D1695" s="14" t="s">
        <v>341</v>
      </c>
      <c r="E1695" s="14">
        <f>IF(Table13[[#This Row],[Quartile]]="TopQuartile", 1,
 IF(Table13[[#This Row],[Quartile]]="SecondQuartile", 2,
 IF(Table13[[#This Row],[Quartile]]="ThirdQuartile", 3,
 IF(Table13[[#This Row],[Quartile]]="FourthQuartile", 4, ""))))</f>
        <v>3</v>
      </c>
      <c r="F1695" s="9" t="s">
        <v>612</v>
      </c>
      <c r="G1695" s="9" t="str" cm="1">
        <f t="array" ref="G1695">IFERROR(
  INDEX(Table13[Quartile],
    MATCH(1,
      (Table13[[#This Row],[OrgName]]=Table13[OrgName]) *
      (Table13[[#This Row],[Month Number]]-1=Table13[Month Number]),
    0)
  ),
"")</f>
        <v>ThirdQuartile</v>
      </c>
      <c r="H1695" s="9">
        <f>IF(Table13[[#This Row],[Previous Quartile]]="TopQuartile", 1,
 IF(Table13[[#This Row],[Previous Quartile]]="SecondQuartile", 2,
 IF(Table13[[#This Row],[Previous Quartile]]="ThirdQuartile", 3,
 IF(Table13[[#This Row],[Previous Quartile]]="FourthQuartile", 4, ""))))</f>
        <v>3</v>
      </c>
      <c r="I1695" s="9" t="str">
        <f>IF(Table13[[#This Row],[Previous Quartile Value]]="", "",
   IF(Table13[[#This Row],[Quartile Value]] &lt; Table13[[#This Row],[Previous Quartile Value]], "Improved",
   IF(Table13[[#This Row],[Quartile Value]] &gt; Table13[[#This Row],[Previous Quartile Value]], "Dropped", "Same")))</f>
        <v>Same</v>
      </c>
      <c r="J1695" s="10" t="s">
        <v>12</v>
      </c>
      <c r="K1695" s="7" t="str">
        <f>VLOOKUP(J1695,Introduction!$B$6:$C$14,2)</f>
        <v>London</v>
      </c>
      <c r="L1695" s="11">
        <v>260</v>
      </c>
      <c r="M1695" s="12" t="s">
        <v>573</v>
      </c>
    </row>
    <row r="1696" spans="1:13" ht="19.95" customHeight="1" x14ac:dyDescent="0.25">
      <c r="A1696" s="41">
        <v>45323</v>
      </c>
      <c r="B1696" s="47">
        <f>MONTH(Table13[[#This Row],[YearMonth]])</f>
        <v>2</v>
      </c>
      <c r="C1696" s="9" t="s">
        <v>123</v>
      </c>
      <c r="D1696" s="14" t="s">
        <v>341</v>
      </c>
      <c r="E1696" s="14">
        <f>IF(Table13[[#This Row],[Quartile]]="TopQuartile", 1,
 IF(Table13[[#This Row],[Quartile]]="SecondQuartile", 2,
 IF(Table13[[#This Row],[Quartile]]="ThirdQuartile", 3,
 IF(Table13[[#This Row],[Quartile]]="FourthQuartile", 4, ""))))</f>
        <v>3</v>
      </c>
      <c r="F1696" s="9" t="s">
        <v>593</v>
      </c>
      <c r="G1696" s="9" t="str" cm="1">
        <f t="array" ref="G1696">IFERROR(
  INDEX(Table13[Quartile],
    MATCH(1,
      (Table13[[#This Row],[OrgName]]=Table13[OrgName]) *
      (Table13[[#This Row],[Month Number]]-1=Table13[Month Number]),
    0)
  ),
"")</f>
        <v>SecondQuartile</v>
      </c>
      <c r="H1696" s="9">
        <f>IF(Table13[[#This Row],[Previous Quartile]]="TopQuartile", 1,
 IF(Table13[[#This Row],[Previous Quartile]]="SecondQuartile", 2,
 IF(Table13[[#This Row],[Previous Quartile]]="ThirdQuartile", 3,
 IF(Table13[[#This Row],[Previous Quartile]]="FourthQuartile", 4, ""))))</f>
        <v>2</v>
      </c>
      <c r="I1696" s="9" t="str">
        <f>IF(Table13[[#This Row],[Previous Quartile Value]]="", "",
   IF(Table13[[#This Row],[Quartile Value]] &lt; Table13[[#This Row],[Previous Quartile Value]], "Improved",
   IF(Table13[[#This Row],[Quartile Value]] &gt; Table13[[#This Row],[Previous Quartile Value]], "Dropped", "Same")))</f>
        <v>Dropped</v>
      </c>
      <c r="J1696" s="10" t="s">
        <v>20</v>
      </c>
      <c r="K1696" s="7" t="str">
        <f>VLOOKUP(J1696,Introduction!$B$6:$C$14,2)</f>
        <v>East of England</v>
      </c>
      <c r="L1696" s="11">
        <v>364</v>
      </c>
      <c r="M1696" s="12" t="s">
        <v>573</v>
      </c>
    </row>
    <row r="1697" spans="1:13" ht="19.95" customHeight="1" x14ac:dyDescent="0.25">
      <c r="A1697" s="41">
        <v>45323</v>
      </c>
      <c r="B1697" s="47">
        <f>MONTH(Table13[[#This Row],[YearMonth]])</f>
        <v>2</v>
      </c>
      <c r="C1697" s="9" t="s">
        <v>186</v>
      </c>
      <c r="D1697" s="14" t="s">
        <v>341</v>
      </c>
      <c r="E1697" s="14">
        <f>IF(Table13[[#This Row],[Quartile]]="TopQuartile", 1,
 IF(Table13[[#This Row],[Quartile]]="SecondQuartile", 2,
 IF(Table13[[#This Row],[Quartile]]="ThirdQuartile", 3,
 IF(Table13[[#This Row],[Quartile]]="FourthQuartile", 4, ""))))</f>
        <v>3</v>
      </c>
      <c r="F1697" s="9" t="s">
        <v>601</v>
      </c>
      <c r="G1697" s="9" t="str" cm="1">
        <f t="array" ref="G1697">IFERROR(
  INDEX(Table13[Quartile],
    MATCH(1,
      (Table13[[#This Row],[OrgName]]=Table13[OrgName]) *
      (Table13[[#This Row],[Month Number]]-1=Table13[Month Number]),
    0)
  ),
"")</f>
        <v>ThirdQuartile</v>
      </c>
      <c r="H1697" s="9">
        <f>IF(Table13[[#This Row],[Previous Quartile]]="TopQuartile", 1,
 IF(Table13[[#This Row],[Previous Quartile]]="SecondQuartile", 2,
 IF(Table13[[#This Row],[Previous Quartile]]="ThirdQuartile", 3,
 IF(Table13[[#This Row],[Previous Quartile]]="FourthQuartile", 4, ""))))</f>
        <v>3</v>
      </c>
      <c r="I1697" s="9" t="str">
        <f>IF(Table13[[#This Row],[Previous Quartile Value]]="", "",
   IF(Table13[[#This Row],[Quartile Value]] &lt; Table13[[#This Row],[Previous Quartile Value]], "Improved",
   IF(Table13[[#This Row],[Quartile Value]] &gt; Table13[[#This Row],[Previous Quartile Value]], "Dropped", "Same")))</f>
        <v>Same</v>
      </c>
      <c r="J1697" s="10" t="s">
        <v>16</v>
      </c>
      <c r="K1697" s="7" t="str">
        <f>VLOOKUP(J1697,Introduction!$B$6:$C$14,2)</f>
        <v>South East</v>
      </c>
      <c r="L1697" s="11">
        <v>371</v>
      </c>
      <c r="M1697" s="12" t="s">
        <v>573</v>
      </c>
    </row>
    <row r="1698" spans="1:13" ht="19.95" customHeight="1" x14ac:dyDescent="0.25">
      <c r="A1698" s="41">
        <v>45323</v>
      </c>
      <c r="B1698" s="47">
        <f>MONTH(Table13[[#This Row],[YearMonth]])</f>
        <v>2</v>
      </c>
      <c r="C1698" s="9" t="s">
        <v>250</v>
      </c>
      <c r="D1698" s="14" t="s">
        <v>350</v>
      </c>
      <c r="E1698" s="14">
        <f>IF(Table13[[#This Row],[Quartile]]="TopQuartile", 1,
 IF(Table13[[#This Row],[Quartile]]="SecondQuartile", 2,
 IF(Table13[[#This Row],[Quartile]]="ThirdQuartile", 3,
 IF(Table13[[#This Row],[Quartile]]="FourthQuartile", 4, ""))))</f>
        <v>4</v>
      </c>
      <c r="F1698" s="9" t="s">
        <v>607</v>
      </c>
      <c r="G1698" s="9" t="str" cm="1">
        <f t="array" ref="G1698">IFERROR(
  INDEX(Table13[Quartile],
    MATCH(1,
      (Table13[[#This Row],[OrgName]]=Table13[OrgName]) *
      (Table13[[#This Row],[Month Number]]-1=Table13[Month Number]),
    0)
  ),
"")</f>
        <v>FourthQuartile</v>
      </c>
      <c r="H1698" s="9">
        <f>IF(Table13[[#This Row],[Previous Quartile]]="TopQuartile", 1,
 IF(Table13[[#This Row],[Previous Quartile]]="SecondQuartile", 2,
 IF(Table13[[#This Row],[Previous Quartile]]="ThirdQuartile", 3,
 IF(Table13[[#This Row],[Previous Quartile]]="FourthQuartile", 4, ""))))</f>
        <v>4</v>
      </c>
      <c r="I1698" s="9" t="str">
        <f>IF(Table13[[#This Row],[Previous Quartile Value]]="", "",
   IF(Table13[[#This Row],[Quartile Value]] &lt; Table13[[#This Row],[Previous Quartile Value]], "Improved",
   IF(Table13[[#This Row],[Quartile Value]] &gt; Table13[[#This Row],[Previous Quartile Value]], "Dropped", "Same")))</f>
        <v>Same</v>
      </c>
      <c r="J1698" s="10" t="s">
        <v>16</v>
      </c>
      <c r="K1698" s="7" t="str">
        <f>VLOOKUP(J1698,Introduction!$B$6:$C$14,2)</f>
        <v>South East</v>
      </c>
      <c r="L1698" s="11">
        <v>380</v>
      </c>
      <c r="M1698" s="12" t="s">
        <v>573</v>
      </c>
    </row>
    <row r="1699" spans="1:13" ht="19.95" customHeight="1" x14ac:dyDescent="0.25">
      <c r="A1699" s="41">
        <v>45323</v>
      </c>
      <c r="B1699" s="47">
        <f>MONTH(Table13[[#This Row],[YearMonth]])</f>
        <v>2</v>
      </c>
      <c r="C1699" s="9" t="s">
        <v>268</v>
      </c>
      <c r="D1699" s="14" t="s">
        <v>350</v>
      </c>
      <c r="E1699" s="14">
        <f>IF(Table13[[#This Row],[Quartile]]="TopQuartile", 1,
 IF(Table13[[#This Row],[Quartile]]="SecondQuartile", 2,
 IF(Table13[[#This Row],[Quartile]]="ThirdQuartile", 3,
 IF(Table13[[#This Row],[Quartile]]="FourthQuartile", 4, ""))))</f>
        <v>4</v>
      </c>
      <c r="F1699" s="9" t="s">
        <v>610</v>
      </c>
      <c r="G1699" s="9" t="str" cm="1">
        <f t="array" ref="G1699">IFERROR(
  INDEX(Table13[Quartile],
    MATCH(1,
      (Table13[[#This Row],[OrgName]]=Table13[OrgName]) *
      (Table13[[#This Row],[Month Number]]-1=Table13[Month Number]),
    0)
  ),
"")</f>
        <v>FourthQuartile</v>
      </c>
      <c r="H1699" s="9">
        <f>IF(Table13[[#This Row],[Previous Quartile]]="TopQuartile", 1,
 IF(Table13[[#This Row],[Previous Quartile]]="SecondQuartile", 2,
 IF(Table13[[#This Row],[Previous Quartile]]="ThirdQuartile", 3,
 IF(Table13[[#This Row],[Previous Quartile]]="FourthQuartile", 4, ""))))</f>
        <v>4</v>
      </c>
      <c r="I1699" s="9" t="str">
        <f>IF(Table13[[#This Row],[Previous Quartile Value]]="", "",
   IF(Table13[[#This Row],[Quartile Value]] &lt; Table13[[#This Row],[Previous Quartile Value]], "Improved",
   IF(Table13[[#This Row],[Quartile Value]] &gt; Table13[[#This Row],[Previous Quartile Value]], "Dropped", "Same")))</f>
        <v>Same</v>
      </c>
      <c r="J1699" s="10" t="s">
        <v>16</v>
      </c>
      <c r="K1699" s="7" t="str">
        <f>VLOOKUP(J1699,Introduction!$B$6:$C$14,2)</f>
        <v>South East</v>
      </c>
      <c r="L1699" s="11">
        <v>325</v>
      </c>
      <c r="M1699" s="12" t="s">
        <v>573</v>
      </c>
    </row>
    <row r="1700" spans="1:13" ht="19.95" customHeight="1" x14ac:dyDescent="0.25">
      <c r="A1700" s="41">
        <v>45323</v>
      </c>
      <c r="B1700" s="47">
        <f>MONTH(Table13[[#This Row],[YearMonth]])</f>
        <v>2</v>
      </c>
      <c r="C1700" s="9" t="s">
        <v>264</v>
      </c>
      <c r="D1700" s="14" t="s">
        <v>350</v>
      </c>
      <c r="E1700" s="14">
        <f>IF(Table13[[#This Row],[Quartile]]="TopQuartile", 1,
 IF(Table13[[#This Row],[Quartile]]="SecondQuartile", 2,
 IF(Table13[[#This Row],[Quartile]]="ThirdQuartile", 3,
 IF(Table13[[#This Row],[Quartile]]="FourthQuartile", 4, ""))))</f>
        <v>4</v>
      </c>
      <c r="F1700" s="9" t="s">
        <v>609</v>
      </c>
      <c r="G1700" s="9" t="str" cm="1">
        <f t="array" ref="G1700">IFERROR(
  INDEX(Table13[Quartile],
    MATCH(1,
      (Table13[[#This Row],[OrgName]]=Table13[OrgName]) *
      (Table13[[#This Row],[Month Number]]-1=Table13[Month Number]),
    0)
  ),
"")</f>
        <v>FourthQuartile</v>
      </c>
      <c r="H1700" s="9">
        <f>IF(Table13[[#This Row],[Previous Quartile]]="TopQuartile", 1,
 IF(Table13[[#This Row],[Previous Quartile]]="SecondQuartile", 2,
 IF(Table13[[#This Row],[Previous Quartile]]="ThirdQuartile", 3,
 IF(Table13[[#This Row],[Previous Quartile]]="FourthQuartile", 4, ""))))</f>
        <v>4</v>
      </c>
      <c r="I1700" s="9" t="str">
        <f>IF(Table13[[#This Row],[Previous Quartile Value]]="", "",
   IF(Table13[[#This Row],[Quartile Value]] &lt; Table13[[#This Row],[Previous Quartile Value]], "Improved",
   IF(Table13[[#This Row],[Quartile Value]] &gt; Table13[[#This Row],[Previous Quartile Value]], "Dropped", "Same")))</f>
        <v>Same</v>
      </c>
      <c r="J1700" s="10" t="s">
        <v>16</v>
      </c>
      <c r="K1700" s="7" t="str">
        <f>VLOOKUP(J1700,Introduction!$B$6:$C$14,2)</f>
        <v>South East</v>
      </c>
      <c r="L1700" s="11">
        <v>267</v>
      </c>
      <c r="M1700" s="12" t="s">
        <v>573</v>
      </c>
    </row>
    <row r="1701" spans="1:13" ht="19.95" customHeight="1" x14ac:dyDescent="0.25">
      <c r="A1701" s="41">
        <v>45323</v>
      </c>
      <c r="B1701" s="47">
        <f>MONTH(Table13[[#This Row],[YearMonth]])</f>
        <v>2</v>
      </c>
      <c r="C1701" s="9" t="s">
        <v>271</v>
      </c>
      <c r="D1701" s="14" t="s">
        <v>350</v>
      </c>
      <c r="E1701" s="14">
        <f>IF(Table13[[#This Row],[Quartile]]="TopQuartile", 1,
 IF(Table13[[#This Row],[Quartile]]="SecondQuartile", 2,
 IF(Table13[[#This Row],[Quartile]]="ThirdQuartile", 3,
 IF(Table13[[#This Row],[Quartile]]="FourthQuartile", 4, ""))))</f>
        <v>4</v>
      </c>
      <c r="F1701" s="9" t="s">
        <v>611</v>
      </c>
      <c r="G1701" s="9" t="str" cm="1">
        <f t="array" ref="G1701">IFERROR(
  INDEX(Table13[Quartile],
    MATCH(1,
      (Table13[[#This Row],[OrgName]]=Table13[OrgName]) *
      (Table13[[#This Row],[Month Number]]-1=Table13[Month Number]),
    0)
  ),
"")</f>
        <v>FourthQuartile</v>
      </c>
      <c r="H1701" s="9">
        <f>IF(Table13[[#This Row],[Previous Quartile]]="TopQuartile", 1,
 IF(Table13[[#This Row],[Previous Quartile]]="SecondQuartile", 2,
 IF(Table13[[#This Row],[Previous Quartile]]="ThirdQuartile", 3,
 IF(Table13[[#This Row],[Previous Quartile]]="FourthQuartile", 4, ""))))</f>
        <v>4</v>
      </c>
      <c r="I1701" s="9" t="str">
        <f>IF(Table13[[#This Row],[Previous Quartile Value]]="", "",
   IF(Table13[[#This Row],[Quartile Value]] &lt; Table13[[#This Row],[Previous Quartile Value]], "Improved",
   IF(Table13[[#This Row],[Quartile Value]] &gt; Table13[[#This Row],[Previous Quartile Value]], "Dropped", "Same")))</f>
        <v>Same</v>
      </c>
      <c r="J1701" s="10" t="s">
        <v>12</v>
      </c>
      <c r="K1701" s="7" t="str">
        <f>VLOOKUP(J1701,Introduction!$B$6:$C$14,2)</f>
        <v>London</v>
      </c>
      <c r="L1701" s="11">
        <v>334</v>
      </c>
      <c r="M1701" s="12" t="s">
        <v>573</v>
      </c>
    </row>
    <row r="1702" spans="1:13" ht="19.95" customHeight="1" x14ac:dyDescent="0.25">
      <c r="A1702" s="41">
        <v>45323</v>
      </c>
      <c r="B1702" s="47">
        <f>MONTH(Table13[[#This Row],[YearMonth]])</f>
        <v>2</v>
      </c>
      <c r="C1702" s="9" t="s">
        <v>255</v>
      </c>
      <c r="D1702" s="14" t="s">
        <v>350</v>
      </c>
      <c r="E1702" s="14">
        <f>IF(Table13[[#This Row],[Quartile]]="TopQuartile", 1,
 IF(Table13[[#This Row],[Quartile]]="SecondQuartile", 2,
 IF(Table13[[#This Row],[Quartile]]="ThirdQuartile", 3,
 IF(Table13[[#This Row],[Quartile]]="FourthQuartile", 4, ""))))</f>
        <v>4</v>
      </c>
      <c r="F1702" s="9" t="s">
        <v>608</v>
      </c>
      <c r="G1702" s="9" t="str" cm="1">
        <f t="array" ref="G1702">IFERROR(
  INDEX(Table13[Quartile],
    MATCH(1,
      (Table13[[#This Row],[OrgName]]=Table13[OrgName]) *
      (Table13[[#This Row],[Month Number]]-1=Table13[Month Number]),
    0)
  ),
"")</f>
        <v>FourthQuartile</v>
      </c>
      <c r="H1702" s="9">
        <f>IF(Table13[[#This Row],[Previous Quartile]]="TopQuartile", 1,
 IF(Table13[[#This Row],[Previous Quartile]]="SecondQuartile", 2,
 IF(Table13[[#This Row],[Previous Quartile]]="ThirdQuartile", 3,
 IF(Table13[[#This Row],[Previous Quartile]]="FourthQuartile", 4, ""))))</f>
        <v>4</v>
      </c>
      <c r="I1702" s="9" t="str">
        <f>IF(Table13[[#This Row],[Previous Quartile Value]]="", "",
   IF(Table13[[#This Row],[Quartile Value]] &lt; Table13[[#This Row],[Previous Quartile Value]], "Improved",
   IF(Table13[[#This Row],[Quartile Value]] &gt; Table13[[#This Row],[Previous Quartile Value]], "Dropped", "Same")))</f>
        <v>Same</v>
      </c>
      <c r="J1702" s="10" t="s">
        <v>20</v>
      </c>
      <c r="K1702" s="7" t="str">
        <f>VLOOKUP(J1702,Introduction!$B$6:$C$14,2)</f>
        <v>East of England</v>
      </c>
      <c r="L1702" s="11">
        <v>310</v>
      </c>
      <c r="M1702" s="12" t="s">
        <v>573</v>
      </c>
    </row>
    <row r="1703" spans="1:13" ht="19.95" customHeight="1" x14ac:dyDescent="0.25">
      <c r="A1703" s="41">
        <v>45323</v>
      </c>
      <c r="B1703" s="47">
        <f>MONTH(Table13[[#This Row],[YearMonth]])</f>
        <v>2</v>
      </c>
      <c r="C1703" s="9" t="s">
        <v>286</v>
      </c>
      <c r="D1703" s="14" t="s">
        <v>350</v>
      </c>
      <c r="E1703" s="14">
        <f>IF(Table13[[#This Row],[Quartile]]="TopQuartile", 1,
 IF(Table13[[#This Row],[Quartile]]="SecondQuartile", 2,
 IF(Table13[[#This Row],[Quartile]]="ThirdQuartile", 3,
 IF(Table13[[#This Row],[Quartile]]="FourthQuartile", 4, ""))))</f>
        <v>4</v>
      </c>
      <c r="F1703" s="9" t="s">
        <v>613</v>
      </c>
      <c r="G1703" s="9" t="str" cm="1">
        <f t="array" ref="G1703">IFERROR(
  INDEX(Table13[Quartile],
    MATCH(1,
      (Table13[[#This Row],[OrgName]]=Table13[OrgName]) *
      (Table13[[#This Row],[Month Number]]-1=Table13[Month Number]),
    0)
  ),
"")</f>
        <v>FourthQuartile</v>
      </c>
      <c r="H1703" s="9">
        <f>IF(Table13[[#This Row],[Previous Quartile]]="TopQuartile", 1,
 IF(Table13[[#This Row],[Previous Quartile]]="SecondQuartile", 2,
 IF(Table13[[#This Row],[Previous Quartile]]="ThirdQuartile", 3,
 IF(Table13[[#This Row],[Previous Quartile]]="FourthQuartile", 4, ""))))</f>
        <v>4</v>
      </c>
      <c r="I1703" s="9" t="str">
        <f>IF(Table13[[#This Row],[Previous Quartile Value]]="", "",
   IF(Table13[[#This Row],[Quartile Value]] &lt; Table13[[#This Row],[Previous Quartile Value]], "Improved",
   IF(Table13[[#This Row],[Quartile Value]] &gt; Table13[[#This Row],[Previous Quartile Value]], "Dropped", "Same")))</f>
        <v>Same</v>
      </c>
      <c r="J1703" s="10" t="s">
        <v>12</v>
      </c>
      <c r="K1703" s="7" t="str">
        <f>VLOOKUP(J1703,Introduction!$B$6:$C$14,2)</f>
        <v>London</v>
      </c>
      <c r="L1703" s="11">
        <v>395</v>
      </c>
      <c r="M1703" s="12" t="s">
        <v>573</v>
      </c>
    </row>
    <row r="1704" spans="1:13" ht="19.95" customHeight="1" x14ac:dyDescent="0.25">
      <c r="A1704" s="41">
        <v>45323</v>
      </c>
      <c r="B1704" s="47">
        <f>MONTH(Table13[[#This Row],[YearMonth]])</f>
        <v>2</v>
      </c>
      <c r="C1704" s="9" t="s">
        <v>289</v>
      </c>
      <c r="D1704" s="14" t="s">
        <v>350</v>
      </c>
      <c r="E1704" s="14">
        <f>IF(Table13[[#This Row],[Quartile]]="TopQuartile", 1,
 IF(Table13[[#This Row],[Quartile]]="SecondQuartile", 2,
 IF(Table13[[#This Row],[Quartile]]="ThirdQuartile", 3,
 IF(Table13[[#This Row],[Quartile]]="FourthQuartile", 4, ""))))</f>
        <v>4</v>
      </c>
      <c r="F1704" s="9" t="s">
        <v>614</v>
      </c>
      <c r="G1704" s="9" t="str" cm="1">
        <f t="array" ref="G1704">IFERROR(
  INDEX(Table13[Quartile],
    MATCH(1,
      (Table13[[#This Row],[OrgName]]=Table13[OrgName]) *
      (Table13[[#This Row],[Month Number]]-1=Table13[Month Number]),
    0)
  ),
"")</f>
        <v>FourthQuartile</v>
      </c>
      <c r="H1704" s="9">
        <f>IF(Table13[[#This Row],[Previous Quartile]]="TopQuartile", 1,
 IF(Table13[[#This Row],[Previous Quartile]]="SecondQuartile", 2,
 IF(Table13[[#This Row],[Previous Quartile]]="ThirdQuartile", 3,
 IF(Table13[[#This Row],[Previous Quartile]]="FourthQuartile", 4, ""))))</f>
        <v>4</v>
      </c>
      <c r="I1704" s="9" t="str">
        <f>IF(Table13[[#This Row],[Previous Quartile Value]]="", "",
   IF(Table13[[#This Row],[Quartile Value]] &lt; Table13[[#This Row],[Previous Quartile Value]], "Improved",
   IF(Table13[[#This Row],[Quartile Value]] &gt; Table13[[#This Row],[Previous Quartile Value]], "Dropped", "Same")))</f>
        <v>Same</v>
      </c>
      <c r="J1704" s="10" t="s">
        <v>18</v>
      </c>
      <c r="K1704" s="7" t="str">
        <f>VLOOKUP(J1704,Introduction!$B$6:$C$14,2)</f>
        <v>Midlands</v>
      </c>
      <c r="L1704" s="11">
        <v>285</v>
      </c>
      <c r="M1704" s="12" t="s">
        <v>573</v>
      </c>
    </row>
    <row r="1705" spans="1:13" ht="19.95" customHeight="1" x14ac:dyDescent="0.25">
      <c r="A1705" s="41">
        <v>45323</v>
      </c>
      <c r="B1705" s="47">
        <f>MONTH(Table13[[#This Row],[YearMonth]])</f>
        <v>2</v>
      </c>
      <c r="C1705" s="9" t="s">
        <v>293</v>
      </c>
      <c r="D1705" s="14" t="s">
        <v>350</v>
      </c>
      <c r="E1705" s="14">
        <f>IF(Table13[[#This Row],[Quartile]]="TopQuartile", 1,
 IF(Table13[[#This Row],[Quartile]]="SecondQuartile", 2,
 IF(Table13[[#This Row],[Quartile]]="ThirdQuartile", 3,
 IF(Table13[[#This Row],[Quartile]]="FourthQuartile", 4, ""))))</f>
        <v>4</v>
      </c>
      <c r="F1705" s="9" t="s">
        <v>615</v>
      </c>
      <c r="G1705" s="9" t="str" cm="1">
        <f t="array" ref="G1705">IFERROR(
  INDEX(Table13[Quartile],
    MATCH(1,
      (Table13[[#This Row],[OrgName]]=Table13[OrgName]) *
      (Table13[[#This Row],[Month Number]]-1=Table13[Month Number]),
    0)
  ),
"")</f>
        <v>FourthQuartile</v>
      </c>
      <c r="H1705" s="9">
        <f>IF(Table13[[#This Row],[Previous Quartile]]="TopQuartile", 1,
 IF(Table13[[#This Row],[Previous Quartile]]="SecondQuartile", 2,
 IF(Table13[[#This Row],[Previous Quartile]]="ThirdQuartile", 3,
 IF(Table13[[#This Row],[Previous Quartile]]="FourthQuartile", 4, ""))))</f>
        <v>4</v>
      </c>
      <c r="I1705" s="9" t="str">
        <f>IF(Table13[[#This Row],[Previous Quartile Value]]="", "",
   IF(Table13[[#This Row],[Quartile Value]] &lt; Table13[[#This Row],[Previous Quartile Value]], "Improved",
   IF(Table13[[#This Row],[Quartile Value]] &gt; Table13[[#This Row],[Previous Quartile Value]], "Dropped", "Same")))</f>
        <v>Same</v>
      </c>
      <c r="J1705" s="10" t="s">
        <v>22</v>
      </c>
      <c r="K1705" s="7" t="str">
        <f>VLOOKUP(J1705,Introduction!$B$6:$C$14,2)</f>
        <v>North West</v>
      </c>
      <c r="L1705" s="11">
        <v>351</v>
      </c>
      <c r="M1705" s="12" t="s">
        <v>573</v>
      </c>
    </row>
    <row r="1706" spans="1:13" ht="19.95" customHeight="1" x14ac:dyDescent="0.25">
      <c r="A1706" s="41">
        <v>45323</v>
      </c>
      <c r="B1706" s="47">
        <f>MONTH(Table13[[#This Row],[YearMonth]])</f>
        <v>2</v>
      </c>
      <c r="C1706" s="9" t="s">
        <v>295</v>
      </c>
      <c r="D1706" s="14" t="s">
        <v>350</v>
      </c>
      <c r="E1706" s="14">
        <f>IF(Table13[[#This Row],[Quartile]]="TopQuartile", 1,
 IF(Table13[[#This Row],[Quartile]]="SecondQuartile", 2,
 IF(Table13[[#This Row],[Quartile]]="ThirdQuartile", 3,
 IF(Table13[[#This Row],[Quartile]]="FourthQuartile", 4, ""))))</f>
        <v>4</v>
      </c>
      <c r="F1706" s="9" t="s">
        <v>616</v>
      </c>
      <c r="G1706" s="9" t="str" cm="1">
        <f t="array" ref="G1706">IFERROR(
  INDEX(Table13[Quartile],
    MATCH(1,
      (Table13[[#This Row],[OrgName]]=Table13[OrgName]) *
      (Table13[[#This Row],[Month Number]]-1=Table13[Month Number]),
    0)
  ),
"")</f>
        <v>FourthQuartile</v>
      </c>
      <c r="H1706" s="9">
        <f>IF(Table13[[#This Row],[Previous Quartile]]="TopQuartile", 1,
 IF(Table13[[#This Row],[Previous Quartile]]="SecondQuartile", 2,
 IF(Table13[[#This Row],[Previous Quartile]]="ThirdQuartile", 3,
 IF(Table13[[#This Row],[Previous Quartile]]="FourthQuartile", 4, ""))))</f>
        <v>4</v>
      </c>
      <c r="I1706" s="9" t="str">
        <f>IF(Table13[[#This Row],[Previous Quartile Value]]="", "",
   IF(Table13[[#This Row],[Quartile Value]] &lt; Table13[[#This Row],[Previous Quartile Value]], "Improved",
   IF(Table13[[#This Row],[Quartile Value]] &gt; Table13[[#This Row],[Previous Quartile Value]], "Dropped", "Same")))</f>
        <v>Same</v>
      </c>
      <c r="J1706" s="10" t="s">
        <v>18</v>
      </c>
      <c r="K1706" s="7" t="str">
        <f>VLOOKUP(J1706,Introduction!$B$6:$C$14,2)</f>
        <v>Midlands</v>
      </c>
      <c r="L1706" s="11">
        <v>444</v>
      </c>
      <c r="M1706" s="12" t="s">
        <v>573</v>
      </c>
    </row>
    <row r="1707" spans="1:13" ht="19.95" customHeight="1" x14ac:dyDescent="0.25">
      <c r="A1707" s="41">
        <v>45323</v>
      </c>
      <c r="B1707" s="47">
        <f>MONTH(Table13[[#This Row],[YearMonth]])</f>
        <v>2</v>
      </c>
      <c r="C1707" s="9" t="s">
        <v>306</v>
      </c>
      <c r="D1707" s="14" t="s">
        <v>350</v>
      </c>
      <c r="E1707" s="14">
        <f>IF(Table13[[#This Row],[Quartile]]="TopQuartile", 1,
 IF(Table13[[#This Row],[Quartile]]="SecondQuartile", 2,
 IF(Table13[[#This Row],[Quartile]]="ThirdQuartile", 3,
 IF(Table13[[#This Row],[Quartile]]="FourthQuartile", 4, ""))))</f>
        <v>4</v>
      </c>
      <c r="F1707" s="9" t="s">
        <v>617</v>
      </c>
      <c r="G1707" s="9" t="str" cm="1">
        <f t="array" ref="G1707">IFERROR(
  INDEX(Table13[Quartile],
    MATCH(1,
      (Table13[[#This Row],[OrgName]]=Table13[OrgName]) *
      (Table13[[#This Row],[Month Number]]-1=Table13[Month Number]),
    0)
  ),
"")</f>
        <v>FourthQuartile</v>
      </c>
      <c r="H1707" s="9">
        <f>IF(Table13[[#This Row],[Previous Quartile]]="TopQuartile", 1,
 IF(Table13[[#This Row],[Previous Quartile]]="SecondQuartile", 2,
 IF(Table13[[#This Row],[Previous Quartile]]="ThirdQuartile", 3,
 IF(Table13[[#This Row],[Previous Quartile]]="FourthQuartile", 4, ""))))</f>
        <v>4</v>
      </c>
      <c r="I1707" s="9" t="str">
        <f>IF(Table13[[#This Row],[Previous Quartile Value]]="", "",
   IF(Table13[[#This Row],[Quartile Value]] &lt; Table13[[#This Row],[Previous Quartile Value]], "Improved",
   IF(Table13[[#This Row],[Quartile Value]] &gt; Table13[[#This Row],[Previous Quartile Value]], "Dropped", "Same")))</f>
        <v>Same</v>
      </c>
      <c r="J1707" s="10" t="s">
        <v>18</v>
      </c>
      <c r="K1707" s="7" t="str">
        <f>VLOOKUP(J1707,Introduction!$B$6:$C$14,2)</f>
        <v>Midlands</v>
      </c>
      <c r="L1707" s="11">
        <v>436</v>
      </c>
      <c r="M1707" s="12" t="s">
        <v>573</v>
      </c>
    </row>
    <row r="1708" spans="1:13" ht="19.95" customHeight="1" x14ac:dyDescent="0.25">
      <c r="A1708" s="41">
        <v>45323</v>
      </c>
      <c r="B1708" s="47">
        <f>MONTH(Table13[[#This Row],[YearMonth]])</f>
        <v>2</v>
      </c>
      <c r="C1708" s="9" t="s">
        <v>32</v>
      </c>
      <c r="D1708" s="14" t="s">
        <v>330</v>
      </c>
      <c r="E1708" s="14">
        <f>IF(Table13[[#This Row],[Quartile]]="TopQuartile", 1,
 IF(Table13[[#This Row],[Quartile]]="SecondQuartile", 2,
 IF(Table13[[#This Row],[Quartile]]="ThirdQuartile", 3,
 IF(Table13[[#This Row],[Quartile]]="FourthQuartile", 4, ""))))</f>
        <v>1</v>
      </c>
      <c r="F1708" s="9" t="s">
        <v>618</v>
      </c>
      <c r="G1708" s="9" t="str" cm="1">
        <f t="array" ref="G1708">IFERROR(
  INDEX(Table13[Quartile],
    MATCH(1,
      (Table13[[#This Row],[OrgName]]=Table13[OrgName]) *
      (Table13[[#This Row],[Month Number]]-1=Table13[Month Number]),
    0)
  ),
"")</f>
        <v>SecondQuartile</v>
      </c>
      <c r="H1708" s="9">
        <f>IF(Table13[[#This Row],[Previous Quartile]]="TopQuartile", 1,
 IF(Table13[[#This Row],[Previous Quartile]]="SecondQuartile", 2,
 IF(Table13[[#This Row],[Previous Quartile]]="ThirdQuartile", 3,
 IF(Table13[[#This Row],[Previous Quartile]]="FourthQuartile", 4, ""))))</f>
        <v>2</v>
      </c>
      <c r="I1708" s="9" t="str">
        <f>IF(Table13[[#This Row],[Previous Quartile Value]]="", "",
   IF(Table13[[#This Row],[Quartile Value]] &lt; Table13[[#This Row],[Previous Quartile Value]], "Improved",
   IF(Table13[[#This Row],[Quartile Value]] &gt; Table13[[#This Row],[Previous Quartile Value]], "Dropped", "Same")))</f>
        <v>Improved</v>
      </c>
      <c r="J1708" s="10" t="s">
        <v>10</v>
      </c>
      <c r="K1708" s="7" t="str">
        <f>VLOOKUP(J1708,Introduction!$B$6:$C$14,2)</f>
        <v>Special Health Authorities and other statutory bodies</v>
      </c>
      <c r="L1708" s="11">
        <v>907</v>
      </c>
      <c r="M1708" s="12" t="s">
        <v>33</v>
      </c>
    </row>
    <row r="1709" spans="1:13" ht="19.95" customHeight="1" x14ac:dyDescent="0.25">
      <c r="A1709" s="41">
        <v>45323</v>
      </c>
      <c r="B1709" s="47">
        <f>MONTH(Table13[[#This Row],[YearMonth]])</f>
        <v>2</v>
      </c>
      <c r="C1709" s="9" t="s">
        <v>120</v>
      </c>
      <c r="D1709" s="14" t="s">
        <v>330</v>
      </c>
      <c r="E1709" s="14">
        <f>IF(Table13[[#This Row],[Quartile]]="TopQuartile", 1,
 IF(Table13[[#This Row],[Quartile]]="SecondQuartile", 2,
 IF(Table13[[#This Row],[Quartile]]="ThirdQuartile", 3,
 IF(Table13[[#This Row],[Quartile]]="FourthQuartile", 4, ""))))</f>
        <v>1</v>
      </c>
      <c r="F1709" s="9" t="s">
        <v>619</v>
      </c>
      <c r="G1709" s="9" t="str" cm="1">
        <f t="array" ref="G1709">IFERROR(
  INDEX(Table13[Quartile],
    MATCH(1,
      (Table13[[#This Row],[OrgName]]=Table13[OrgName]) *
      (Table13[[#This Row],[Month Number]]-1=Table13[Month Number]),
    0)
  ),
"")</f>
        <v>TopQuartile</v>
      </c>
      <c r="H1709" s="9">
        <f>IF(Table13[[#This Row],[Previous Quartile]]="TopQuartile", 1,
 IF(Table13[[#This Row],[Previous Quartile]]="SecondQuartile", 2,
 IF(Table13[[#This Row],[Previous Quartile]]="ThirdQuartile", 3,
 IF(Table13[[#This Row],[Previous Quartile]]="FourthQuartile", 4, ""))))</f>
        <v>1</v>
      </c>
      <c r="I1709" s="9" t="str">
        <f>IF(Table13[[#This Row],[Previous Quartile Value]]="", "",
   IF(Table13[[#This Row],[Quartile Value]] &lt; Table13[[#This Row],[Previous Quartile Value]], "Improved",
   IF(Table13[[#This Row],[Quartile Value]] &gt; Table13[[#This Row],[Previous Quartile Value]], "Dropped", "Same")))</f>
        <v>Same</v>
      </c>
      <c r="J1709" s="10" t="s">
        <v>10</v>
      </c>
      <c r="K1709" s="7" t="str">
        <f>VLOOKUP(J1709,Introduction!$B$6:$C$14,2)</f>
        <v>Special Health Authorities and other statutory bodies</v>
      </c>
      <c r="L1709" s="11">
        <v>980</v>
      </c>
      <c r="M1709" s="12" t="s">
        <v>33</v>
      </c>
    </row>
    <row r="1710" spans="1:13" ht="19.95" customHeight="1" x14ac:dyDescent="0.25">
      <c r="A1710" s="41">
        <v>45323</v>
      </c>
      <c r="B1710" s="47">
        <f>MONTH(Table13[[#This Row],[YearMonth]])</f>
        <v>2</v>
      </c>
      <c r="C1710" s="9" t="s">
        <v>155</v>
      </c>
      <c r="D1710" s="14" t="s">
        <v>338</v>
      </c>
      <c r="E1710" s="14">
        <f>IF(Table13[[#This Row],[Quartile]]="TopQuartile", 1,
 IF(Table13[[#This Row],[Quartile]]="SecondQuartile", 2,
 IF(Table13[[#This Row],[Quartile]]="ThirdQuartile", 3,
 IF(Table13[[#This Row],[Quartile]]="FourthQuartile", 4, ""))))</f>
        <v>2</v>
      </c>
      <c r="F1710" s="9" t="s">
        <v>620</v>
      </c>
      <c r="G1710" s="9" t="str" cm="1">
        <f t="array" ref="G1710">IFERROR(
  INDEX(Table13[Quartile],
    MATCH(1,
      (Table13[[#This Row],[OrgName]]=Table13[OrgName]) *
      (Table13[[#This Row],[Month Number]]-1=Table13[Month Number]),
    0)
  ),
"")</f>
        <v>SecondQuartile</v>
      </c>
      <c r="H1710" s="9">
        <f>IF(Table13[[#This Row],[Previous Quartile]]="TopQuartile", 1,
 IF(Table13[[#This Row],[Previous Quartile]]="SecondQuartile", 2,
 IF(Table13[[#This Row],[Previous Quartile]]="ThirdQuartile", 3,
 IF(Table13[[#This Row],[Previous Quartile]]="FourthQuartile", 4, ""))))</f>
        <v>2</v>
      </c>
      <c r="I1710" s="9" t="str">
        <f>IF(Table13[[#This Row],[Previous Quartile Value]]="", "",
   IF(Table13[[#This Row],[Quartile Value]] &lt; Table13[[#This Row],[Previous Quartile Value]], "Improved",
   IF(Table13[[#This Row],[Quartile Value]] &gt; Table13[[#This Row],[Previous Quartile Value]], "Dropped", "Same")))</f>
        <v>Same</v>
      </c>
      <c r="J1710" s="10" t="s">
        <v>10</v>
      </c>
      <c r="K1710" s="7" t="str">
        <f>VLOOKUP(J1710,Introduction!$B$6:$C$14,2)</f>
        <v>Special Health Authorities and other statutory bodies</v>
      </c>
      <c r="L1710" s="11">
        <v>918</v>
      </c>
      <c r="M1710" s="12" t="s">
        <v>33</v>
      </c>
    </row>
    <row r="1711" spans="1:13" ht="19.95" customHeight="1" x14ac:dyDescent="0.25">
      <c r="A1711" s="41">
        <v>45323</v>
      </c>
      <c r="B1711" s="47">
        <f>MONTH(Table13[[#This Row],[YearMonth]])</f>
        <v>2</v>
      </c>
      <c r="C1711" s="9" t="s">
        <v>163</v>
      </c>
      <c r="D1711" s="14" t="s">
        <v>338</v>
      </c>
      <c r="E1711" s="14">
        <f>IF(Table13[[#This Row],[Quartile]]="TopQuartile", 1,
 IF(Table13[[#This Row],[Quartile]]="SecondQuartile", 2,
 IF(Table13[[#This Row],[Quartile]]="ThirdQuartile", 3,
 IF(Table13[[#This Row],[Quartile]]="FourthQuartile", 4, ""))))</f>
        <v>2</v>
      </c>
      <c r="F1711" s="9" t="s">
        <v>621</v>
      </c>
      <c r="G1711" s="9" t="str" cm="1">
        <f t="array" ref="G1711">IFERROR(
  INDEX(Table13[Quartile],
    MATCH(1,
      (Table13[[#This Row],[OrgName]]=Table13[OrgName]) *
      (Table13[[#This Row],[Month Number]]-1=Table13[Month Number]),
    0)
  ),
"")</f>
        <v>ThirdQuartile</v>
      </c>
      <c r="H1711" s="9">
        <f>IF(Table13[[#This Row],[Previous Quartile]]="TopQuartile", 1,
 IF(Table13[[#This Row],[Previous Quartile]]="SecondQuartile", 2,
 IF(Table13[[#This Row],[Previous Quartile]]="ThirdQuartile", 3,
 IF(Table13[[#This Row],[Previous Quartile]]="FourthQuartile", 4, ""))))</f>
        <v>3</v>
      </c>
      <c r="I1711" s="9" t="str">
        <f>IF(Table13[[#This Row],[Previous Quartile Value]]="", "",
   IF(Table13[[#This Row],[Quartile Value]] &lt; Table13[[#This Row],[Previous Quartile Value]], "Improved",
   IF(Table13[[#This Row],[Quartile Value]] &gt; Table13[[#This Row],[Previous Quartile Value]], "Dropped", "Same")))</f>
        <v>Improved</v>
      </c>
      <c r="J1711" s="10" t="s">
        <v>10</v>
      </c>
      <c r="K1711" s="7" t="str">
        <f>VLOOKUP(J1711,Introduction!$B$6:$C$14,2)</f>
        <v>Special Health Authorities and other statutory bodies</v>
      </c>
      <c r="L1711" s="11">
        <v>914</v>
      </c>
      <c r="M1711" s="12" t="s">
        <v>33</v>
      </c>
    </row>
    <row r="1712" spans="1:13" ht="19.95" customHeight="1" x14ac:dyDescent="0.25">
      <c r="A1712" s="41">
        <v>45323</v>
      </c>
      <c r="B1712" s="47">
        <f>MONTH(Table13[[#This Row],[YearMonth]])</f>
        <v>2</v>
      </c>
      <c r="C1712" s="9" t="s">
        <v>176</v>
      </c>
      <c r="D1712" s="14" t="s">
        <v>338</v>
      </c>
      <c r="E1712" s="14">
        <f>IF(Table13[[#This Row],[Quartile]]="TopQuartile", 1,
 IF(Table13[[#This Row],[Quartile]]="SecondQuartile", 2,
 IF(Table13[[#This Row],[Quartile]]="ThirdQuartile", 3,
 IF(Table13[[#This Row],[Quartile]]="FourthQuartile", 4, ""))))</f>
        <v>2</v>
      </c>
      <c r="F1712" s="9" t="s">
        <v>622</v>
      </c>
      <c r="G1712" s="9" t="str" cm="1">
        <f t="array" ref="G1712">IFERROR(
  INDEX(Table13[Quartile],
    MATCH(1,
      (Table13[[#This Row],[OrgName]]=Table13[OrgName]) *
      (Table13[[#This Row],[Month Number]]-1=Table13[Month Number]),
    0)
  ),
"")</f>
        <v>SecondQuartile</v>
      </c>
      <c r="H1712" s="9">
        <f>IF(Table13[[#This Row],[Previous Quartile]]="TopQuartile", 1,
 IF(Table13[[#This Row],[Previous Quartile]]="SecondQuartile", 2,
 IF(Table13[[#This Row],[Previous Quartile]]="ThirdQuartile", 3,
 IF(Table13[[#This Row],[Previous Quartile]]="FourthQuartile", 4, ""))))</f>
        <v>2</v>
      </c>
      <c r="I1712" s="9" t="str">
        <f>IF(Table13[[#This Row],[Previous Quartile Value]]="", "",
   IF(Table13[[#This Row],[Quartile Value]] &lt; Table13[[#This Row],[Previous Quartile Value]], "Improved",
   IF(Table13[[#This Row],[Quartile Value]] &gt; Table13[[#This Row],[Previous Quartile Value]], "Dropped", "Same")))</f>
        <v>Same</v>
      </c>
      <c r="J1712" s="10" t="s">
        <v>12</v>
      </c>
      <c r="K1712" s="7" t="str">
        <f>VLOOKUP(J1712,Introduction!$B$6:$C$14,2)</f>
        <v>London</v>
      </c>
      <c r="L1712" s="11">
        <v>44</v>
      </c>
      <c r="M1712" s="12" t="s">
        <v>33</v>
      </c>
    </row>
    <row r="1713" spans="1:13" ht="19.95" customHeight="1" x14ac:dyDescent="0.25">
      <c r="A1713" s="41">
        <v>45323</v>
      </c>
      <c r="B1713" s="47">
        <f>MONTH(Table13[[#This Row],[YearMonth]])</f>
        <v>2</v>
      </c>
      <c r="C1713" s="9" t="s">
        <v>212</v>
      </c>
      <c r="D1713" s="14" t="s">
        <v>341</v>
      </c>
      <c r="E1713" s="14">
        <f>IF(Table13[[#This Row],[Quartile]]="TopQuartile", 1,
 IF(Table13[[#This Row],[Quartile]]="SecondQuartile", 2,
 IF(Table13[[#This Row],[Quartile]]="ThirdQuartile", 3,
 IF(Table13[[#This Row],[Quartile]]="FourthQuartile", 4, ""))))</f>
        <v>3</v>
      </c>
      <c r="F1713" s="9" t="s">
        <v>623</v>
      </c>
      <c r="G1713" s="9" t="str" cm="1">
        <f t="array" ref="G1713">IFERROR(
  INDEX(Table13[Quartile],
    MATCH(1,
      (Table13[[#This Row],[OrgName]]=Table13[OrgName]) *
      (Table13[[#This Row],[Month Number]]-1=Table13[Month Number]),
    0)
  ),
"")</f>
        <v>ThirdQuartile</v>
      </c>
      <c r="H1713" s="9">
        <f>IF(Table13[[#This Row],[Previous Quartile]]="TopQuartile", 1,
 IF(Table13[[#This Row],[Previous Quartile]]="SecondQuartile", 2,
 IF(Table13[[#This Row],[Previous Quartile]]="ThirdQuartile", 3,
 IF(Table13[[#This Row],[Previous Quartile]]="FourthQuartile", 4, ""))))</f>
        <v>3</v>
      </c>
      <c r="I1713" s="9" t="str">
        <f>IF(Table13[[#This Row],[Previous Quartile Value]]="", "",
   IF(Table13[[#This Row],[Quartile Value]] &lt; Table13[[#This Row],[Previous Quartile Value]], "Improved",
   IF(Table13[[#This Row],[Quartile Value]] &gt; Table13[[#This Row],[Previous Quartile Value]], "Dropped", "Same")))</f>
        <v>Same</v>
      </c>
      <c r="J1713" s="10" t="s">
        <v>10</v>
      </c>
      <c r="K1713" s="7" t="str">
        <f>VLOOKUP(J1713,Introduction!$B$6:$C$14,2)</f>
        <v>Special Health Authorities and other statutory bodies</v>
      </c>
      <c r="L1713" s="11">
        <v>65</v>
      </c>
      <c r="M1713" s="12" t="s">
        <v>33</v>
      </c>
    </row>
    <row r="1714" spans="1:13" ht="19.95" customHeight="1" x14ac:dyDescent="0.25">
      <c r="A1714" s="41">
        <v>45323</v>
      </c>
      <c r="B1714" s="47">
        <f>MONTH(Table13[[#This Row],[YearMonth]])</f>
        <v>2</v>
      </c>
      <c r="C1714" s="9" t="s">
        <v>218</v>
      </c>
      <c r="D1714" s="14" t="s">
        <v>341</v>
      </c>
      <c r="E1714" s="14">
        <f>IF(Table13[[#This Row],[Quartile]]="TopQuartile", 1,
 IF(Table13[[#This Row],[Quartile]]="SecondQuartile", 2,
 IF(Table13[[#This Row],[Quartile]]="ThirdQuartile", 3,
 IF(Table13[[#This Row],[Quartile]]="FourthQuartile", 4, ""))))</f>
        <v>3</v>
      </c>
      <c r="F1714" s="9" t="s">
        <v>624</v>
      </c>
      <c r="G1714" s="9" t="str" cm="1">
        <f t="array" ref="G1714">IFERROR(
  INDEX(Table13[Quartile],
    MATCH(1,
      (Table13[[#This Row],[OrgName]]=Table13[OrgName]) *
      (Table13[[#This Row],[Month Number]]-1=Table13[Month Number]),
    0)
  ),
"")</f>
        <v>ThirdQuartile</v>
      </c>
      <c r="H1714" s="9">
        <f>IF(Table13[[#This Row],[Previous Quartile]]="TopQuartile", 1,
 IF(Table13[[#This Row],[Previous Quartile]]="SecondQuartile", 2,
 IF(Table13[[#This Row],[Previous Quartile]]="ThirdQuartile", 3,
 IF(Table13[[#This Row],[Previous Quartile]]="FourthQuartile", 4, ""))))</f>
        <v>3</v>
      </c>
      <c r="I1714" s="9" t="str">
        <f>IF(Table13[[#This Row],[Previous Quartile Value]]="", "",
   IF(Table13[[#This Row],[Quartile Value]] &lt; Table13[[#This Row],[Previous Quartile Value]], "Improved",
   IF(Table13[[#This Row],[Quartile Value]] &gt; Table13[[#This Row],[Previous Quartile Value]], "Dropped", "Same")))</f>
        <v>Same</v>
      </c>
      <c r="J1714" s="10" t="s">
        <v>10</v>
      </c>
      <c r="K1714" s="7" t="str">
        <f>VLOOKUP(J1714,Introduction!$B$6:$C$14,2)</f>
        <v>Special Health Authorities and other statutory bodies</v>
      </c>
      <c r="L1714" s="11">
        <v>76</v>
      </c>
      <c r="M1714" s="12" t="s">
        <v>33</v>
      </c>
    </row>
    <row r="1715" spans="1:13" ht="19.95" customHeight="1" x14ac:dyDescent="0.25">
      <c r="A1715" s="41">
        <v>45323</v>
      </c>
      <c r="B1715" s="47">
        <f>MONTH(Table13[[#This Row],[YearMonth]])</f>
        <v>2</v>
      </c>
      <c r="C1715" s="9" t="s">
        <v>294</v>
      </c>
      <c r="D1715" s="14" t="s">
        <v>350</v>
      </c>
      <c r="E1715" s="14">
        <f>IF(Table13[[#This Row],[Quartile]]="TopQuartile", 1,
 IF(Table13[[#This Row],[Quartile]]="SecondQuartile", 2,
 IF(Table13[[#This Row],[Quartile]]="ThirdQuartile", 3,
 IF(Table13[[#This Row],[Quartile]]="FourthQuartile", 4, ""))))</f>
        <v>4</v>
      </c>
      <c r="F1715" s="9" t="s">
        <v>625</v>
      </c>
      <c r="G1715" s="9" t="str" cm="1">
        <f t="array" ref="G1715">IFERROR(
  INDEX(Table13[Quartile],
    MATCH(1,
      (Table13[[#This Row],[OrgName]]=Table13[OrgName]) *
      (Table13[[#This Row],[Month Number]]-1=Table13[Month Number]),
    0)
  ),
"")</f>
        <v>FourthQuartile</v>
      </c>
      <c r="H1715" s="9">
        <f>IF(Table13[[#This Row],[Previous Quartile]]="TopQuartile", 1,
 IF(Table13[[#This Row],[Previous Quartile]]="SecondQuartile", 2,
 IF(Table13[[#This Row],[Previous Quartile]]="ThirdQuartile", 3,
 IF(Table13[[#This Row],[Previous Quartile]]="FourthQuartile", 4, ""))))</f>
        <v>4</v>
      </c>
      <c r="I1715" s="9" t="str">
        <f>IF(Table13[[#This Row],[Previous Quartile Value]]="", "",
   IF(Table13[[#This Row],[Quartile Value]] &lt; Table13[[#This Row],[Previous Quartile Value]], "Improved",
   IF(Table13[[#This Row],[Quartile Value]] &gt; Table13[[#This Row],[Previous Quartile Value]], "Dropped", "Same")))</f>
        <v>Same</v>
      </c>
      <c r="J1715" s="10" t="s">
        <v>10</v>
      </c>
      <c r="K1715" s="7" t="str">
        <f>VLOOKUP(J1715,Introduction!$B$6:$C$14,2)</f>
        <v>Special Health Authorities and other statutory bodies</v>
      </c>
      <c r="L1715" s="11">
        <v>990</v>
      </c>
      <c r="M1715" s="12" t="s">
        <v>33</v>
      </c>
    </row>
    <row r="1716" spans="1:13" ht="19.95" customHeight="1" x14ac:dyDescent="0.25">
      <c r="A1716" s="41">
        <v>45323</v>
      </c>
      <c r="B1716" s="47">
        <f>MONTH(Table13[[#This Row],[YearMonth]])</f>
        <v>2</v>
      </c>
      <c r="C1716" s="9" t="s">
        <v>300</v>
      </c>
      <c r="D1716" s="14" t="s">
        <v>350</v>
      </c>
      <c r="E1716" s="14">
        <f>IF(Table13[[#This Row],[Quartile]]="TopQuartile", 1,
 IF(Table13[[#This Row],[Quartile]]="SecondQuartile", 2,
 IF(Table13[[#This Row],[Quartile]]="ThirdQuartile", 3,
 IF(Table13[[#This Row],[Quartile]]="FourthQuartile", 4, ""))))</f>
        <v>4</v>
      </c>
      <c r="F1716" s="9" t="s">
        <v>627</v>
      </c>
      <c r="G1716" s="9" t="str" cm="1">
        <f t="array" ref="G1716">IFERROR(
  INDEX(Table13[Quartile],
    MATCH(1,
      (Table13[[#This Row],[OrgName]]=Table13[OrgName]) *
      (Table13[[#This Row],[Month Number]]-1=Table13[Month Number]),
    0)
  ),
"")</f>
        <v>FourthQuartile</v>
      </c>
      <c r="H1716" s="9">
        <f>IF(Table13[[#This Row],[Previous Quartile]]="TopQuartile", 1,
 IF(Table13[[#This Row],[Previous Quartile]]="SecondQuartile", 2,
 IF(Table13[[#This Row],[Previous Quartile]]="ThirdQuartile", 3,
 IF(Table13[[#This Row],[Previous Quartile]]="FourthQuartile", 4, ""))))</f>
        <v>4</v>
      </c>
      <c r="I1716" s="9" t="str">
        <f>IF(Table13[[#This Row],[Previous Quartile Value]]="", "",
   IF(Table13[[#This Row],[Quartile Value]] &lt; Table13[[#This Row],[Previous Quartile Value]], "Improved",
   IF(Table13[[#This Row],[Quartile Value]] &gt; Table13[[#This Row],[Previous Quartile Value]], "Dropped", "Same")))</f>
        <v>Same</v>
      </c>
      <c r="J1716" s="10" t="s">
        <v>10</v>
      </c>
      <c r="K1716" s="7" t="str">
        <f>VLOOKUP(J1716,Introduction!$B$6:$C$14,2)</f>
        <v>Special Health Authorities and other statutory bodies</v>
      </c>
      <c r="L1716" s="11">
        <v>441</v>
      </c>
      <c r="M1716" s="12" t="s">
        <v>33</v>
      </c>
    </row>
    <row r="1717" spans="1:13" ht="19.95" customHeight="1" x14ac:dyDescent="0.25">
      <c r="A1717" s="41">
        <v>45323</v>
      </c>
      <c r="B1717" s="47">
        <f>MONTH(Table13[[#This Row],[YearMonth]])</f>
        <v>2</v>
      </c>
      <c r="C1717" s="9" t="s">
        <v>299</v>
      </c>
      <c r="D1717" s="14" t="s">
        <v>350</v>
      </c>
      <c r="E1717" s="14">
        <f>IF(Table13[[#This Row],[Quartile]]="TopQuartile", 1,
 IF(Table13[[#This Row],[Quartile]]="SecondQuartile", 2,
 IF(Table13[[#This Row],[Quartile]]="ThirdQuartile", 3,
 IF(Table13[[#This Row],[Quartile]]="FourthQuartile", 4, ""))))</f>
        <v>4</v>
      </c>
      <c r="F1717" s="9" t="s">
        <v>626</v>
      </c>
      <c r="G1717" s="9" t="str" cm="1">
        <f t="array" ref="G1717">IFERROR(
  INDEX(Table13[Quartile],
    MATCH(1,
      (Table13[[#This Row],[OrgName]]=Table13[OrgName]) *
      (Table13[[#This Row],[Month Number]]-1=Table13[Month Number]),
    0)
  ),
"")</f>
        <v>FourthQuartile</v>
      </c>
      <c r="H1717" s="9">
        <f>IF(Table13[[#This Row],[Previous Quartile]]="TopQuartile", 1,
 IF(Table13[[#This Row],[Previous Quartile]]="SecondQuartile", 2,
 IF(Table13[[#This Row],[Previous Quartile]]="ThirdQuartile", 3,
 IF(Table13[[#This Row],[Previous Quartile]]="FourthQuartile", 4, ""))))</f>
        <v>4</v>
      </c>
      <c r="I1717" s="9" t="str">
        <f>IF(Table13[[#This Row],[Previous Quartile Value]]="", "",
   IF(Table13[[#This Row],[Quartile Value]] &lt; Table13[[#This Row],[Previous Quartile Value]], "Improved",
   IF(Table13[[#This Row],[Quartile Value]] &gt; Table13[[#This Row],[Previous Quartile Value]], "Dropped", "Same")))</f>
        <v>Same</v>
      </c>
      <c r="J1717" s="10" t="s">
        <v>10</v>
      </c>
      <c r="K1717" s="7" t="str">
        <f>VLOOKUP(J1717,Introduction!$B$6:$C$14,2)</f>
        <v>Special Health Authorities and other statutory bodies</v>
      </c>
      <c r="L1717" s="11">
        <v>912</v>
      </c>
      <c r="M1717" s="12" t="s">
        <v>33</v>
      </c>
    </row>
    <row r="1718" spans="1:13" ht="19.95" customHeight="1" x14ac:dyDescent="0.25">
      <c r="A1718" s="41">
        <v>45323</v>
      </c>
      <c r="B1718" s="47">
        <f>MONTH(Table13[[#This Row],[YearMonth]])</f>
        <v>2</v>
      </c>
      <c r="C1718" s="9" t="s">
        <v>313</v>
      </c>
      <c r="D1718" s="14" t="s">
        <v>350</v>
      </c>
      <c r="E1718" s="14">
        <f>IF(Table13[[#This Row],[Quartile]]="TopQuartile", 1,
 IF(Table13[[#This Row],[Quartile]]="SecondQuartile", 2,
 IF(Table13[[#This Row],[Quartile]]="ThirdQuartile", 3,
 IF(Table13[[#This Row],[Quartile]]="FourthQuartile", 4, ""))))</f>
        <v>4</v>
      </c>
      <c r="F1718" s="9" t="s">
        <v>628</v>
      </c>
      <c r="G1718" s="9" t="str" cm="1">
        <f t="array" ref="G1718">IFERROR(
  INDEX(Table13[Quartile],
    MATCH(1,
      (Table13[[#This Row],[OrgName]]=Table13[OrgName]) *
      (Table13[[#This Row],[Month Number]]-1=Table13[Month Number]),
    0)
  ),
"")</f>
        <v>FourthQuartile</v>
      </c>
      <c r="H1718" s="9">
        <f>IF(Table13[[#This Row],[Previous Quartile]]="TopQuartile", 1,
 IF(Table13[[#This Row],[Previous Quartile]]="SecondQuartile", 2,
 IF(Table13[[#This Row],[Previous Quartile]]="ThirdQuartile", 3,
 IF(Table13[[#This Row],[Previous Quartile]]="FourthQuartile", 4, ""))))</f>
        <v>4</v>
      </c>
      <c r="I1718" s="9" t="str">
        <f>IF(Table13[[#This Row],[Previous Quartile Value]]="", "",
   IF(Table13[[#This Row],[Quartile Value]] &lt; Table13[[#This Row],[Previous Quartile Value]], "Improved",
   IF(Table13[[#This Row],[Quartile Value]] &gt; Table13[[#This Row],[Previous Quartile Value]], "Dropped", "Same")))</f>
        <v>Same</v>
      </c>
      <c r="J1718" s="10" t="s">
        <v>10</v>
      </c>
      <c r="K1718" s="7" t="str">
        <f>VLOOKUP(J1718,Introduction!$B$6:$C$14,2)</f>
        <v>Special Health Authorities and other statutory bodies</v>
      </c>
      <c r="L1718" s="11">
        <v>71</v>
      </c>
      <c r="M1718" s="12" t="s">
        <v>33</v>
      </c>
    </row>
    <row r="1719" spans="1:13" ht="19.95" customHeight="1" x14ac:dyDescent="0.25">
      <c r="A1719" s="42">
        <v>45292</v>
      </c>
      <c r="B1719" s="48">
        <f>MONTH(Table13[[#This Row],[YearMonth]])</f>
        <v>1</v>
      </c>
      <c r="C1719" s="15" t="s">
        <v>81</v>
      </c>
      <c r="D1719" s="16" t="s">
        <v>330</v>
      </c>
      <c r="E1719" s="16">
        <f>IF(Table13[[#This Row],[Quartile]]="TopQuartile", 1,
 IF(Table13[[#This Row],[Quartile]]="SecondQuartile", 2,
 IF(Table13[[#This Row],[Quartile]]="ThirdQuartile", 3,
 IF(Table13[[#This Row],[Quartile]]="FourthQuartile", 4, ""))))</f>
        <v>1</v>
      </c>
      <c r="F1719" s="15" t="s">
        <v>334</v>
      </c>
      <c r="G1719" s="15" t="str" cm="1">
        <f t="array" ref="G1719">IFERROR(
  INDEX(Table13[Quartile],
    MATCH(1,
      (Table13[[#This Row],[OrgName]]=Table13[OrgName]) *
      (Table13[[#This Row],[Month Number]]-1=Table13[Month Number]),
    0)
  ),
"")</f>
        <v/>
      </c>
      <c r="H1719" s="15" t="str">
        <f>IF(Table13[[#This Row],[Previous Quartile]]="TopQuartile", 1,
 IF(Table13[[#This Row],[Previous Quartile]]="SecondQuartile", 2,
 IF(Table13[[#This Row],[Previous Quartile]]="ThirdQuartile", 3,
 IF(Table13[[#This Row],[Previous Quartile]]="FourthQuartile", 4, ""))))</f>
        <v/>
      </c>
      <c r="I1719" s="15" t="s">
        <v>649</v>
      </c>
      <c r="J1719" s="15" t="s">
        <v>16</v>
      </c>
      <c r="K1719" s="7" t="str">
        <f>VLOOKUP(J1719,Introduction!$B$6:$C$14,2)</f>
        <v>South East</v>
      </c>
      <c r="L1719" s="17">
        <v>359</v>
      </c>
      <c r="M1719" s="18" t="s">
        <v>332</v>
      </c>
    </row>
    <row r="1720" spans="1:13" ht="19.95" customHeight="1" x14ac:dyDescent="0.25">
      <c r="A1720" s="42">
        <v>45292</v>
      </c>
      <c r="B1720" s="48">
        <f>MONTH(Table13[[#This Row],[YearMonth]])</f>
        <v>1</v>
      </c>
      <c r="C1720" s="15" t="s">
        <v>52</v>
      </c>
      <c r="D1720" s="16" t="s">
        <v>330</v>
      </c>
      <c r="E1720" s="16">
        <f>IF(Table13[[#This Row],[Quartile]]="TopQuartile", 1,
 IF(Table13[[#This Row],[Quartile]]="SecondQuartile", 2,
 IF(Table13[[#This Row],[Quartile]]="ThirdQuartile", 3,
 IF(Table13[[#This Row],[Quartile]]="FourthQuartile", 4, ""))))</f>
        <v>1</v>
      </c>
      <c r="F1720" s="15" t="s">
        <v>333</v>
      </c>
      <c r="G1720" s="15" t="str" cm="1">
        <f t="array" ref="G1720">IFERROR(
  INDEX(Table13[Quartile],
    MATCH(1,
      (Table13[[#This Row],[OrgName]]=Table13[OrgName]) *
      (Table13[[#This Row],[Month Number]]-1=Table13[Month Number]),
    0)
  ),
"")</f>
        <v/>
      </c>
      <c r="H1720" s="15" t="str">
        <f>IF(Table13[[#This Row],[Previous Quartile]]="TopQuartile", 1,
 IF(Table13[[#This Row],[Previous Quartile]]="SecondQuartile", 2,
 IF(Table13[[#This Row],[Previous Quartile]]="ThirdQuartile", 3,
 IF(Table13[[#This Row],[Previous Quartile]]="FourthQuartile", 4, ""))))</f>
        <v/>
      </c>
      <c r="I1720" s="15" t="s">
        <v>649</v>
      </c>
      <c r="J1720" s="15" t="s">
        <v>12</v>
      </c>
      <c r="K1720" s="7" t="str">
        <f>VLOOKUP(J1720,Introduction!$B$6:$C$14,2)</f>
        <v>London</v>
      </c>
      <c r="L1720" s="17">
        <v>197</v>
      </c>
      <c r="M1720" s="18" t="s">
        <v>332</v>
      </c>
    </row>
    <row r="1721" spans="1:13" ht="19.95" customHeight="1" x14ac:dyDescent="0.25">
      <c r="A1721" s="42">
        <v>45292</v>
      </c>
      <c r="B1721" s="48">
        <f>MONTH(Table13[[#This Row],[YearMonth]])</f>
        <v>1</v>
      </c>
      <c r="C1721" s="15" t="s">
        <v>205</v>
      </c>
      <c r="D1721" s="16" t="s">
        <v>330</v>
      </c>
      <c r="E1721" s="16">
        <f>IF(Table13[[#This Row],[Quartile]]="TopQuartile", 1,
 IF(Table13[[#This Row],[Quartile]]="SecondQuartile", 2,
 IF(Table13[[#This Row],[Quartile]]="ThirdQuartile", 3,
 IF(Table13[[#This Row],[Quartile]]="FourthQuartile", 4, ""))))</f>
        <v>1</v>
      </c>
      <c r="F1721" s="15" t="s">
        <v>344</v>
      </c>
      <c r="G1721" s="15" t="str" cm="1">
        <f t="array" ref="G1721">IFERROR(
  INDEX(Table13[Quartile],
    MATCH(1,
      (Table13[[#This Row],[OrgName]]=Table13[OrgName]) *
      (Table13[[#This Row],[Month Number]]-1=Table13[Month Number]),
    0)
  ),
"")</f>
        <v/>
      </c>
      <c r="H1721" s="15" t="str">
        <f>IF(Table13[[#This Row],[Previous Quartile]]="TopQuartile", 1,
 IF(Table13[[#This Row],[Previous Quartile]]="SecondQuartile", 2,
 IF(Table13[[#This Row],[Previous Quartile]]="ThirdQuartile", 3,
 IF(Table13[[#This Row],[Previous Quartile]]="FourthQuartile", 4, ""))))</f>
        <v/>
      </c>
      <c r="I1721" s="15" t="s">
        <v>649</v>
      </c>
      <c r="J1721" s="15" t="s">
        <v>24</v>
      </c>
      <c r="K1721" s="7" t="str">
        <f>VLOOKUP(J1721,Introduction!$B$6:$C$14,2)</f>
        <v>North East and Yorkshire</v>
      </c>
      <c r="L1721" s="17">
        <v>372</v>
      </c>
      <c r="M1721" s="18" t="s">
        <v>332</v>
      </c>
    </row>
    <row r="1722" spans="1:13" ht="19.95" customHeight="1" x14ac:dyDescent="0.25">
      <c r="A1722" s="42">
        <v>45292</v>
      </c>
      <c r="B1722" s="48">
        <f>MONTH(Table13[[#This Row],[YearMonth]])</f>
        <v>1</v>
      </c>
      <c r="C1722" s="15" t="s">
        <v>91</v>
      </c>
      <c r="D1722" s="16" t="s">
        <v>330</v>
      </c>
      <c r="E1722" s="16">
        <f>IF(Table13[[#This Row],[Quartile]]="TopQuartile", 1,
 IF(Table13[[#This Row],[Quartile]]="SecondQuartile", 2,
 IF(Table13[[#This Row],[Quartile]]="ThirdQuartile", 3,
 IF(Table13[[#This Row],[Quartile]]="FourthQuartile", 4, ""))))</f>
        <v>1</v>
      </c>
      <c r="F1722" s="15" t="s">
        <v>337</v>
      </c>
      <c r="G1722" s="15" t="str" cm="1">
        <f t="array" ref="G1722">IFERROR(
  INDEX(Table13[Quartile],
    MATCH(1,
      (Table13[[#This Row],[OrgName]]=Table13[OrgName]) *
      (Table13[[#This Row],[Month Number]]-1=Table13[Month Number]),
    0)
  ),
"")</f>
        <v/>
      </c>
      <c r="H1722" s="15" t="str">
        <f>IF(Table13[[#This Row],[Previous Quartile]]="TopQuartile", 1,
 IF(Table13[[#This Row],[Previous Quartile]]="SecondQuartile", 2,
 IF(Table13[[#This Row],[Previous Quartile]]="ThirdQuartile", 3,
 IF(Table13[[#This Row],[Previous Quartile]]="FourthQuartile", 4, ""))))</f>
        <v/>
      </c>
      <c r="I1722" s="15" t="s">
        <v>649</v>
      </c>
      <c r="J1722" s="15" t="s">
        <v>18</v>
      </c>
      <c r="K1722" s="7" t="str">
        <f>VLOOKUP(J1722,Introduction!$B$6:$C$14,2)</f>
        <v>Midlands</v>
      </c>
      <c r="L1722" s="17">
        <v>357</v>
      </c>
      <c r="M1722" s="18" t="s">
        <v>332</v>
      </c>
    </row>
    <row r="1723" spans="1:13" ht="19.95" customHeight="1" x14ac:dyDescent="0.25">
      <c r="A1723" s="42">
        <v>45292</v>
      </c>
      <c r="B1723" s="48">
        <f>MONTH(Table13[[#This Row],[YearMonth]])</f>
        <v>1</v>
      </c>
      <c r="C1723" s="15" t="s">
        <v>85</v>
      </c>
      <c r="D1723" s="16" t="s">
        <v>330</v>
      </c>
      <c r="E1723" s="16">
        <f>IF(Table13[[#This Row],[Quartile]]="TopQuartile", 1,
 IF(Table13[[#This Row],[Quartile]]="SecondQuartile", 2,
 IF(Table13[[#This Row],[Quartile]]="ThirdQuartile", 3,
 IF(Table13[[#This Row],[Quartile]]="FourthQuartile", 4, ""))))</f>
        <v>1</v>
      </c>
      <c r="F1723" s="15" t="s">
        <v>335</v>
      </c>
      <c r="G1723" s="15" t="str" cm="1">
        <f t="array" ref="G1723">IFERROR(
  INDEX(Table13[Quartile],
    MATCH(1,
      (Table13[[#This Row],[OrgName]]=Table13[OrgName]) *
      (Table13[[#This Row],[Month Number]]-1=Table13[Month Number]),
    0)
  ),
"")</f>
        <v/>
      </c>
      <c r="H1723" s="15" t="str">
        <f>IF(Table13[[#This Row],[Previous Quartile]]="TopQuartile", 1,
 IF(Table13[[#This Row],[Previous Quartile]]="SecondQuartile", 2,
 IF(Table13[[#This Row],[Previous Quartile]]="ThirdQuartile", 3,
 IF(Table13[[#This Row],[Previous Quartile]]="FourthQuartile", 4, ""))))</f>
        <v/>
      </c>
      <c r="I1723" s="15" t="s">
        <v>649</v>
      </c>
      <c r="J1723" s="15" t="s">
        <v>24</v>
      </c>
      <c r="K1723" s="7" t="str">
        <f>VLOOKUP(J1723,Introduction!$B$6:$C$14,2)</f>
        <v>North East and Yorkshire</v>
      </c>
      <c r="L1723" s="17">
        <v>319</v>
      </c>
      <c r="M1723" s="18" t="s">
        <v>332</v>
      </c>
    </row>
    <row r="1724" spans="1:13" ht="19.95" customHeight="1" x14ac:dyDescent="0.25">
      <c r="A1724" s="42">
        <v>45292</v>
      </c>
      <c r="B1724" s="48">
        <f>MONTH(Table13[[#This Row],[YearMonth]])</f>
        <v>1</v>
      </c>
      <c r="C1724" s="15" t="s">
        <v>111</v>
      </c>
      <c r="D1724" s="16" t="s">
        <v>338</v>
      </c>
      <c r="E1724" s="16">
        <f>IF(Table13[[#This Row],[Quartile]]="TopQuartile", 1,
 IF(Table13[[#This Row],[Quartile]]="SecondQuartile", 2,
 IF(Table13[[#This Row],[Quartile]]="ThirdQuartile", 3,
 IF(Table13[[#This Row],[Quartile]]="FourthQuartile", 4, ""))))</f>
        <v>2</v>
      </c>
      <c r="F1724" s="15" t="s">
        <v>339</v>
      </c>
      <c r="G1724" s="15" t="str" cm="1">
        <f t="array" ref="G1724">IFERROR(
  INDEX(Table13[Quartile],
    MATCH(1,
      (Table13[[#This Row],[OrgName]]=Table13[OrgName]) *
      (Table13[[#This Row],[Month Number]]-1=Table13[Month Number]),
    0)
  ),
"")</f>
        <v/>
      </c>
      <c r="H1724" s="15" t="str">
        <f>IF(Table13[[#This Row],[Previous Quartile]]="TopQuartile", 1,
 IF(Table13[[#This Row],[Previous Quartile]]="SecondQuartile", 2,
 IF(Table13[[#This Row],[Previous Quartile]]="ThirdQuartile", 3,
 IF(Table13[[#This Row],[Previous Quartile]]="FourthQuartile", 4, ""))))</f>
        <v/>
      </c>
      <c r="I1724" s="15" t="s">
        <v>649</v>
      </c>
      <c r="J1724" s="15" t="s">
        <v>20</v>
      </c>
      <c r="K1724" s="7" t="str">
        <f>VLOOKUP(J1724,Introduction!$B$6:$C$14,2)</f>
        <v>East of England</v>
      </c>
      <c r="L1724" s="17">
        <v>432</v>
      </c>
      <c r="M1724" s="18" t="s">
        <v>332</v>
      </c>
    </row>
    <row r="1725" spans="1:13" ht="19.95" customHeight="1" x14ac:dyDescent="0.25">
      <c r="A1725" s="42">
        <v>45292</v>
      </c>
      <c r="B1725" s="48">
        <f>MONTH(Table13[[#This Row],[YearMonth]])</f>
        <v>1</v>
      </c>
      <c r="C1725" s="15" t="s">
        <v>89</v>
      </c>
      <c r="D1725" s="16" t="s">
        <v>338</v>
      </c>
      <c r="E1725" s="16">
        <f>IF(Table13[[#This Row],[Quartile]]="TopQuartile", 1,
 IF(Table13[[#This Row],[Quartile]]="SecondQuartile", 2,
 IF(Table13[[#This Row],[Quartile]]="ThirdQuartile", 3,
 IF(Table13[[#This Row],[Quartile]]="FourthQuartile", 4, ""))))</f>
        <v>2</v>
      </c>
      <c r="F1725" s="15" t="s">
        <v>336</v>
      </c>
      <c r="G1725" s="15" t="str" cm="1">
        <f t="array" ref="G1725">IFERROR(
  INDEX(Table13[Quartile],
    MATCH(1,
      (Table13[[#This Row],[OrgName]]=Table13[OrgName]) *
      (Table13[[#This Row],[Month Number]]-1=Table13[Month Number]),
    0)
  ),
"")</f>
        <v/>
      </c>
      <c r="H1725" s="15" t="str">
        <f>IF(Table13[[#This Row],[Previous Quartile]]="TopQuartile", 1,
 IF(Table13[[#This Row],[Previous Quartile]]="SecondQuartile", 2,
 IF(Table13[[#This Row],[Previous Quartile]]="ThirdQuartile", 3,
 IF(Table13[[#This Row],[Previous Quartile]]="FourthQuartile", 4, ""))))</f>
        <v/>
      </c>
      <c r="I1725" s="15" t="s">
        <v>649</v>
      </c>
      <c r="J1725" s="15" t="s">
        <v>16</v>
      </c>
      <c r="K1725" s="7" t="str">
        <f>VLOOKUP(J1725,Introduction!$B$6:$C$14,2)</f>
        <v>South East</v>
      </c>
      <c r="L1725" s="17">
        <v>192</v>
      </c>
      <c r="M1725" s="18" t="s">
        <v>332</v>
      </c>
    </row>
    <row r="1726" spans="1:13" ht="19.95" customHeight="1" x14ac:dyDescent="0.25">
      <c r="A1726" s="42">
        <v>45292</v>
      </c>
      <c r="B1726" s="48">
        <f>MONTH(Table13[[#This Row],[YearMonth]])</f>
        <v>1</v>
      </c>
      <c r="C1726" s="15" t="s">
        <v>40</v>
      </c>
      <c r="D1726" s="16" t="s">
        <v>338</v>
      </c>
      <c r="E1726" s="16">
        <f>IF(Table13[[#This Row],[Quartile]]="TopQuartile", 1,
 IF(Table13[[#This Row],[Quartile]]="SecondQuartile", 2,
 IF(Table13[[#This Row],[Quartile]]="ThirdQuartile", 3,
 IF(Table13[[#This Row],[Quartile]]="FourthQuartile", 4, ""))))</f>
        <v>2</v>
      </c>
      <c r="F1726" s="15" t="s">
        <v>331</v>
      </c>
      <c r="G1726" s="15" t="str" cm="1">
        <f t="array" ref="G1726">IFERROR(
  INDEX(Table13[Quartile],
    MATCH(1,
      (Table13[[#This Row],[OrgName]]=Table13[OrgName]) *
      (Table13[[#This Row],[Month Number]]-1=Table13[Month Number]),
    0)
  ),
"")</f>
        <v/>
      </c>
      <c r="H1726" s="15" t="str">
        <f>IF(Table13[[#This Row],[Previous Quartile]]="TopQuartile", 1,
 IF(Table13[[#This Row],[Previous Quartile]]="SecondQuartile", 2,
 IF(Table13[[#This Row],[Previous Quartile]]="ThirdQuartile", 3,
 IF(Table13[[#This Row],[Previous Quartile]]="FourthQuartile", 4, ""))))</f>
        <v/>
      </c>
      <c r="I1726" s="15" t="s">
        <v>649</v>
      </c>
      <c r="J1726" s="15" t="s">
        <v>16</v>
      </c>
      <c r="K1726" s="7" t="str">
        <f>VLOOKUP(J1726,Introduction!$B$6:$C$14,2)</f>
        <v>South East</v>
      </c>
      <c r="L1726" s="17">
        <v>374</v>
      </c>
      <c r="M1726" s="18" t="s">
        <v>332</v>
      </c>
    </row>
    <row r="1727" spans="1:13" ht="19.95" customHeight="1" x14ac:dyDescent="0.25">
      <c r="A1727" s="42">
        <v>45292</v>
      </c>
      <c r="B1727" s="48">
        <f>MONTH(Table13[[#This Row],[YearMonth]])</f>
        <v>1</v>
      </c>
      <c r="C1727" s="15" t="s">
        <v>174</v>
      </c>
      <c r="D1727" s="16" t="s">
        <v>338</v>
      </c>
      <c r="E1727" s="16">
        <f>IF(Table13[[#This Row],[Quartile]]="TopQuartile", 1,
 IF(Table13[[#This Row],[Quartile]]="SecondQuartile", 2,
 IF(Table13[[#This Row],[Quartile]]="ThirdQuartile", 3,
 IF(Table13[[#This Row],[Quartile]]="FourthQuartile", 4, ""))))</f>
        <v>2</v>
      </c>
      <c r="F1727" s="15" t="s">
        <v>342</v>
      </c>
      <c r="G1727" s="15" t="str" cm="1">
        <f t="array" ref="G1727">IFERROR(
  INDEX(Table13[Quartile],
    MATCH(1,
      (Table13[[#This Row],[OrgName]]=Table13[OrgName]) *
      (Table13[[#This Row],[Month Number]]-1=Table13[Month Number]),
    0)
  ),
"")</f>
        <v/>
      </c>
      <c r="H1727" s="15" t="str">
        <f>IF(Table13[[#This Row],[Previous Quartile]]="TopQuartile", 1,
 IF(Table13[[#This Row],[Previous Quartile]]="SecondQuartile", 2,
 IF(Table13[[#This Row],[Previous Quartile]]="ThirdQuartile", 3,
 IF(Table13[[#This Row],[Previous Quartile]]="FourthQuartile", 4, ""))))</f>
        <v/>
      </c>
      <c r="I1727" s="15" t="s">
        <v>649</v>
      </c>
      <c r="J1727" s="15" t="s">
        <v>20</v>
      </c>
      <c r="K1727" s="7" t="str">
        <f>VLOOKUP(J1727,Introduction!$B$6:$C$14,2)</f>
        <v>East of England</v>
      </c>
      <c r="L1727" s="17">
        <v>390</v>
      </c>
      <c r="M1727" s="18" t="s">
        <v>332</v>
      </c>
    </row>
    <row r="1728" spans="1:13" ht="19.95" customHeight="1" x14ac:dyDescent="0.25">
      <c r="A1728" s="42">
        <v>45292</v>
      </c>
      <c r="B1728" s="48">
        <f>MONTH(Table13[[#This Row],[YearMonth]])</f>
        <v>1</v>
      </c>
      <c r="C1728" s="15" t="s">
        <v>228</v>
      </c>
      <c r="D1728" s="16" t="s">
        <v>341</v>
      </c>
      <c r="E1728" s="16">
        <f>IF(Table13[[#This Row],[Quartile]]="TopQuartile", 1,
 IF(Table13[[#This Row],[Quartile]]="SecondQuartile", 2,
 IF(Table13[[#This Row],[Quartile]]="ThirdQuartile", 3,
 IF(Table13[[#This Row],[Quartile]]="FourthQuartile", 4, ""))))</f>
        <v>3</v>
      </c>
      <c r="F1728" s="15" t="s">
        <v>347</v>
      </c>
      <c r="G1728" s="15" t="str" cm="1">
        <f t="array" ref="G1728">IFERROR(
  INDEX(Table13[Quartile],
    MATCH(1,
      (Table13[[#This Row],[OrgName]]=Table13[OrgName]) *
      (Table13[[#This Row],[Month Number]]-1=Table13[Month Number]),
    0)
  ),
"")</f>
        <v/>
      </c>
      <c r="H1728" s="15" t="str">
        <f>IF(Table13[[#This Row],[Previous Quartile]]="TopQuartile", 1,
 IF(Table13[[#This Row],[Previous Quartile]]="SecondQuartile", 2,
 IF(Table13[[#This Row],[Previous Quartile]]="ThirdQuartile", 3,
 IF(Table13[[#This Row],[Previous Quartile]]="FourthQuartile", 4, ""))))</f>
        <v/>
      </c>
      <c r="I1728" s="15" t="s">
        <v>649</v>
      </c>
      <c r="J1728" s="15" t="s">
        <v>14</v>
      </c>
      <c r="K1728" s="7" t="str">
        <f>VLOOKUP(J1728,Introduction!$B$6:$C$14,2)</f>
        <v>South West</v>
      </c>
      <c r="L1728" s="17">
        <v>339</v>
      </c>
      <c r="M1728" s="18" t="s">
        <v>332</v>
      </c>
    </row>
    <row r="1729" spans="1:13" ht="19.95" customHeight="1" x14ac:dyDescent="0.25">
      <c r="A1729" s="42">
        <v>45292</v>
      </c>
      <c r="B1729" s="48">
        <f>MONTH(Table13[[#This Row],[YearMonth]])</f>
        <v>1</v>
      </c>
      <c r="C1729" s="15" t="s">
        <v>137</v>
      </c>
      <c r="D1729" s="16" t="s">
        <v>341</v>
      </c>
      <c r="E1729" s="16">
        <f>IF(Table13[[#This Row],[Quartile]]="TopQuartile", 1,
 IF(Table13[[#This Row],[Quartile]]="SecondQuartile", 2,
 IF(Table13[[#This Row],[Quartile]]="ThirdQuartile", 3,
 IF(Table13[[#This Row],[Quartile]]="FourthQuartile", 4, ""))))</f>
        <v>3</v>
      </c>
      <c r="F1729" s="15" t="s">
        <v>340</v>
      </c>
      <c r="G1729" s="15" t="str" cm="1">
        <f t="array" ref="G1729">IFERROR(
  INDEX(Table13[Quartile],
    MATCH(1,
      (Table13[[#This Row],[OrgName]]=Table13[OrgName]) *
      (Table13[[#This Row],[Month Number]]-1=Table13[Month Number]),
    0)
  ),
"")</f>
        <v/>
      </c>
      <c r="H1729" s="15" t="str">
        <f>IF(Table13[[#This Row],[Previous Quartile]]="TopQuartile", 1,
 IF(Table13[[#This Row],[Previous Quartile]]="SecondQuartile", 2,
 IF(Table13[[#This Row],[Previous Quartile]]="ThirdQuartile", 3,
 IF(Table13[[#This Row],[Previous Quartile]]="FourthQuartile", 4, ""))))</f>
        <v/>
      </c>
      <c r="I1729" s="15" t="s">
        <v>649</v>
      </c>
      <c r="J1729" s="15" t="s">
        <v>18</v>
      </c>
      <c r="K1729" s="7" t="str">
        <f>VLOOKUP(J1729,Introduction!$B$6:$C$14,2)</f>
        <v>Midlands</v>
      </c>
      <c r="L1729" s="17">
        <v>225</v>
      </c>
      <c r="M1729" s="18" t="s">
        <v>332</v>
      </c>
    </row>
    <row r="1730" spans="1:13" ht="19.95" customHeight="1" x14ac:dyDescent="0.25">
      <c r="A1730" s="42">
        <v>45292</v>
      </c>
      <c r="B1730" s="48">
        <f>MONTH(Table13[[#This Row],[YearMonth]])</f>
        <v>1</v>
      </c>
      <c r="C1730" s="15" t="s">
        <v>220</v>
      </c>
      <c r="D1730" s="16" t="s">
        <v>341</v>
      </c>
      <c r="E1730" s="16">
        <f>IF(Table13[[#This Row],[Quartile]]="TopQuartile", 1,
 IF(Table13[[#This Row],[Quartile]]="SecondQuartile", 2,
 IF(Table13[[#This Row],[Quartile]]="ThirdQuartile", 3,
 IF(Table13[[#This Row],[Quartile]]="FourthQuartile", 4, ""))))</f>
        <v>3</v>
      </c>
      <c r="F1730" s="15" t="s">
        <v>346</v>
      </c>
      <c r="G1730" s="15" t="str" cm="1">
        <f t="array" ref="G1730">IFERROR(
  INDEX(Table13[Quartile],
    MATCH(1,
      (Table13[[#This Row],[OrgName]]=Table13[OrgName]) *
      (Table13[[#This Row],[Month Number]]-1=Table13[Month Number]),
    0)
  ),
"")</f>
        <v/>
      </c>
      <c r="H1730" s="15" t="str">
        <f>IF(Table13[[#This Row],[Previous Quartile]]="TopQuartile", 1,
 IF(Table13[[#This Row],[Previous Quartile]]="SecondQuartile", 2,
 IF(Table13[[#This Row],[Previous Quartile]]="ThirdQuartile", 3,
 IF(Table13[[#This Row],[Previous Quartile]]="FourthQuartile", 4, ""))))</f>
        <v/>
      </c>
      <c r="I1730" s="15" t="s">
        <v>649</v>
      </c>
      <c r="J1730" s="15" t="s">
        <v>16</v>
      </c>
      <c r="K1730" s="7" t="str">
        <f>VLOOKUP(J1730,Introduction!$B$6:$C$14,2)</f>
        <v>South East</v>
      </c>
      <c r="L1730" s="17">
        <v>151</v>
      </c>
      <c r="M1730" s="18" t="s">
        <v>332</v>
      </c>
    </row>
    <row r="1731" spans="1:13" ht="19.95" customHeight="1" x14ac:dyDescent="0.25">
      <c r="A1731" s="42">
        <v>45292</v>
      </c>
      <c r="B1731" s="48">
        <f>MONTH(Table13[[#This Row],[YearMonth]])</f>
        <v>1</v>
      </c>
      <c r="C1731" s="15" t="s">
        <v>237</v>
      </c>
      <c r="D1731" s="16" t="s">
        <v>341</v>
      </c>
      <c r="E1731" s="16">
        <f>IF(Table13[[#This Row],[Quartile]]="TopQuartile", 1,
 IF(Table13[[#This Row],[Quartile]]="SecondQuartile", 2,
 IF(Table13[[#This Row],[Quartile]]="ThirdQuartile", 3,
 IF(Table13[[#This Row],[Quartile]]="FourthQuartile", 4, ""))))</f>
        <v>3</v>
      </c>
      <c r="F1731" s="15" t="s">
        <v>349</v>
      </c>
      <c r="G1731" s="15" t="str" cm="1">
        <f t="array" ref="G1731">IFERROR(
  INDEX(Table13[Quartile],
    MATCH(1,
      (Table13[[#This Row],[OrgName]]=Table13[OrgName]) *
      (Table13[[#This Row],[Month Number]]-1=Table13[Month Number]),
    0)
  ),
"")</f>
        <v/>
      </c>
      <c r="H1731" s="15" t="str">
        <f>IF(Table13[[#This Row],[Previous Quartile]]="TopQuartile", 1,
 IF(Table13[[#This Row],[Previous Quartile]]="SecondQuartile", 2,
 IF(Table13[[#This Row],[Previous Quartile]]="ThirdQuartile", 3,
 IF(Table13[[#This Row],[Previous Quartile]]="FourthQuartile", 4, ""))))</f>
        <v/>
      </c>
      <c r="I1731" s="15" t="s">
        <v>649</v>
      </c>
      <c r="J1731" s="15" t="s">
        <v>24</v>
      </c>
      <c r="K1731" s="7" t="str">
        <f>VLOOKUP(J1731,Introduction!$B$6:$C$14,2)</f>
        <v>North East and Yorkshire</v>
      </c>
      <c r="L1731" s="17">
        <v>155</v>
      </c>
      <c r="M1731" s="18" t="s">
        <v>332</v>
      </c>
    </row>
    <row r="1732" spans="1:13" ht="19.95" customHeight="1" x14ac:dyDescent="0.25">
      <c r="A1732" s="42">
        <v>45292</v>
      </c>
      <c r="B1732" s="48">
        <f>MONTH(Table13[[#This Row],[YearMonth]])</f>
        <v>1</v>
      </c>
      <c r="C1732" s="15" t="s">
        <v>254</v>
      </c>
      <c r="D1732" s="16" t="s">
        <v>341</v>
      </c>
      <c r="E1732" s="16">
        <f>IF(Table13[[#This Row],[Quartile]]="TopQuartile", 1,
 IF(Table13[[#This Row],[Quartile]]="SecondQuartile", 2,
 IF(Table13[[#This Row],[Quartile]]="ThirdQuartile", 3,
 IF(Table13[[#This Row],[Quartile]]="FourthQuartile", 4, ""))))</f>
        <v>3</v>
      </c>
      <c r="F1732" s="15" t="s">
        <v>352</v>
      </c>
      <c r="G1732" s="15" t="str" cm="1">
        <f t="array" ref="G1732">IFERROR(
  INDEX(Table13[Quartile],
    MATCH(1,
      (Table13[[#This Row],[OrgName]]=Table13[OrgName]) *
      (Table13[[#This Row],[Month Number]]-1=Table13[Month Number]),
    0)
  ),
"")</f>
        <v/>
      </c>
      <c r="H1732" s="15" t="str">
        <f>IF(Table13[[#This Row],[Previous Quartile]]="TopQuartile", 1,
 IF(Table13[[#This Row],[Previous Quartile]]="SecondQuartile", 2,
 IF(Table13[[#This Row],[Previous Quartile]]="ThirdQuartile", 3,
 IF(Table13[[#This Row],[Previous Quartile]]="FourthQuartile", 4, ""))))</f>
        <v/>
      </c>
      <c r="I1732" s="15" t="s">
        <v>649</v>
      </c>
      <c r="J1732" s="15" t="s">
        <v>22</v>
      </c>
      <c r="K1732" s="7" t="str">
        <f>VLOOKUP(J1732,Introduction!$B$6:$C$14,2)</f>
        <v>North West</v>
      </c>
      <c r="L1732" s="17">
        <v>435</v>
      </c>
      <c r="M1732" s="18" t="s">
        <v>332</v>
      </c>
    </row>
    <row r="1733" spans="1:13" ht="19.95" customHeight="1" x14ac:dyDescent="0.25">
      <c r="A1733" s="42">
        <v>45292</v>
      </c>
      <c r="B1733" s="48">
        <f>MONTH(Table13[[#This Row],[YearMonth]])</f>
        <v>1</v>
      </c>
      <c r="C1733" s="15" t="s">
        <v>236</v>
      </c>
      <c r="D1733" s="16" t="s">
        <v>341</v>
      </c>
      <c r="E1733" s="16">
        <f>IF(Table13[[#This Row],[Quartile]]="TopQuartile", 1,
 IF(Table13[[#This Row],[Quartile]]="SecondQuartile", 2,
 IF(Table13[[#This Row],[Quartile]]="ThirdQuartile", 3,
 IF(Table13[[#This Row],[Quartile]]="FourthQuartile", 4, ""))))</f>
        <v>3</v>
      </c>
      <c r="F1733" s="15" t="s">
        <v>348</v>
      </c>
      <c r="G1733" s="15" t="str" cm="1">
        <f t="array" ref="G1733">IFERROR(
  INDEX(Table13[Quartile],
    MATCH(1,
      (Table13[[#This Row],[OrgName]]=Table13[OrgName]) *
      (Table13[[#This Row],[Month Number]]-1=Table13[Month Number]),
    0)
  ),
"")</f>
        <v/>
      </c>
      <c r="H1733" s="15" t="str">
        <f>IF(Table13[[#This Row],[Previous Quartile]]="TopQuartile", 1,
 IF(Table13[[#This Row],[Previous Quartile]]="SecondQuartile", 2,
 IF(Table13[[#This Row],[Previous Quartile]]="ThirdQuartile", 3,
 IF(Table13[[#This Row],[Previous Quartile]]="FourthQuartile", 4, ""))))</f>
        <v/>
      </c>
      <c r="I1733" s="15" t="s">
        <v>649</v>
      </c>
      <c r="J1733" s="15" t="s">
        <v>18</v>
      </c>
      <c r="K1733" s="7" t="str">
        <f>VLOOKUP(J1733,Introduction!$B$6:$C$14,2)</f>
        <v>Midlands</v>
      </c>
      <c r="L1733" s="17">
        <v>365</v>
      </c>
      <c r="M1733" s="18" t="s">
        <v>332</v>
      </c>
    </row>
    <row r="1734" spans="1:13" ht="19.95" customHeight="1" x14ac:dyDescent="0.25">
      <c r="A1734" s="42">
        <v>45292</v>
      </c>
      <c r="B1734" s="48">
        <f>MONTH(Table13[[#This Row],[YearMonth]])</f>
        <v>1</v>
      </c>
      <c r="C1734" s="15" t="s">
        <v>200</v>
      </c>
      <c r="D1734" s="16" t="s">
        <v>350</v>
      </c>
      <c r="E1734" s="16">
        <f>IF(Table13[[#This Row],[Quartile]]="TopQuartile", 1,
 IF(Table13[[#This Row],[Quartile]]="SecondQuartile", 2,
 IF(Table13[[#This Row],[Quartile]]="ThirdQuartile", 3,
 IF(Table13[[#This Row],[Quartile]]="FourthQuartile", 4, ""))))</f>
        <v>4</v>
      </c>
      <c r="F1734" s="15" t="s">
        <v>343</v>
      </c>
      <c r="G1734" s="15" t="str" cm="1">
        <f t="array" ref="G1734">IFERROR(
  INDEX(Table13[Quartile],
    MATCH(1,
      (Table13[[#This Row],[OrgName]]=Table13[OrgName]) *
      (Table13[[#This Row],[Month Number]]-1=Table13[Month Number]),
    0)
  ),
"")</f>
        <v/>
      </c>
      <c r="H1734" s="15" t="str">
        <f>IF(Table13[[#This Row],[Previous Quartile]]="TopQuartile", 1,
 IF(Table13[[#This Row],[Previous Quartile]]="SecondQuartile", 2,
 IF(Table13[[#This Row],[Previous Quartile]]="ThirdQuartile", 3,
 IF(Table13[[#This Row],[Previous Quartile]]="FourthQuartile", 4, ""))))</f>
        <v/>
      </c>
      <c r="I1734" s="15" t="s">
        <v>649</v>
      </c>
      <c r="J1734" s="15" t="s">
        <v>20</v>
      </c>
      <c r="K1734" s="7" t="str">
        <f>VLOOKUP(J1734,Introduction!$B$6:$C$14,2)</f>
        <v>East of England</v>
      </c>
      <c r="L1734" s="17">
        <v>361</v>
      </c>
      <c r="M1734" s="18" t="s">
        <v>332</v>
      </c>
    </row>
    <row r="1735" spans="1:13" ht="19.95" customHeight="1" x14ac:dyDescent="0.25">
      <c r="A1735" s="42">
        <v>45292</v>
      </c>
      <c r="B1735" s="48">
        <f>MONTH(Table13[[#This Row],[YearMonth]])</f>
        <v>1</v>
      </c>
      <c r="C1735" s="15" t="s">
        <v>257</v>
      </c>
      <c r="D1735" s="16" t="s">
        <v>350</v>
      </c>
      <c r="E1735" s="16">
        <f>IF(Table13[[#This Row],[Quartile]]="TopQuartile", 1,
 IF(Table13[[#This Row],[Quartile]]="SecondQuartile", 2,
 IF(Table13[[#This Row],[Quartile]]="ThirdQuartile", 3,
 IF(Table13[[#This Row],[Quartile]]="FourthQuartile", 4, ""))))</f>
        <v>4</v>
      </c>
      <c r="F1735" s="15" t="s">
        <v>353</v>
      </c>
      <c r="G1735" s="15" t="str" cm="1">
        <f t="array" ref="G1735">IFERROR(
  INDEX(Table13[Quartile],
    MATCH(1,
      (Table13[[#This Row],[OrgName]]=Table13[OrgName]) *
      (Table13[[#This Row],[Month Number]]-1=Table13[Month Number]),
    0)
  ),
"")</f>
        <v/>
      </c>
      <c r="H1735" s="15" t="str">
        <f>IF(Table13[[#This Row],[Previous Quartile]]="TopQuartile", 1,
 IF(Table13[[#This Row],[Previous Quartile]]="SecondQuartile", 2,
 IF(Table13[[#This Row],[Previous Quartile]]="ThirdQuartile", 3,
 IF(Table13[[#This Row],[Previous Quartile]]="FourthQuartile", 4, ""))))</f>
        <v/>
      </c>
      <c r="I1735" s="15" t="s">
        <v>649</v>
      </c>
      <c r="J1735" s="15" t="s">
        <v>14</v>
      </c>
      <c r="K1735" s="7" t="str">
        <f>VLOOKUP(J1735,Introduction!$B$6:$C$14,2)</f>
        <v>South West</v>
      </c>
      <c r="L1735" s="17">
        <v>185</v>
      </c>
      <c r="M1735" s="18" t="s">
        <v>332</v>
      </c>
    </row>
    <row r="1736" spans="1:13" ht="19.95" customHeight="1" x14ac:dyDescent="0.25">
      <c r="A1736" s="42">
        <v>45292</v>
      </c>
      <c r="B1736" s="48">
        <f>MONTH(Table13[[#This Row],[YearMonth]])</f>
        <v>1</v>
      </c>
      <c r="C1736" s="15" t="s">
        <v>214</v>
      </c>
      <c r="D1736" s="16" t="s">
        <v>350</v>
      </c>
      <c r="E1736" s="16">
        <f>IF(Table13[[#This Row],[Quartile]]="TopQuartile", 1,
 IF(Table13[[#This Row],[Quartile]]="SecondQuartile", 2,
 IF(Table13[[#This Row],[Quartile]]="ThirdQuartile", 3,
 IF(Table13[[#This Row],[Quartile]]="FourthQuartile", 4, ""))))</f>
        <v>4</v>
      </c>
      <c r="F1736" s="15" t="s">
        <v>345</v>
      </c>
      <c r="G1736" s="15" t="str" cm="1">
        <f t="array" ref="G1736">IFERROR(
  INDEX(Table13[Quartile],
    MATCH(1,
      (Table13[[#This Row],[OrgName]]=Table13[OrgName]) *
      (Table13[[#This Row],[Month Number]]-1=Table13[Month Number]),
    0)
  ),
"")</f>
        <v/>
      </c>
      <c r="H1736" s="15" t="str">
        <f>IF(Table13[[#This Row],[Previous Quartile]]="TopQuartile", 1,
 IF(Table13[[#This Row],[Previous Quartile]]="SecondQuartile", 2,
 IF(Table13[[#This Row],[Previous Quartile]]="ThirdQuartile", 3,
 IF(Table13[[#This Row],[Previous Quartile]]="FourthQuartile", 4, ""))))</f>
        <v/>
      </c>
      <c r="I1736" s="15" t="s">
        <v>649</v>
      </c>
      <c r="J1736" s="15" t="s">
        <v>20</v>
      </c>
      <c r="K1736" s="7" t="str">
        <f>VLOOKUP(J1736,Introduction!$B$6:$C$14,2)</f>
        <v>East of England</v>
      </c>
      <c r="L1736" s="17">
        <v>176</v>
      </c>
      <c r="M1736" s="18" t="s">
        <v>332</v>
      </c>
    </row>
    <row r="1737" spans="1:13" ht="19.95" customHeight="1" x14ac:dyDescent="0.25">
      <c r="A1737" s="42">
        <v>45292</v>
      </c>
      <c r="B1737" s="48">
        <f>MONTH(Table13[[#This Row],[YearMonth]])</f>
        <v>1</v>
      </c>
      <c r="C1737" s="15" t="s">
        <v>270</v>
      </c>
      <c r="D1737" s="16" t="s">
        <v>350</v>
      </c>
      <c r="E1737" s="16">
        <f>IF(Table13[[#This Row],[Quartile]]="TopQuartile", 1,
 IF(Table13[[#This Row],[Quartile]]="SecondQuartile", 2,
 IF(Table13[[#This Row],[Quartile]]="ThirdQuartile", 3,
 IF(Table13[[#This Row],[Quartile]]="FourthQuartile", 4, ""))))</f>
        <v>4</v>
      </c>
      <c r="F1737" s="15" t="s">
        <v>354</v>
      </c>
      <c r="G1737" s="15" t="str" cm="1">
        <f t="array" ref="G1737">IFERROR(
  INDEX(Table13[Quartile],
    MATCH(1,
      (Table13[[#This Row],[OrgName]]=Table13[OrgName]) *
      (Table13[[#This Row],[Month Number]]-1=Table13[Month Number]),
    0)
  ),
"")</f>
        <v/>
      </c>
      <c r="H1737" s="15" t="str">
        <f>IF(Table13[[#This Row],[Previous Quartile]]="TopQuartile", 1,
 IF(Table13[[#This Row],[Previous Quartile]]="SecondQuartile", 2,
 IF(Table13[[#This Row],[Previous Quartile]]="ThirdQuartile", 3,
 IF(Table13[[#This Row],[Previous Quartile]]="FourthQuartile", 4, ""))))</f>
        <v/>
      </c>
      <c r="I1737" s="15" t="s">
        <v>649</v>
      </c>
      <c r="J1737" s="15" t="s">
        <v>16</v>
      </c>
      <c r="K1737" s="7" t="str">
        <f>VLOOKUP(J1737,Introduction!$B$6:$C$14,2)</f>
        <v>South East</v>
      </c>
      <c r="L1737" s="17">
        <v>251</v>
      </c>
      <c r="M1737" s="18" t="s">
        <v>332</v>
      </c>
    </row>
    <row r="1738" spans="1:13" ht="19.95" customHeight="1" x14ac:dyDescent="0.25">
      <c r="A1738" s="42">
        <v>45292</v>
      </c>
      <c r="B1738" s="48">
        <f>MONTH(Table13[[#This Row],[YearMonth]])</f>
        <v>1</v>
      </c>
      <c r="C1738" s="15" t="s">
        <v>246</v>
      </c>
      <c r="D1738" s="16" t="s">
        <v>350</v>
      </c>
      <c r="E1738" s="16">
        <f>IF(Table13[[#This Row],[Quartile]]="TopQuartile", 1,
 IF(Table13[[#This Row],[Quartile]]="SecondQuartile", 2,
 IF(Table13[[#This Row],[Quartile]]="ThirdQuartile", 3,
 IF(Table13[[#This Row],[Quartile]]="FourthQuartile", 4, ""))))</f>
        <v>4</v>
      </c>
      <c r="F1738" s="15" t="s">
        <v>351</v>
      </c>
      <c r="G1738" s="15" t="str" cm="1">
        <f t="array" ref="G1738">IFERROR(
  INDEX(Table13[Quartile],
    MATCH(1,
      (Table13[[#This Row],[OrgName]]=Table13[OrgName]) *
      (Table13[[#This Row],[Month Number]]-1=Table13[Month Number]),
    0)
  ),
"")</f>
        <v/>
      </c>
      <c r="H1738" s="15" t="str">
        <f>IF(Table13[[#This Row],[Previous Quartile]]="TopQuartile", 1,
 IF(Table13[[#This Row],[Previous Quartile]]="SecondQuartile", 2,
 IF(Table13[[#This Row],[Previous Quartile]]="ThirdQuartile", 3,
 IF(Table13[[#This Row],[Previous Quartile]]="FourthQuartile", 4, ""))))</f>
        <v/>
      </c>
      <c r="I1738" s="15" t="s">
        <v>649</v>
      </c>
      <c r="J1738" s="15" t="s">
        <v>14</v>
      </c>
      <c r="K1738" s="7" t="str">
        <f>VLOOKUP(J1738,Introduction!$B$6:$C$14,2)</f>
        <v>South West</v>
      </c>
      <c r="L1738" s="17">
        <v>318</v>
      </c>
      <c r="M1738" s="18" t="s">
        <v>332</v>
      </c>
    </row>
    <row r="1739" spans="1:13" ht="19.95" customHeight="1" x14ac:dyDescent="0.25">
      <c r="A1739" s="42">
        <v>45292</v>
      </c>
      <c r="B1739" s="48">
        <f>MONTH(Table13[[#This Row],[YearMonth]])</f>
        <v>1</v>
      </c>
      <c r="C1739" s="15" t="s">
        <v>283</v>
      </c>
      <c r="D1739" s="16" t="s">
        <v>350</v>
      </c>
      <c r="E1739" s="16">
        <f>IF(Table13[[#This Row],[Quartile]]="TopQuartile", 1,
 IF(Table13[[#This Row],[Quartile]]="SecondQuartile", 2,
 IF(Table13[[#This Row],[Quartile]]="ThirdQuartile", 3,
 IF(Table13[[#This Row],[Quartile]]="FourthQuartile", 4, ""))))</f>
        <v>4</v>
      </c>
      <c r="F1739" s="15" t="s">
        <v>355</v>
      </c>
      <c r="G1739" s="15" t="str" cm="1">
        <f t="array" ref="G1739">IFERROR(
  INDEX(Table13[Quartile],
    MATCH(1,
      (Table13[[#This Row],[OrgName]]=Table13[OrgName]) *
      (Table13[[#This Row],[Month Number]]-1=Table13[Month Number]),
    0)
  ),
"")</f>
        <v/>
      </c>
      <c r="H1739" s="15" t="str">
        <f>IF(Table13[[#This Row],[Previous Quartile]]="TopQuartile", 1,
 IF(Table13[[#This Row],[Previous Quartile]]="SecondQuartile", 2,
 IF(Table13[[#This Row],[Previous Quartile]]="ThirdQuartile", 3,
 IF(Table13[[#This Row],[Previous Quartile]]="FourthQuartile", 4, ""))))</f>
        <v/>
      </c>
      <c r="I1739" s="15" t="s">
        <v>649</v>
      </c>
      <c r="J1739" s="15" t="s">
        <v>16</v>
      </c>
      <c r="K1739" s="7" t="str">
        <f>VLOOKUP(J1739,Introduction!$B$6:$C$14,2)</f>
        <v>South East</v>
      </c>
      <c r="L1739" s="17">
        <v>193</v>
      </c>
      <c r="M1739" s="18" t="s">
        <v>332</v>
      </c>
    </row>
    <row r="1740" spans="1:13" ht="19.95" customHeight="1" x14ac:dyDescent="0.25">
      <c r="A1740" s="42">
        <v>45292</v>
      </c>
      <c r="B1740" s="48">
        <f>MONTH(Table13[[#This Row],[YearMonth]])</f>
        <v>1</v>
      </c>
      <c r="C1740" s="15" t="s">
        <v>290</v>
      </c>
      <c r="D1740" s="16" t="s">
        <v>350</v>
      </c>
      <c r="E1740" s="16">
        <f>IF(Table13[[#This Row],[Quartile]]="TopQuartile", 1,
 IF(Table13[[#This Row],[Quartile]]="SecondQuartile", 2,
 IF(Table13[[#This Row],[Quartile]]="ThirdQuartile", 3,
 IF(Table13[[#This Row],[Quartile]]="FourthQuartile", 4, ""))))</f>
        <v>4</v>
      </c>
      <c r="F1740" s="15" t="s">
        <v>356</v>
      </c>
      <c r="G1740" s="15" t="str" cm="1">
        <f t="array" ref="G1740">IFERROR(
  INDEX(Table13[Quartile],
    MATCH(1,
      (Table13[[#This Row],[OrgName]]=Table13[OrgName]) *
      (Table13[[#This Row],[Month Number]]-1=Table13[Month Number]),
    0)
  ),
"")</f>
        <v/>
      </c>
      <c r="H1740" s="15" t="str">
        <f>IF(Table13[[#This Row],[Previous Quartile]]="TopQuartile", 1,
 IF(Table13[[#This Row],[Previous Quartile]]="SecondQuartile", 2,
 IF(Table13[[#This Row],[Previous Quartile]]="ThirdQuartile", 3,
 IF(Table13[[#This Row],[Previous Quartile]]="FourthQuartile", 4, ""))))</f>
        <v/>
      </c>
      <c r="I1740" s="15" t="s">
        <v>649</v>
      </c>
      <c r="J1740" s="15" t="s">
        <v>18</v>
      </c>
      <c r="K1740" s="7" t="str">
        <f>VLOOKUP(J1740,Introduction!$B$6:$C$14,2)</f>
        <v>Midlands</v>
      </c>
      <c r="L1740" s="17">
        <v>381</v>
      </c>
      <c r="M1740" s="18" t="s">
        <v>332</v>
      </c>
    </row>
    <row r="1741" spans="1:13" ht="19.95" customHeight="1" x14ac:dyDescent="0.25">
      <c r="A1741" s="42">
        <v>45292</v>
      </c>
      <c r="B1741" s="48">
        <f>MONTH(Table13[[#This Row],[YearMonth]])</f>
        <v>1</v>
      </c>
      <c r="C1741" s="15" t="s">
        <v>292</v>
      </c>
      <c r="D1741" s="16" t="s">
        <v>350</v>
      </c>
      <c r="E1741" s="16">
        <f>IF(Table13[[#This Row],[Quartile]]="TopQuartile", 1,
 IF(Table13[[#This Row],[Quartile]]="SecondQuartile", 2,
 IF(Table13[[#This Row],[Quartile]]="ThirdQuartile", 3,
 IF(Table13[[#This Row],[Quartile]]="FourthQuartile", 4, ""))))</f>
        <v>4</v>
      </c>
      <c r="F1741" s="15" t="s">
        <v>357</v>
      </c>
      <c r="G1741" s="15" t="str" cm="1">
        <f t="array" ref="G1741">IFERROR(
  INDEX(Table13[Quartile],
    MATCH(1,
      (Table13[[#This Row],[OrgName]]=Table13[OrgName]) *
      (Table13[[#This Row],[Month Number]]-1=Table13[Month Number]),
    0)
  ),
"")</f>
        <v/>
      </c>
      <c r="H1741" s="15" t="str">
        <f>IF(Table13[[#This Row],[Previous Quartile]]="TopQuartile", 1,
 IF(Table13[[#This Row],[Previous Quartile]]="SecondQuartile", 2,
 IF(Table13[[#This Row],[Previous Quartile]]="ThirdQuartile", 3,
 IF(Table13[[#This Row],[Previous Quartile]]="FourthQuartile", 4, ""))))</f>
        <v/>
      </c>
      <c r="I1741" s="15" t="s">
        <v>649</v>
      </c>
      <c r="J1741" s="15" t="s">
        <v>14</v>
      </c>
      <c r="K1741" s="7" t="str">
        <f>VLOOKUP(J1741,Introduction!$B$6:$C$14,2)</f>
        <v>South West</v>
      </c>
      <c r="L1741" s="17">
        <v>156</v>
      </c>
      <c r="M1741" s="18" t="s">
        <v>332</v>
      </c>
    </row>
    <row r="1742" spans="1:13" ht="19.95" customHeight="1" x14ac:dyDescent="0.25">
      <c r="A1742" s="42">
        <v>45292</v>
      </c>
      <c r="B1742" s="48">
        <f>MONTH(Table13[[#This Row],[YearMonth]])</f>
        <v>1</v>
      </c>
      <c r="C1742" s="15" t="s">
        <v>37</v>
      </c>
      <c r="D1742" s="16" t="s">
        <v>330</v>
      </c>
      <c r="E1742" s="16">
        <f>IF(Table13[[#This Row],[Quartile]]="TopQuartile", 1,
 IF(Table13[[#This Row],[Quartile]]="SecondQuartile", 2,
 IF(Table13[[#This Row],[Quartile]]="ThirdQuartile", 3,
 IF(Table13[[#This Row],[Quartile]]="FourthQuartile", 4, ""))))</f>
        <v>1</v>
      </c>
      <c r="F1742" s="15" t="s">
        <v>358</v>
      </c>
      <c r="G1742" s="15" t="str" cm="1">
        <f t="array" ref="G1742">IFERROR(
  INDEX(Table13[Quartile],
    MATCH(1,
      (Table13[[#This Row],[OrgName]]=Table13[OrgName]) *
      (Table13[[#This Row],[Month Number]]-1=Table13[Month Number]),
    0)
  ),
"")</f>
        <v/>
      </c>
      <c r="H1742" s="15" t="str">
        <f>IF(Table13[[#This Row],[Previous Quartile]]="TopQuartile", 1,
 IF(Table13[[#This Row],[Previous Quartile]]="SecondQuartile", 2,
 IF(Table13[[#This Row],[Previous Quartile]]="ThirdQuartile", 3,
 IF(Table13[[#This Row],[Previous Quartile]]="FourthQuartile", 4, ""))))</f>
        <v/>
      </c>
      <c r="I1742" s="15" t="s">
        <v>649</v>
      </c>
      <c r="J1742" s="15" t="s">
        <v>18</v>
      </c>
      <c r="K1742" s="7" t="str">
        <f>VLOOKUP(J1742,Introduction!$B$6:$C$14,2)</f>
        <v>Midlands</v>
      </c>
      <c r="L1742" s="17">
        <v>223</v>
      </c>
      <c r="M1742" s="18" t="s">
        <v>359</v>
      </c>
    </row>
    <row r="1743" spans="1:13" ht="19.95" customHeight="1" x14ac:dyDescent="0.25">
      <c r="A1743" s="42">
        <v>45292</v>
      </c>
      <c r="B1743" s="48">
        <f>MONTH(Table13[[#This Row],[YearMonth]])</f>
        <v>1</v>
      </c>
      <c r="C1743" s="15" t="s">
        <v>54</v>
      </c>
      <c r="D1743" s="16" t="s">
        <v>330</v>
      </c>
      <c r="E1743" s="16">
        <f>IF(Table13[[#This Row],[Quartile]]="TopQuartile", 1,
 IF(Table13[[#This Row],[Quartile]]="SecondQuartile", 2,
 IF(Table13[[#This Row],[Quartile]]="ThirdQuartile", 3,
 IF(Table13[[#This Row],[Quartile]]="FourthQuartile", 4, ""))))</f>
        <v>1</v>
      </c>
      <c r="F1743" s="15" t="s">
        <v>361</v>
      </c>
      <c r="G1743" s="15" t="str" cm="1">
        <f t="array" ref="G1743">IFERROR(
  INDEX(Table13[Quartile],
    MATCH(1,
      (Table13[[#This Row],[OrgName]]=Table13[OrgName]) *
      (Table13[[#This Row],[Month Number]]-1=Table13[Month Number]),
    0)
  ),
"")</f>
        <v/>
      </c>
      <c r="H1743" s="15" t="str">
        <f>IF(Table13[[#This Row],[Previous Quartile]]="TopQuartile", 1,
 IF(Table13[[#This Row],[Previous Quartile]]="SecondQuartile", 2,
 IF(Table13[[#This Row],[Previous Quartile]]="ThirdQuartile", 3,
 IF(Table13[[#This Row],[Previous Quartile]]="FourthQuartile", 4, ""))))</f>
        <v/>
      </c>
      <c r="I1743" s="15" t="s">
        <v>649</v>
      </c>
      <c r="J1743" s="15" t="s">
        <v>24</v>
      </c>
      <c r="K1743" s="7" t="str">
        <f>VLOOKUP(J1743,Introduction!$B$6:$C$14,2)</f>
        <v>North East and Yorkshire</v>
      </c>
      <c r="L1743" s="17">
        <v>297</v>
      </c>
      <c r="M1743" s="18" t="s">
        <v>359</v>
      </c>
    </row>
    <row r="1744" spans="1:13" ht="19.95" customHeight="1" x14ac:dyDescent="0.25">
      <c r="A1744" s="42">
        <v>45292</v>
      </c>
      <c r="B1744" s="48">
        <f>MONTH(Table13[[#This Row],[YearMonth]])</f>
        <v>1</v>
      </c>
      <c r="C1744" s="15" t="s">
        <v>59</v>
      </c>
      <c r="D1744" s="16" t="s">
        <v>330</v>
      </c>
      <c r="E1744" s="16">
        <f>IF(Table13[[#This Row],[Quartile]]="TopQuartile", 1,
 IF(Table13[[#This Row],[Quartile]]="SecondQuartile", 2,
 IF(Table13[[#This Row],[Quartile]]="ThirdQuartile", 3,
 IF(Table13[[#This Row],[Quartile]]="FourthQuartile", 4, ""))))</f>
        <v>1</v>
      </c>
      <c r="F1744" s="15" t="s">
        <v>363</v>
      </c>
      <c r="G1744" s="15" t="str" cm="1">
        <f t="array" ref="G1744">IFERROR(
  INDEX(Table13[Quartile],
    MATCH(1,
      (Table13[[#This Row],[OrgName]]=Table13[OrgName]) *
      (Table13[[#This Row],[Month Number]]-1=Table13[Month Number]),
    0)
  ),
"")</f>
        <v/>
      </c>
      <c r="H1744" s="15" t="str">
        <f>IF(Table13[[#This Row],[Previous Quartile]]="TopQuartile", 1,
 IF(Table13[[#This Row],[Previous Quartile]]="SecondQuartile", 2,
 IF(Table13[[#This Row],[Previous Quartile]]="ThirdQuartile", 3,
 IF(Table13[[#This Row],[Previous Quartile]]="FourthQuartile", 4, ""))))</f>
        <v/>
      </c>
      <c r="I1744" s="15" t="s">
        <v>649</v>
      </c>
      <c r="J1744" s="15" t="s">
        <v>24</v>
      </c>
      <c r="K1744" s="7" t="str">
        <f>VLOOKUP(J1744,Introduction!$B$6:$C$14,2)</f>
        <v>North East and Yorkshire</v>
      </c>
      <c r="L1744" s="17">
        <v>208</v>
      </c>
      <c r="M1744" s="18" t="s">
        <v>359</v>
      </c>
    </row>
    <row r="1745" spans="1:13" ht="19.95" customHeight="1" x14ac:dyDescent="0.25">
      <c r="A1745" s="42">
        <v>45292</v>
      </c>
      <c r="B1745" s="48">
        <f>MONTH(Table13[[#This Row],[YearMonth]])</f>
        <v>1</v>
      </c>
      <c r="C1745" s="15" t="s">
        <v>50</v>
      </c>
      <c r="D1745" s="16" t="s">
        <v>330</v>
      </c>
      <c r="E1745" s="16">
        <f>IF(Table13[[#This Row],[Quartile]]="TopQuartile", 1,
 IF(Table13[[#This Row],[Quartile]]="SecondQuartile", 2,
 IF(Table13[[#This Row],[Quartile]]="ThirdQuartile", 3,
 IF(Table13[[#This Row],[Quartile]]="FourthQuartile", 4, ""))))</f>
        <v>1</v>
      </c>
      <c r="F1745" s="15" t="s">
        <v>360</v>
      </c>
      <c r="G1745" s="15" t="str" cm="1">
        <f t="array" ref="G1745">IFERROR(
  INDEX(Table13[Quartile],
    MATCH(1,
      (Table13[[#This Row],[OrgName]]=Table13[OrgName]) *
      (Table13[[#This Row],[Month Number]]-1=Table13[Month Number]),
    0)
  ),
"")</f>
        <v/>
      </c>
      <c r="H1745" s="15" t="str">
        <f>IF(Table13[[#This Row],[Previous Quartile]]="TopQuartile", 1,
 IF(Table13[[#This Row],[Previous Quartile]]="SecondQuartile", 2,
 IF(Table13[[#This Row],[Previous Quartile]]="ThirdQuartile", 3,
 IF(Table13[[#This Row],[Previous Quartile]]="FourthQuartile", 4, ""))))</f>
        <v/>
      </c>
      <c r="I1745" s="15" t="s">
        <v>649</v>
      </c>
      <c r="J1745" s="15" t="s">
        <v>12</v>
      </c>
      <c r="K1745" s="7" t="str">
        <f>VLOOKUP(J1745,Introduction!$B$6:$C$14,2)</f>
        <v>London</v>
      </c>
      <c r="L1745" s="17">
        <v>199</v>
      </c>
      <c r="M1745" s="18" t="s">
        <v>359</v>
      </c>
    </row>
    <row r="1746" spans="1:13" ht="19.95" customHeight="1" x14ac:dyDescent="0.25">
      <c r="A1746" s="42">
        <v>45292</v>
      </c>
      <c r="B1746" s="48">
        <f>MONTH(Table13[[#This Row],[YearMonth]])</f>
        <v>1</v>
      </c>
      <c r="C1746" s="15" t="s">
        <v>173</v>
      </c>
      <c r="D1746" s="16" t="s">
        <v>330</v>
      </c>
      <c r="E1746" s="16">
        <f>IF(Table13[[#This Row],[Quartile]]="TopQuartile", 1,
 IF(Table13[[#This Row],[Quartile]]="SecondQuartile", 2,
 IF(Table13[[#This Row],[Quartile]]="ThirdQuartile", 3,
 IF(Table13[[#This Row],[Quartile]]="FourthQuartile", 4, ""))))</f>
        <v>1</v>
      </c>
      <c r="F1746" s="15" t="s">
        <v>371</v>
      </c>
      <c r="G1746" s="15" t="str" cm="1">
        <f t="array" ref="G1746">IFERROR(
  INDEX(Table13[Quartile],
    MATCH(1,
      (Table13[[#This Row],[OrgName]]=Table13[OrgName]) *
      (Table13[[#This Row],[Month Number]]-1=Table13[Month Number]),
    0)
  ),
"")</f>
        <v/>
      </c>
      <c r="H1746" s="15" t="str">
        <f>IF(Table13[[#This Row],[Previous Quartile]]="TopQuartile", 1,
 IF(Table13[[#This Row],[Previous Quartile]]="SecondQuartile", 2,
 IF(Table13[[#This Row],[Previous Quartile]]="ThirdQuartile", 3,
 IF(Table13[[#This Row],[Previous Quartile]]="FourthQuartile", 4, ""))))</f>
        <v/>
      </c>
      <c r="I1746" s="15" t="s">
        <v>649</v>
      </c>
      <c r="J1746" s="15" t="s">
        <v>22</v>
      </c>
      <c r="K1746" s="7" t="str">
        <f>VLOOKUP(J1746,Introduction!$B$6:$C$14,2)</f>
        <v>North West</v>
      </c>
      <c r="L1746" s="17">
        <v>241</v>
      </c>
      <c r="M1746" s="18" t="s">
        <v>359</v>
      </c>
    </row>
    <row r="1747" spans="1:13" ht="19.95" customHeight="1" x14ac:dyDescent="0.25">
      <c r="A1747" s="42">
        <v>45292</v>
      </c>
      <c r="B1747" s="48">
        <f>MONTH(Table13[[#This Row],[YearMonth]])</f>
        <v>1</v>
      </c>
      <c r="C1747" s="15" t="s">
        <v>105</v>
      </c>
      <c r="D1747" s="16" t="s">
        <v>338</v>
      </c>
      <c r="E1747" s="16">
        <f>IF(Table13[[#This Row],[Quartile]]="TopQuartile", 1,
 IF(Table13[[#This Row],[Quartile]]="SecondQuartile", 2,
 IF(Table13[[#This Row],[Quartile]]="ThirdQuartile", 3,
 IF(Table13[[#This Row],[Quartile]]="FourthQuartile", 4, ""))))</f>
        <v>2</v>
      </c>
      <c r="F1747" s="15" t="s">
        <v>365</v>
      </c>
      <c r="G1747" s="15" t="str" cm="1">
        <f t="array" ref="G1747">IFERROR(
  INDEX(Table13[Quartile],
    MATCH(1,
      (Table13[[#This Row],[OrgName]]=Table13[OrgName]) *
      (Table13[[#This Row],[Month Number]]-1=Table13[Month Number]),
    0)
  ),
"")</f>
        <v/>
      </c>
      <c r="H1747" s="15" t="str">
        <f>IF(Table13[[#This Row],[Previous Quartile]]="TopQuartile", 1,
 IF(Table13[[#This Row],[Previous Quartile]]="SecondQuartile", 2,
 IF(Table13[[#This Row],[Previous Quartile]]="ThirdQuartile", 3,
 IF(Table13[[#This Row],[Previous Quartile]]="FourthQuartile", 4, ""))))</f>
        <v/>
      </c>
      <c r="I1747" s="15" t="s">
        <v>649</v>
      </c>
      <c r="J1747" s="15" t="s">
        <v>12</v>
      </c>
      <c r="K1747" s="7" t="str">
        <f>VLOOKUP(J1747,Introduction!$B$6:$C$14,2)</f>
        <v>London</v>
      </c>
      <c r="L1747" s="17">
        <v>396</v>
      </c>
      <c r="M1747" s="18" t="s">
        <v>359</v>
      </c>
    </row>
    <row r="1748" spans="1:13" ht="19.95" customHeight="1" x14ac:dyDescent="0.25">
      <c r="A1748" s="42">
        <v>45292</v>
      </c>
      <c r="B1748" s="48">
        <f>MONTH(Table13[[#This Row],[YearMonth]])</f>
        <v>1</v>
      </c>
      <c r="C1748" s="15" t="s">
        <v>97</v>
      </c>
      <c r="D1748" s="16" t="s">
        <v>338</v>
      </c>
      <c r="E1748" s="16">
        <f>IF(Table13[[#This Row],[Quartile]]="TopQuartile", 1,
 IF(Table13[[#This Row],[Quartile]]="SecondQuartile", 2,
 IF(Table13[[#This Row],[Quartile]]="ThirdQuartile", 3,
 IF(Table13[[#This Row],[Quartile]]="FourthQuartile", 4, ""))))</f>
        <v>2</v>
      </c>
      <c r="F1748" s="15" t="s">
        <v>364</v>
      </c>
      <c r="G1748" s="15" t="str" cm="1">
        <f t="array" ref="G1748">IFERROR(
  INDEX(Table13[Quartile],
    MATCH(1,
      (Table13[[#This Row],[OrgName]]=Table13[OrgName]) *
      (Table13[[#This Row],[Month Number]]-1=Table13[Month Number]),
    0)
  ),
"")</f>
        <v/>
      </c>
      <c r="H1748" s="15" t="str">
        <f>IF(Table13[[#This Row],[Previous Quartile]]="TopQuartile", 1,
 IF(Table13[[#This Row],[Previous Quartile]]="SecondQuartile", 2,
 IF(Table13[[#This Row],[Previous Quartile]]="ThirdQuartile", 3,
 IF(Table13[[#This Row],[Previous Quartile]]="FourthQuartile", 4, ""))))</f>
        <v/>
      </c>
      <c r="I1748" s="15" t="s">
        <v>649</v>
      </c>
      <c r="J1748" s="15" t="s">
        <v>14</v>
      </c>
      <c r="K1748" s="7" t="str">
        <f>VLOOKUP(J1748,Introduction!$B$6:$C$14,2)</f>
        <v>South West</v>
      </c>
      <c r="L1748" s="17">
        <v>427</v>
      </c>
      <c r="M1748" s="18" t="s">
        <v>359</v>
      </c>
    </row>
    <row r="1749" spans="1:13" ht="19.95" customHeight="1" x14ac:dyDescent="0.25">
      <c r="A1749" s="42">
        <v>45292</v>
      </c>
      <c r="B1749" s="48">
        <f>MONTH(Table13[[#This Row],[YearMonth]])</f>
        <v>1</v>
      </c>
      <c r="C1749" s="15" t="s">
        <v>136</v>
      </c>
      <c r="D1749" s="16" t="s">
        <v>338</v>
      </c>
      <c r="E1749" s="16">
        <f>IF(Table13[[#This Row],[Quartile]]="TopQuartile", 1,
 IF(Table13[[#This Row],[Quartile]]="SecondQuartile", 2,
 IF(Table13[[#This Row],[Quartile]]="ThirdQuartile", 3,
 IF(Table13[[#This Row],[Quartile]]="FourthQuartile", 4, ""))))</f>
        <v>2</v>
      </c>
      <c r="F1749" s="15" t="s">
        <v>368</v>
      </c>
      <c r="G1749" s="15" t="str" cm="1">
        <f t="array" ref="G1749">IFERROR(
  INDEX(Table13[Quartile],
    MATCH(1,
      (Table13[[#This Row],[OrgName]]=Table13[OrgName]) *
      (Table13[[#This Row],[Month Number]]-1=Table13[Month Number]),
    0)
  ),
"")</f>
        <v/>
      </c>
      <c r="H1749" s="15" t="str">
        <f>IF(Table13[[#This Row],[Previous Quartile]]="TopQuartile", 1,
 IF(Table13[[#This Row],[Previous Quartile]]="SecondQuartile", 2,
 IF(Table13[[#This Row],[Previous Quartile]]="ThirdQuartile", 3,
 IF(Table13[[#This Row],[Previous Quartile]]="FourthQuartile", 4, ""))))</f>
        <v/>
      </c>
      <c r="I1749" s="15" t="s">
        <v>649</v>
      </c>
      <c r="J1749" s="15" t="s">
        <v>16</v>
      </c>
      <c r="K1749" s="7" t="str">
        <f>VLOOKUP(J1749,Introduction!$B$6:$C$14,2)</f>
        <v>South East</v>
      </c>
      <c r="L1749" s="17">
        <v>326</v>
      </c>
      <c r="M1749" s="18" t="s">
        <v>359</v>
      </c>
    </row>
    <row r="1750" spans="1:13" ht="19.95" customHeight="1" x14ac:dyDescent="0.25">
      <c r="A1750" s="42">
        <v>45292</v>
      </c>
      <c r="B1750" s="48">
        <f>MONTH(Table13[[#This Row],[YearMonth]])</f>
        <v>1</v>
      </c>
      <c r="C1750" s="15" t="s">
        <v>129</v>
      </c>
      <c r="D1750" s="16" t="s">
        <v>338</v>
      </c>
      <c r="E1750" s="16">
        <f>IF(Table13[[#This Row],[Quartile]]="TopQuartile", 1,
 IF(Table13[[#This Row],[Quartile]]="SecondQuartile", 2,
 IF(Table13[[#This Row],[Quartile]]="ThirdQuartile", 3,
 IF(Table13[[#This Row],[Quartile]]="FourthQuartile", 4, ""))))</f>
        <v>2</v>
      </c>
      <c r="F1750" s="15" t="s">
        <v>367</v>
      </c>
      <c r="G1750" s="15" t="str" cm="1">
        <f t="array" ref="G1750">IFERROR(
  INDEX(Table13[Quartile],
    MATCH(1,
      (Table13[[#This Row],[OrgName]]=Table13[OrgName]) *
      (Table13[[#This Row],[Month Number]]-1=Table13[Month Number]),
    0)
  ),
"")</f>
        <v/>
      </c>
      <c r="H1750" s="15" t="str">
        <f>IF(Table13[[#This Row],[Previous Quartile]]="TopQuartile", 1,
 IF(Table13[[#This Row],[Previous Quartile]]="SecondQuartile", 2,
 IF(Table13[[#This Row],[Previous Quartile]]="ThirdQuartile", 3,
 IF(Table13[[#This Row],[Previous Quartile]]="FourthQuartile", 4, ""))))</f>
        <v/>
      </c>
      <c r="I1750" s="15" t="s">
        <v>649</v>
      </c>
      <c r="J1750" s="15" t="s">
        <v>18</v>
      </c>
      <c r="K1750" s="7" t="str">
        <f>VLOOKUP(J1750,Introduction!$B$6:$C$14,2)</f>
        <v>Midlands</v>
      </c>
      <c r="L1750" s="17">
        <v>265</v>
      </c>
      <c r="M1750" s="18" t="s">
        <v>359</v>
      </c>
    </row>
    <row r="1751" spans="1:13" ht="19.95" customHeight="1" x14ac:dyDescent="0.25">
      <c r="A1751" s="42">
        <v>45292</v>
      </c>
      <c r="B1751" s="48">
        <f>MONTH(Table13[[#This Row],[YearMonth]])</f>
        <v>1</v>
      </c>
      <c r="C1751" s="15" t="s">
        <v>55</v>
      </c>
      <c r="D1751" s="16" t="s">
        <v>338</v>
      </c>
      <c r="E1751" s="16">
        <f>IF(Table13[[#This Row],[Quartile]]="TopQuartile", 1,
 IF(Table13[[#This Row],[Quartile]]="SecondQuartile", 2,
 IF(Table13[[#This Row],[Quartile]]="ThirdQuartile", 3,
 IF(Table13[[#This Row],[Quartile]]="FourthQuartile", 4, ""))))</f>
        <v>2</v>
      </c>
      <c r="F1751" s="15" t="s">
        <v>362</v>
      </c>
      <c r="G1751" s="15" t="str" cm="1">
        <f t="array" ref="G1751">IFERROR(
  INDEX(Table13[Quartile],
    MATCH(1,
      (Table13[[#This Row],[OrgName]]=Table13[OrgName]) *
      (Table13[[#This Row],[Month Number]]-1=Table13[Month Number]),
    0)
  ),
"")</f>
        <v/>
      </c>
      <c r="H1751" s="15" t="str">
        <f>IF(Table13[[#This Row],[Previous Quartile]]="TopQuartile", 1,
 IF(Table13[[#This Row],[Previous Quartile]]="SecondQuartile", 2,
 IF(Table13[[#This Row],[Previous Quartile]]="ThirdQuartile", 3,
 IF(Table13[[#This Row],[Previous Quartile]]="FourthQuartile", 4, ""))))</f>
        <v/>
      </c>
      <c r="I1751" s="15" t="s">
        <v>649</v>
      </c>
      <c r="J1751" s="15" t="s">
        <v>18</v>
      </c>
      <c r="K1751" s="7" t="str">
        <f>VLOOKUP(J1751,Introduction!$B$6:$C$14,2)</f>
        <v>Midlands</v>
      </c>
      <c r="L1751" s="17">
        <v>214</v>
      </c>
      <c r="M1751" s="18" t="s">
        <v>359</v>
      </c>
    </row>
    <row r="1752" spans="1:13" ht="19.95" customHeight="1" x14ac:dyDescent="0.25">
      <c r="A1752" s="42">
        <v>45292</v>
      </c>
      <c r="B1752" s="48">
        <f>MONTH(Table13[[#This Row],[YearMonth]])</f>
        <v>1</v>
      </c>
      <c r="C1752" s="15" t="s">
        <v>188</v>
      </c>
      <c r="D1752" s="16" t="s">
        <v>338</v>
      </c>
      <c r="E1752" s="16">
        <f>IF(Table13[[#This Row],[Quartile]]="TopQuartile", 1,
 IF(Table13[[#This Row],[Quartile]]="SecondQuartile", 2,
 IF(Table13[[#This Row],[Quartile]]="ThirdQuartile", 3,
 IF(Table13[[#This Row],[Quartile]]="FourthQuartile", 4, ""))))</f>
        <v>2</v>
      </c>
      <c r="F1752" s="15" t="s">
        <v>372</v>
      </c>
      <c r="G1752" s="15" t="str" cm="1">
        <f t="array" ref="G1752">IFERROR(
  INDEX(Table13[Quartile],
    MATCH(1,
      (Table13[[#This Row],[OrgName]]=Table13[OrgName]) *
      (Table13[[#This Row],[Month Number]]-1=Table13[Month Number]),
    0)
  ),
"")</f>
        <v/>
      </c>
      <c r="H1752" s="15" t="str">
        <f>IF(Table13[[#This Row],[Previous Quartile]]="TopQuartile", 1,
 IF(Table13[[#This Row],[Previous Quartile]]="SecondQuartile", 2,
 IF(Table13[[#This Row],[Previous Quartile]]="ThirdQuartile", 3,
 IF(Table13[[#This Row],[Previous Quartile]]="FourthQuartile", 4, ""))))</f>
        <v/>
      </c>
      <c r="I1752" s="15" t="s">
        <v>649</v>
      </c>
      <c r="J1752" s="15" t="s">
        <v>22</v>
      </c>
      <c r="K1752" s="7" t="str">
        <f>VLOOKUP(J1752,Introduction!$B$6:$C$14,2)</f>
        <v>North West</v>
      </c>
      <c r="L1752" s="17">
        <v>362</v>
      </c>
      <c r="M1752" s="18" t="s">
        <v>359</v>
      </c>
    </row>
    <row r="1753" spans="1:13" ht="19.95" customHeight="1" x14ac:dyDescent="0.25">
      <c r="A1753" s="42">
        <v>45292</v>
      </c>
      <c r="B1753" s="48">
        <f>MONTH(Table13[[#This Row],[YearMonth]])</f>
        <v>1</v>
      </c>
      <c r="C1753" s="15" t="s">
        <v>169</v>
      </c>
      <c r="D1753" s="16" t="s">
        <v>338</v>
      </c>
      <c r="E1753" s="16">
        <f>IF(Table13[[#This Row],[Quartile]]="TopQuartile", 1,
 IF(Table13[[#This Row],[Quartile]]="SecondQuartile", 2,
 IF(Table13[[#This Row],[Quartile]]="ThirdQuartile", 3,
 IF(Table13[[#This Row],[Quartile]]="FourthQuartile", 4, ""))))</f>
        <v>2</v>
      </c>
      <c r="F1753" s="15" t="s">
        <v>370</v>
      </c>
      <c r="G1753" s="15" t="str" cm="1">
        <f t="array" ref="G1753">IFERROR(
  INDEX(Table13[Quartile],
    MATCH(1,
      (Table13[[#This Row],[OrgName]]=Table13[OrgName]) *
      (Table13[[#This Row],[Month Number]]-1=Table13[Month Number]),
    0)
  ),
"")</f>
        <v/>
      </c>
      <c r="H1753" s="15" t="str">
        <f>IF(Table13[[#This Row],[Previous Quartile]]="TopQuartile", 1,
 IF(Table13[[#This Row],[Previous Quartile]]="SecondQuartile", 2,
 IF(Table13[[#This Row],[Previous Quartile]]="ThirdQuartile", 3,
 IF(Table13[[#This Row],[Previous Quartile]]="FourthQuartile", 4, ""))))</f>
        <v/>
      </c>
      <c r="I1753" s="15" t="s">
        <v>649</v>
      </c>
      <c r="J1753" s="15" t="s">
        <v>16</v>
      </c>
      <c r="K1753" s="7" t="str">
        <f>VLOOKUP(J1753,Introduction!$B$6:$C$14,2)</f>
        <v>South East</v>
      </c>
      <c r="L1753" s="17">
        <v>275</v>
      </c>
      <c r="M1753" s="18" t="s">
        <v>359</v>
      </c>
    </row>
    <row r="1754" spans="1:13" ht="19.95" customHeight="1" x14ac:dyDescent="0.25">
      <c r="A1754" s="42">
        <v>45292</v>
      </c>
      <c r="B1754" s="48">
        <f>MONTH(Table13[[#This Row],[YearMonth]])</f>
        <v>1</v>
      </c>
      <c r="C1754" s="15" t="s">
        <v>202</v>
      </c>
      <c r="D1754" s="16" t="s">
        <v>338</v>
      </c>
      <c r="E1754" s="16">
        <f>IF(Table13[[#This Row],[Quartile]]="TopQuartile", 1,
 IF(Table13[[#This Row],[Quartile]]="SecondQuartile", 2,
 IF(Table13[[#This Row],[Quartile]]="ThirdQuartile", 3,
 IF(Table13[[#This Row],[Quartile]]="FourthQuartile", 4, ""))))</f>
        <v>2</v>
      </c>
      <c r="F1754" s="15" t="s">
        <v>373</v>
      </c>
      <c r="G1754" s="15" t="str" cm="1">
        <f t="array" ref="G1754">IFERROR(
  INDEX(Table13[Quartile],
    MATCH(1,
      (Table13[[#This Row],[OrgName]]=Table13[OrgName]) *
      (Table13[[#This Row],[Month Number]]-1=Table13[Month Number]),
    0)
  ),
"")</f>
        <v/>
      </c>
      <c r="H1754" s="15" t="str">
        <f>IF(Table13[[#This Row],[Previous Quartile]]="TopQuartile", 1,
 IF(Table13[[#This Row],[Previous Quartile]]="SecondQuartile", 2,
 IF(Table13[[#This Row],[Previous Quartile]]="ThirdQuartile", 3,
 IF(Table13[[#This Row],[Previous Quartile]]="FourthQuartile", 4, ""))))</f>
        <v/>
      </c>
      <c r="I1754" s="15" t="s">
        <v>649</v>
      </c>
      <c r="J1754" s="15" t="s">
        <v>24</v>
      </c>
      <c r="K1754" s="7" t="str">
        <f>VLOOKUP(J1754,Introduction!$B$6:$C$14,2)</f>
        <v>North East and Yorkshire</v>
      </c>
      <c r="L1754" s="17">
        <v>262</v>
      </c>
      <c r="M1754" s="18" t="s">
        <v>359</v>
      </c>
    </row>
    <row r="1755" spans="1:13" ht="19.95" customHeight="1" x14ac:dyDescent="0.25">
      <c r="A1755" s="42">
        <v>45292</v>
      </c>
      <c r="B1755" s="48">
        <f>MONTH(Table13[[#This Row],[YearMonth]])</f>
        <v>1</v>
      </c>
      <c r="C1755" s="15" t="s">
        <v>121</v>
      </c>
      <c r="D1755" s="16" t="s">
        <v>341</v>
      </c>
      <c r="E1755" s="16">
        <f>IF(Table13[[#This Row],[Quartile]]="TopQuartile", 1,
 IF(Table13[[#This Row],[Quartile]]="SecondQuartile", 2,
 IF(Table13[[#This Row],[Quartile]]="ThirdQuartile", 3,
 IF(Table13[[#This Row],[Quartile]]="FourthQuartile", 4, ""))))</f>
        <v>3</v>
      </c>
      <c r="F1755" s="15" t="s">
        <v>366</v>
      </c>
      <c r="G1755" s="15" t="str" cm="1">
        <f t="array" ref="G1755">IFERROR(
  INDEX(Table13[Quartile],
    MATCH(1,
      (Table13[[#This Row],[OrgName]]=Table13[OrgName]) *
      (Table13[[#This Row],[Month Number]]-1=Table13[Month Number]),
    0)
  ),
"")</f>
        <v/>
      </c>
      <c r="H1755" s="15" t="str">
        <f>IF(Table13[[#This Row],[Previous Quartile]]="TopQuartile", 1,
 IF(Table13[[#This Row],[Previous Quartile]]="SecondQuartile", 2,
 IF(Table13[[#This Row],[Previous Quartile]]="ThirdQuartile", 3,
 IF(Table13[[#This Row],[Previous Quartile]]="FourthQuartile", 4, ""))))</f>
        <v/>
      </c>
      <c r="I1755" s="15" t="s">
        <v>649</v>
      </c>
      <c r="J1755" s="15" t="s">
        <v>24</v>
      </c>
      <c r="K1755" s="7" t="str">
        <f>VLOOKUP(J1755,Introduction!$B$6:$C$14,2)</f>
        <v>North East and Yorkshire</v>
      </c>
      <c r="L1755" s="17">
        <v>345</v>
      </c>
      <c r="M1755" s="18" t="s">
        <v>359</v>
      </c>
    </row>
    <row r="1756" spans="1:13" ht="19.95" customHeight="1" x14ac:dyDescent="0.25">
      <c r="A1756" s="42">
        <v>45292</v>
      </c>
      <c r="B1756" s="48">
        <f>MONTH(Table13[[#This Row],[YearMonth]])</f>
        <v>1</v>
      </c>
      <c r="C1756" s="15" t="s">
        <v>203</v>
      </c>
      <c r="D1756" s="16" t="s">
        <v>341</v>
      </c>
      <c r="E1756" s="16">
        <f>IF(Table13[[#This Row],[Quartile]]="TopQuartile", 1,
 IF(Table13[[#This Row],[Quartile]]="SecondQuartile", 2,
 IF(Table13[[#This Row],[Quartile]]="ThirdQuartile", 3,
 IF(Table13[[#This Row],[Quartile]]="FourthQuartile", 4, ""))))</f>
        <v>3</v>
      </c>
      <c r="F1756" s="15" t="s">
        <v>374</v>
      </c>
      <c r="G1756" s="15" t="str" cm="1">
        <f t="array" ref="G1756">IFERROR(
  INDEX(Table13[Quartile],
    MATCH(1,
      (Table13[[#This Row],[OrgName]]=Table13[OrgName]) *
      (Table13[[#This Row],[Month Number]]-1=Table13[Month Number]),
    0)
  ),
"")</f>
        <v/>
      </c>
      <c r="H1756" s="15" t="str">
        <f>IF(Table13[[#This Row],[Previous Quartile]]="TopQuartile", 1,
 IF(Table13[[#This Row],[Previous Quartile]]="SecondQuartile", 2,
 IF(Table13[[#This Row],[Previous Quartile]]="ThirdQuartile", 3,
 IF(Table13[[#This Row],[Previous Quartile]]="FourthQuartile", 4, ""))))</f>
        <v/>
      </c>
      <c r="I1756" s="15" t="s">
        <v>649</v>
      </c>
      <c r="J1756" s="15" t="s">
        <v>20</v>
      </c>
      <c r="K1756" s="7" t="str">
        <f>VLOOKUP(J1756,Introduction!$B$6:$C$14,2)</f>
        <v>East of England</v>
      </c>
      <c r="L1756" s="17">
        <v>418</v>
      </c>
      <c r="M1756" s="18" t="s">
        <v>359</v>
      </c>
    </row>
    <row r="1757" spans="1:13" ht="19.95" customHeight="1" x14ac:dyDescent="0.25">
      <c r="A1757" s="42">
        <v>45292</v>
      </c>
      <c r="B1757" s="48">
        <f>MONTH(Table13[[#This Row],[YearMonth]])</f>
        <v>1</v>
      </c>
      <c r="C1757" s="15" t="s">
        <v>143</v>
      </c>
      <c r="D1757" s="16" t="s">
        <v>341</v>
      </c>
      <c r="E1757" s="16">
        <f>IF(Table13[[#This Row],[Quartile]]="TopQuartile", 1,
 IF(Table13[[#This Row],[Quartile]]="SecondQuartile", 2,
 IF(Table13[[#This Row],[Quartile]]="ThirdQuartile", 3,
 IF(Table13[[#This Row],[Quartile]]="FourthQuartile", 4, ""))))</f>
        <v>3</v>
      </c>
      <c r="F1757" s="15" t="s">
        <v>369</v>
      </c>
      <c r="G1757" s="15" t="str" cm="1">
        <f t="array" ref="G1757">IFERROR(
  INDEX(Table13[Quartile],
    MATCH(1,
      (Table13[[#This Row],[OrgName]]=Table13[OrgName]) *
      (Table13[[#This Row],[Month Number]]-1=Table13[Month Number]),
    0)
  ),
"")</f>
        <v/>
      </c>
      <c r="H1757" s="15" t="str">
        <f>IF(Table13[[#This Row],[Previous Quartile]]="TopQuartile", 1,
 IF(Table13[[#This Row],[Previous Quartile]]="SecondQuartile", 2,
 IF(Table13[[#This Row],[Previous Quartile]]="ThirdQuartile", 3,
 IF(Table13[[#This Row],[Previous Quartile]]="FourthQuartile", 4, ""))))</f>
        <v/>
      </c>
      <c r="I1757" s="15" t="s">
        <v>649</v>
      </c>
      <c r="J1757" s="15" t="s">
        <v>16</v>
      </c>
      <c r="K1757" s="7" t="str">
        <f>VLOOKUP(J1757,Introduction!$B$6:$C$14,2)</f>
        <v>South East</v>
      </c>
      <c r="L1757" s="17">
        <v>384</v>
      </c>
      <c r="M1757" s="18" t="s">
        <v>359</v>
      </c>
    </row>
    <row r="1758" spans="1:13" ht="19.95" customHeight="1" x14ac:dyDescent="0.25">
      <c r="A1758" s="42">
        <v>45292</v>
      </c>
      <c r="B1758" s="48">
        <f>MONTH(Table13[[#This Row],[YearMonth]])</f>
        <v>1</v>
      </c>
      <c r="C1758" s="15" t="s">
        <v>204</v>
      </c>
      <c r="D1758" s="16" t="s">
        <v>341</v>
      </c>
      <c r="E1758" s="16">
        <f>IF(Table13[[#This Row],[Quartile]]="TopQuartile", 1,
 IF(Table13[[#This Row],[Quartile]]="SecondQuartile", 2,
 IF(Table13[[#This Row],[Quartile]]="ThirdQuartile", 3,
 IF(Table13[[#This Row],[Quartile]]="FourthQuartile", 4, ""))))</f>
        <v>3</v>
      </c>
      <c r="F1758" s="15" t="s">
        <v>375</v>
      </c>
      <c r="G1758" s="15" t="str" cm="1">
        <f t="array" ref="G1758">IFERROR(
  INDEX(Table13[Quartile],
    MATCH(1,
      (Table13[[#This Row],[OrgName]]=Table13[OrgName]) *
      (Table13[[#This Row],[Month Number]]-1=Table13[Month Number]),
    0)
  ),
"")</f>
        <v/>
      </c>
      <c r="H1758" s="15" t="str">
        <f>IF(Table13[[#This Row],[Previous Quartile]]="TopQuartile", 1,
 IF(Table13[[#This Row],[Previous Quartile]]="SecondQuartile", 2,
 IF(Table13[[#This Row],[Previous Quartile]]="ThirdQuartile", 3,
 IF(Table13[[#This Row],[Previous Quartile]]="FourthQuartile", 4, ""))))</f>
        <v/>
      </c>
      <c r="I1758" s="15" t="s">
        <v>649</v>
      </c>
      <c r="J1758" s="15" t="s">
        <v>14</v>
      </c>
      <c r="K1758" s="7" t="str">
        <f>VLOOKUP(J1758,Introduction!$B$6:$C$14,2)</f>
        <v>South West</v>
      </c>
      <c r="L1758" s="17">
        <v>249</v>
      </c>
      <c r="M1758" s="18" t="s">
        <v>359</v>
      </c>
    </row>
    <row r="1759" spans="1:13" ht="19.95" customHeight="1" x14ac:dyDescent="0.25">
      <c r="A1759" s="42">
        <v>45292</v>
      </c>
      <c r="B1759" s="48">
        <f>MONTH(Table13[[#This Row],[YearMonth]])</f>
        <v>1</v>
      </c>
      <c r="C1759" s="15" t="s">
        <v>242</v>
      </c>
      <c r="D1759" s="16" t="s">
        <v>341</v>
      </c>
      <c r="E1759" s="16">
        <f>IF(Table13[[#This Row],[Quartile]]="TopQuartile", 1,
 IF(Table13[[#This Row],[Quartile]]="SecondQuartile", 2,
 IF(Table13[[#This Row],[Quartile]]="ThirdQuartile", 3,
 IF(Table13[[#This Row],[Quartile]]="FourthQuartile", 4, ""))))</f>
        <v>3</v>
      </c>
      <c r="F1759" s="15" t="s">
        <v>377</v>
      </c>
      <c r="G1759" s="15" t="str" cm="1">
        <f t="array" ref="G1759">IFERROR(
  INDEX(Table13[Quartile],
    MATCH(1,
      (Table13[[#This Row],[OrgName]]=Table13[OrgName]) *
      (Table13[[#This Row],[Month Number]]-1=Table13[Month Number]),
    0)
  ),
"")</f>
        <v/>
      </c>
      <c r="H1759" s="15" t="str">
        <f>IF(Table13[[#This Row],[Previous Quartile]]="TopQuartile", 1,
 IF(Table13[[#This Row],[Previous Quartile]]="SecondQuartile", 2,
 IF(Table13[[#This Row],[Previous Quartile]]="ThirdQuartile", 3,
 IF(Table13[[#This Row],[Previous Quartile]]="FourthQuartile", 4, ""))))</f>
        <v/>
      </c>
      <c r="I1759" s="15" t="s">
        <v>649</v>
      </c>
      <c r="J1759" s="15" t="s">
        <v>16</v>
      </c>
      <c r="K1759" s="7" t="str">
        <f>VLOOKUP(J1759,Introduction!$B$6:$C$14,2)</f>
        <v>South East</v>
      </c>
      <c r="L1759" s="17">
        <v>323</v>
      </c>
      <c r="M1759" s="18" t="s">
        <v>359</v>
      </c>
    </row>
    <row r="1760" spans="1:13" ht="19.95" customHeight="1" x14ac:dyDescent="0.25">
      <c r="A1760" s="42">
        <v>45292</v>
      </c>
      <c r="B1760" s="48">
        <f>MONTH(Table13[[#This Row],[YearMonth]])</f>
        <v>1</v>
      </c>
      <c r="C1760" s="15" t="s">
        <v>227</v>
      </c>
      <c r="D1760" s="16" t="s">
        <v>341</v>
      </c>
      <c r="E1760" s="16">
        <f>IF(Table13[[#This Row],[Quartile]]="TopQuartile", 1,
 IF(Table13[[#This Row],[Quartile]]="SecondQuartile", 2,
 IF(Table13[[#This Row],[Quartile]]="ThirdQuartile", 3,
 IF(Table13[[#This Row],[Quartile]]="FourthQuartile", 4, ""))))</f>
        <v>3</v>
      </c>
      <c r="F1760" s="15" t="s">
        <v>376</v>
      </c>
      <c r="G1760" s="15" t="str" cm="1">
        <f t="array" ref="G1760">IFERROR(
  INDEX(Table13[Quartile],
    MATCH(1,
      (Table13[[#This Row],[OrgName]]=Table13[OrgName]) *
      (Table13[[#This Row],[Month Number]]-1=Table13[Month Number]),
    0)
  ),
"")</f>
        <v/>
      </c>
      <c r="H1760" s="15" t="str">
        <f>IF(Table13[[#This Row],[Previous Quartile]]="TopQuartile", 1,
 IF(Table13[[#This Row],[Previous Quartile]]="SecondQuartile", 2,
 IF(Table13[[#This Row],[Previous Quartile]]="ThirdQuartile", 3,
 IF(Table13[[#This Row],[Previous Quartile]]="FourthQuartile", 4, ""))))</f>
        <v/>
      </c>
      <c r="I1760" s="15" t="s">
        <v>649</v>
      </c>
      <c r="J1760" s="15" t="s">
        <v>22</v>
      </c>
      <c r="K1760" s="7" t="str">
        <f>VLOOKUP(J1760,Introduction!$B$6:$C$14,2)</f>
        <v>North West</v>
      </c>
      <c r="L1760" s="17">
        <v>302</v>
      </c>
      <c r="M1760" s="18" t="s">
        <v>359</v>
      </c>
    </row>
    <row r="1761" spans="1:13" ht="19.95" customHeight="1" x14ac:dyDescent="0.25">
      <c r="A1761" s="42">
        <v>45292</v>
      </c>
      <c r="B1761" s="48">
        <f>MONTH(Table13[[#This Row],[YearMonth]])</f>
        <v>1</v>
      </c>
      <c r="C1761" s="15" t="s">
        <v>252</v>
      </c>
      <c r="D1761" s="16" t="s">
        <v>350</v>
      </c>
      <c r="E1761" s="16">
        <f>IF(Table13[[#This Row],[Quartile]]="TopQuartile", 1,
 IF(Table13[[#This Row],[Quartile]]="SecondQuartile", 2,
 IF(Table13[[#This Row],[Quartile]]="ThirdQuartile", 3,
 IF(Table13[[#This Row],[Quartile]]="FourthQuartile", 4, ""))))</f>
        <v>4</v>
      </c>
      <c r="F1761" s="15" t="s">
        <v>378</v>
      </c>
      <c r="G1761" s="15" t="str" cm="1">
        <f t="array" ref="G1761">IFERROR(
  INDEX(Table13[Quartile],
    MATCH(1,
      (Table13[[#This Row],[OrgName]]=Table13[OrgName]) *
      (Table13[[#This Row],[Month Number]]-1=Table13[Month Number]),
    0)
  ),
"")</f>
        <v/>
      </c>
      <c r="H1761" s="15" t="str">
        <f>IF(Table13[[#This Row],[Previous Quartile]]="TopQuartile", 1,
 IF(Table13[[#This Row],[Previous Quartile]]="SecondQuartile", 2,
 IF(Table13[[#This Row],[Previous Quartile]]="ThirdQuartile", 3,
 IF(Table13[[#This Row],[Previous Quartile]]="FourthQuartile", 4, ""))))</f>
        <v/>
      </c>
      <c r="I1761" s="15" t="s">
        <v>649</v>
      </c>
      <c r="J1761" s="15" t="s">
        <v>18</v>
      </c>
      <c r="K1761" s="7" t="str">
        <f>VLOOKUP(J1761,Introduction!$B$6:$C$14,2)</f>
        <v>Midlands</v>
      </c>
      <c r="L1761" s="17">
        <v>253</v>
      </c>
      <c r="M1761" s="18" t="s">
        <v>359</v>
      </c>
    </row>
    <row r="1762" spans="1:13" ht="19.95" customHeight="1" x14ac:dyDescent="0.25">
      <c r="A1762" s="42">
        <v>45292</v>
      </c>
      <c r="B1762" s="48">
        <f>MONTH(Table13[[#This Row],[YearMonth]])</f>
        <v>1</v>
      </c>
      <c r="C1762" s="15" t="s">
        <v>106</v>
      </c>
      <c r="D1762" s="16" t="s">
        <v>330</v>
      </c>
      <c r="E1762" s="16">
        <f>IF(Table13[[#This Row],[Quartile]]="TopQuartile", 1,
 IF(Table13[[#This Row],[Quartile]]="SecondQuartile", 2,
 IF(Table13[[#This Row],[Quartile]]="ThirdQuartile", 3,
 IF(Table13[[#This Row],[Quartile]]="FourthQuartile", 4, ""))))</f>
        <v>1</v>
      </c>
      <c r="F1762" s="15" t="s">
        <v>381</v>
      </c>
      <c r="G1762" s="15" t="str" cm="1">
        <f t="array" ref="G1762">IFERROR(
  INDEX(Table13[Quartile],
    MATCH(1,
      (Table13[[#This Row],[OrgName]]=Table13[OrgName]) *
      (Table13[[#This Row],[Month Number]]-1=Table13[Month Number]),
    0)
  ),
"")</f>
        <v/>
      </c>
      <c r="H1762" s="15" t="str">
        <f>IF(Table13[[#This Row],[Previous Quartile]]="TopQuartile", 1,
 IF(Table13[[#This Row],[Previous Quartile]]="SecondQuartile", 2,
 IF(Table13[[#This Row],[Previous Quartile]]="ThirdQuartile", 3,
 IF(Table13[[#This Row],[Previous Quartile]]="FourthQuartile", 4, ""))))</f>
        <v/>
      </c>
      <c r="I1762" s="15" t="s">
        <v>649</v>
      </c>
      <c r="J1762" s="15" t="s">
        <v>14</v>
      </c>
      <c r="K1762" s="7" t="str">
        <f>VLOOKUP(J1762,Introduction!$B$6:$C$14,2)</f>
        <v>South West</v>
      </c>
      <c r="L1762" s="17">
        <v>388</v>
      </c>
      <c r="M1762" s="18" t="s">
        <v>380</v>
      </c>
    </row>
    <row r="1763" spans="1:13" ht="19.95" customHeight="1" x14ac:dyDescent="0.25">
      <c r="A1763" s="42">
        <v>45292</v>
      </c>
      <c r="B1763" s="48">
        <f>MONTH(Table13[[#This Row],[YearMonth]])</f>
        <v>1</v>
      </c>
      <c r="C1763" s="15" t="s">
        <v>104</v>
      </c>
      <c r="D1763" s="16" t="s">
        <v>330</v>
      </c>
      <c r="E1763" s="16">
        <f>IF(Table13[[#This Row],[Quartile]]="TopQuartile", 1,
 IF(Table13[[#This Row],[Quartile]]="SecondQuartile", 2,
 IF(Table13[[#This Row],[Quartile]]="ThirdQuartile", 3,
 IF(Table13[[#This Row],[Quartile]]="FourthQuartile", 4, ""))))</f>
        <v>1</v>
      </c>
      <c r="F1763" s="15" t="s">
        <v>379</v>
      </c>
      <c r="G1763" s="15" t="str" cm="1">
        <f t="array" ref="G1763">IFERROR(
  INDEX(Table13[Quartile],
    MATCH(1,
      (Table13[[#This Row],[OrgName]]=Table13[OrgName]) *
      (Table13[[#This Row],[Month Number]]-1=Table13[Month Number]),
    0)
  ),
"")</f>
        <v/>
      </c>
      <c r="H1763" s="15" t="str">
        <f>IF(Table13[[#This Row],[Previous Quartile]]="TopQuartile", 1,
 IF(Table13[[#This Row],[Previous Quartile]]="SecondQuartile", 2,
 IF(Table13[[#This Row],[Previous Quartile]]="ThirdQuartile", 3,
 IF(Table13[[#This Row],[Previous Quartile]]="FourthQuartile", 4, ""))))</f>
        <v/>
      </c>
      <c r="I1763" s="15" t="s">
        <v>649</v>
      </c>
      <c r="J1763" s="15" t="s">
        <v>16</v>
      </c>
      <c r="K1763" s="7" t="str">
        <f>VLOOKUP(J1763,Introduction!$B$6:$C$14,2)</f>
        <v>South East</v>
      </c>
      <c r="L1763" s="17">
        <v>434</v>
      </c>
      <c r="M1763" s="18" t="s">
        <v>380</v>
      </c>
    </row>
    <row r="1764" spans="1:13" ht="19.95" customHeight="1" x14ac:dyDescent="0.25">
      <c r="A1764" s="42">
        <v>45292</v>
      </c>
      <c r="B1764" s="48">
        <f>MONTH(Table13[[#This Row],[YearMonth]])</f>
        <v>1</v>
      </c>
      <c r="C1764" s="15" t="s">
        <v>138</v>
      </c>
      <c r="D1764" s="16" t="s">
        <v>330</v>
      </c>
      <c r="E1764" s="16">
        <f>IF(Table13[[#This Row],[Quartile]]="TopQuartile", 1,
 IF(Table13[[#This Row],[Quartile]]="SecondQuartile", 2,
 IF(Table13[[#This Row],[Quartile]]="ThirdQuartile", 3,
 IF(Table13[[#This Row],[Quartile]]="FourthQuartile", 4, ""))))</f>
        <v>1</v>
      </c>
      <c r="F1764" s="15" t="s">
        <v>382</v>
      </c>
      <c r="G1764" s="15" t="str" cm="1">
        <f t="array" ref="G1764">IFERROR(
  INDEX(Table13[Quartile],
    MATCH(1,
      (Table13[[#This Row],[OrgName]]=Table13[OrgName]) *
      (Table13[[#This Row],[Month Number]]-1=Table13[Month Number]),
    0)
  ),
"")</f>
        <v/>
      </c>
      <c r="H1764" s="15" t="str">
        <f>IF(Table13[[#This Row],[Previous Quartile]]="TopQuartile", 1,
 IF(Table13[[#This Row],[Previous Quartile]]="SecondQuartile", 2,
 IF(Table13[[#This Row],[Previous Quartile]]="ThirdQuartile", 3,
 IF(Table13[[#This Row],[Previous Quartile]]="FourthQuartile", 4, ""))))</f>
        <v/>
      </c>
      <c r="I1764" s="15" t="s">
        <v>649</v>
      </c>
      <c r="J1764" s="15" t="s">
        <v>24</v>
      </c>
      <c r="K1764" s="7" t="str">
        <f>VLOOKUP(J1764,Introduction!$B$6:$C$14,2)</f>
        <v>North East and Yorkshire</v>
      </c>
      <c r="L1764" s="17">
        <v>439</v>
      </c>
      <c r="M1764" s="18" t="s">
        <v>380</v>
      </c>
    </row>
    <row r="1765" spans="1:13" ht="19.95" customHeight="1" x14ac:dyDescent="0.25">
      <c r="A1765" s="42">
        <v>45292</v>
      </c>
      <c r="B1765" s="48">
        <f>MONTH(Table13[[#This Row],[YearMonth]])</f>
        <v>1</v>
      </c>
      <c r="C1765" s="15" t="s">
        <v>148</v>
      </c>
      <c r="D1765" s="16" t="s">
        <v>338</v>
      </c>
      <c r="E1765" s="16">
        <f>IF(Table13[[#This Row],[Quartile]]="TopQuartile", 1,
 IF(Table13[[#This Row],[Quartile]]="SecondQuartile", 2,
 IF(Table13[[#This Row],[Quartile]]="ThirdQuartile", 3,
 IF(Table13[[#This Row],[Quartile]]="FourthQuartile", 4, ""))))</f>
        <v>2</v>
      </c>
      <c r="F1765" s="15" t="s">
        <v>383</v>
      </c>
      <c r="G1765" s="15" t="str" cm="1">
        <f t="array" ref="G1765">IFERROR(
  INDEX(Table13[Quartile],
    MATCH(1,
      (Table13[[#This Row],[OrgName]]=Table13[OrgName]) *
      (Table13[[#This Row],[Month Number]]-1=Table13[Month Number]),
    0)
  ),
"")</f>
        <v/>
      </c>
      <c r="H1765" s="15" t="str">
        <f>IF(Table13[[#This Row],[Previous Quartile]]="TopQuartile", 1,
 IF(Table13[[#This Row],[Previous Quartile]]="SecondQuartile", 2,
 IF(Table13[[#This Row],[Previous Quartile]]="ThirdQuartile", 3,
 IF(Table13[[#This Row],[Previous Quartile]]="FourthQuartile", 4, ""))))</f>
        <v/>
      </c>
      <c r="I1765" s="15" t="s">
        <v>649</v>
      </c>
      <c r="J1765" s="15" t="s">
        <v>18</v>
      </c>
      <c r="K1765" s="7" t="str">
        <f>VLOOKUP(J1765,Introduction!$B$6:$C$14,2)</f>
        <v>Midlands</v>
      </c>
      <c r="L1765" s="17">
        <v>229</v>
      </c>
      <c r="M1765" s="18" t="s">
        <v>380</v>
      </c>
    </row>
    <row r="1766" spans="1:13" ht="19.95" customHeight="1" x14ac:dyDescent="0.25">
      <c r="A1766" s="42">
        <v>45292</v>
      </c>
      <c r="B1766" s="48">
        <f>MONTH(Table13[[#This Row],[YearMonth]])</f>
        <v>1</v>
      </c>
      <c r="C1766" s="15" t="s">
        <v>164</v>
      </c>
      <c r="D1766" s="16" t="s">
        <v>341</v>
      </c>
      <c r="E1766" s="16">
        <f>IF(Table13[[#This Row],[Quartile]]="TopQuartile", 1,
 IF(Table13[[#This Row],[Quartile]]="SecondQuartile", 2,
 IF(Table13[[#This Row],[Quartile]]="ThirdQuartile", 3,
 IF(Table13[[#This Row],[Quartile]]="FourthQuartile", 4, ""))))</f>
        <v>3</v>
      </c>
      <c r="F1766" s="15" t="s">
        <v>384</v>
      </c>
      <c r="G1766" s="15" t="str" cm="1">
        <f t="array" ref="G1766">IFERROR(
  INDEX(Table13[Quartile],
    MATCH(1,
      (Table13[[#This Row],[OrgName]]=Table13[OrgName]) *
      (Table13[[#This Row],[Month Number]]-1=Table13[Month Number]),
    0)
  ),
"")</f>
        <v/>
      </c>
      <c r="H1766" s="15" t="str">
        <f>IF(Table13[[#This Row],[Previous Quartile]]="TopQuartile", 1,
 IF(Table13[[#This Row],[Previous Quartile]]="SecondQuartile", 2,
 IF(Table13[[#This Row],[Previous Quartile]]="ThirdQuartile", 3,
 IF(Table13[[#This Row],[Previous Quartile]]="FourthQuartile", 4, ""))))</f>
        <v/>
      </c>
      <c r="I1766" s="15" t="s">
        <v>649</v>
      </c>
      <c r="J1766" s="15" t="s">
        <v>14</v>
      </c>
      <c r="K1766" s="7" t="str">
        <f>VLOOKUP(J1766,Introduction!$B$6:$C$14,2)</f>
        <v>South West</v>
      </c>
      <c r="L1766" s="17">
        <v>184</v>
      </c>
      <c r="M1766" s="18" t="s">
        <v>380</v>
      </c>
    </row>
    <row r="1767" spans="1:13" ht="19.95" customHeight="1" x14ac:dyDescent="0.25">
      <c r="A1767" s="42">
        <v>45292</v>
      </c>
      <c r="B1767" s="48">
        <f>MONTH(Table13[[#This Row],[YearMonth]])</f>
        <v>1</v>
      </c>
      <c r="C1767" s="15" t="s">
        <v>243</v>
      </c>
      <c r="D1767" s="16" t="s">
        <v>341</v>
      </c>
      <c r="E1767" s="16">
        <f>IF(Table13[[#This Row],[Quartile]]="TopQuartile", 1,
 IF(Table13[[#This Row],[Quartile]]="SecondQuartile", 2,
 IF(Table13[[#This Row],[Quartile]]="ThirdQuartile", 3,
 IF(Table13[[#This Row],[Quartile]]="FourthQuartile", 4, ""))))</f>
        <v>3</v>
      </c>
      <c r="F1767" s="15" t="s">
        <v>385</v>
      </c>
      <c r="G1767" s="15" t="str" cm="1">
        <f t="array" ref="G1767">IFERROR(
  INDEX(Table13[Quartile],
    MATCH(1,
      (Table13[[#This Row],[OrgName]]=Table13[OrgName]) *
      (Table13[[#This Row],[Month Number]]-1=Table13[Month Number]),
    0)
  ),
"")</f>
        <v/>
      </c>
      <c r="H1767" s="15" t="str">
        <f>IF(Table13[[#This Row],[Previous Quartile]]="TopQuartile", 1,
 IF(Table13[[#This Row],[Previous Quartile]]="SecondQuartile", 2,
 IF(Table13[[#This Row],[Previous Quartile]]="ThirdQuartile", 3,
 IF(Table13[[#This Row],[Previous Quartile]]="FourthQuartile", 4, ""))))</f>
        <v/>
      </c>
      <c r="I1767" s="15" t="s">
        <v>649</v>
      </c>
      <c r="J1767" s="15" t="s">
        <v>16</v>
      </c>
      <c r="K1767" s="7" t="str">
        <f>VLOOKUP(J1767,Introduction!$B$6:$C$14,2)</f>
        <v>South East</v>
      </c>
      <c r="L1767" s="17">
        <v>470</v>
      </c>
      <c r="M1767" s="18" t="s">
        <v>380</v>
      </c>
    </row>
    <row r="1768" spans="1:13" ht="19.95" customHeight="1" x14ac:dyDescent="0.25">
      <c r="A1768" s="42">
        <v>45292</v>
      </c>
      <c r="B1768" s="48">
        <f>MONTH(Table13[[#This Row],[YearMonth]])</f>
        <v>1</v>
      </c>
      <c r="C1768" s="15" t="s">
        <v>310</v>
      </c>
      <c r="D1768" s="16" t="s">
        <v>350</v>
      </c>
      <c r="E1768" s="16">
        <f>IF(Table13[[#This Row],[Quartile]]="TopQuartile", 1,
 IF(Table13[[#This Row],[Quartile]]="SecondQuartile", 2,
 IF(Table13[[#This Row],[Quartile]]="ThirdQuartile", 3,
 IF(Table13[[#This Row],[Quartile]]="FourthQuartile", 4, ""))))</f>
        <v>4</v>
      </c>
      <c r="F1768" s="15" t="s">
        <v>386</v>
      </c>
      <c r="G1768" s="15" t="str" cm="1">
        <f t="array" ref="G1768">IFERROR(
  INDEX(Table13[Quartile],
    MATCH(1,
      (Table13[[#This Row],[OrgName]]=Table13[OrgName]) *
      (Table13[[#This Row],[Month Number]]-1=Table13[Month Number]),
    0)
  ),
"")</f>
        <v/>
      </c>
      <c r="H1768" s="15" t="str">
        <f>IF(Table13[[#This Row],[Previous Quartile]]="TopQuartile", 1,
 IF(Table13[[#This Row],[Previous Quartile]]="SecondQuartile", 2,
 IF(Table13[[#This Row],[Previous Quartile]]="ThirdQuartile", 3,
 IF(Table13[[#This Row],[Previous Quartile]]="FourthQuartile", 4, ""))))</f>
        <v/>
      </c>
      <c r="I1768" s="15" t="s">
        <v>649</v>
      </c>
      <c r="J1768" s="15" t="s">
        <v>12</v>
      </c>
      <c r="K1768" s="7" t="str">
        <f>VLOOKUP(J1768,Introduction!$B$6:$C$14,2)</f>
        <v>London</v>
      </c>
      <c r="L1768" s="17">
        <v>220</v>
      </c>
      <c r="M1768" s="18" t="s">
        <v>380</v>
      </c>
    </row>
    <row r="1769" spans="1:13" ht="19.95" customHeight="1" x14ac:dyDescent="0.25">
      <c r="A1769" s="42">
        <v>45292</v>
      </c>
      <c r="B1769" s="48">
        <f>MONTH(Table13[[#This Row],[YearMonth]])</f>
        <v>1</v>
      </c>
      <c r="C1769" s="15" t="s">
        <v>39</v>
      </c>
      <c r="D1769" s="16" t="s">
        <v>330</v>
      </c>
      <c r="E1769" s="16">
        <f>IF(Table13[[#This Row],[Quartile]]="TopQuartile", 1,
 IF(Table13[[#This Row],[Quartile]]="SecondQuartile", 2,
 IF(Table13[[#This Row],[Quartile]]="ThirdQuartile", 3,
 IF(Table13[[#This Row],[Quartile]]="FourthQuartile", 4, ""))))</f>
        <v>1</v>
      </c>
      <c r="F1769" s="15" t="s">
        <v>387</v>
      </c>
      <c r="G1769" s="15" t="str" cm="1">
        <f t="array" ref="G1769">IFERROR(
  INDEX(Table13[Quartile],
    MATCH(1,
      (Table13[[#This Row],[OrgName]]=Table13[OrgName]) *
      (Table13[[#This Row],[Month Number]]-1=Table13[Month Number]),
    0)
  ),
"")</f>
        <v/>
      </c>
      <c r="H1769" s="15" t="str">
        <f>IF(Table13[[#This Row],[Previous Quartile]]="TopQuartile", 1,
 IF(Table13[[#This Row],[Previous Quartile]]="SecondQuartile", 2,
 IF(Table13[[#This Row],[Previous Quartile]]="ThirdQuartile", 3,
 IF(Table13[[#This Row],[Previous Quartile]]="FourthQuartile", 4, ""))))</f>
        <v/>
      </c>
      <c r="I1769" s="15" t="s">
        <v>649</v>
      </c>
      <c r="J1769" s="15" t="s">
        <v>24</v>
      </c>
      <c r="K1769" s="7" t="str">
        <f>VLOOKUP(J1769,Introduction!$B$6:$C$14,2)</f>
        <v>North East and Yorkshire</v>
      </c>
      <c r="L1769" s="17">
        <v>163</v>
      </c>
      <c r="M1769" s="18" t="s">
        <v>388</v>
      </c>
    </row>
    <row r="1770" spans="1:13" ht="19.95" customHeight="1" x14ac:dyDescent="0.25">
      <c r="A1770" s="42">
        <v>45292</v>
      </c>
      <c r="B1770" s="48">
        <f>MONTH(Table13[[#This Row],[YearMonth]])</f>
        <v>1</v>
      </c>
      <c r="C1770" s="15" t="s">
        <v>43</v>
      </c>
      <c r="D1770" s="16" t="s">
        <v>330</v>
      </c>
      <c r="E1770" s="16">
        <f>IF(Table13[[#This Row],[Quartile]]="TopQuartile", 1,
 IF(Table13[[#This Row],[Quartile]]="SecondQuartile", 2,
 IF(Table13[[#This Row],[Quartile]]="ThirdQuartile", 3,
 IF(Table13[[#This Row],[Quartile]]="FourthQuartile", 4, ""))))</f>
        <v>1</v>
      </c>
      <c r="F1770" s="15" t="s">
        <v>389</v>
      </c>
      <c r="G1770" s="15" t="str" cm="1">
        <f t="array" ref="G1770">IFERROR(
  INDEX(Table13[Quartile],
    MATCH(1,
      (Table13[[#This Row],[OrgName]]=Table13[OrgName]) *
      (Table13[[#This Row],[Month Number]]-1=Table13[Month Number]),
    0)
  ),
"")</f>
        <v/>
      </c>
      <c r="H1770" s="15" t="str">
        <f>IF(Table13[[#This Row],[Previous Quartile]]="TopQuartile", 1,
 IF(Table13[[#This Row],[Previous Quartile]]="SecondQuartile", 2,
 IF(Table13[[#This Row],[Previous Quartile]]="ThirdQuartile", 3,
 IF(Table13[[#This Row],[Previous Quartile]]="FourthQuartile", 4, ""))))</f>
        <v/>
      </c>
      <c r="I1770" s="15" t="s">
        <v>649</v>
      </c>
      <c r="J1770" s="15" t="s">
        <v>24</v>
      </c>
      <c r="K1770" s="7" t="str">
        <f>VLOOKUP(J1770,Introduction!$B$6:$C$14,2)</f>
        <v>North East and Yorkshire</v>
      </c>
      <c r="L1770" s="17">
        <v>423</v>
      </c>
      <c r="M1770" s="18" t="s">
        <v>388</v>
      </c>
    </row>
    <row r="1771" spans="1:13" ht="19.95" customHeight="1" x14ac:dyDescent="0.25">
      <c r="A1771" s="42">
        <v>45292</v>
      </c>
      <c r="B1771" s="48">
        <f>MONTH(Table13[[#This Row],[YearMonth]])</f>
        <v>1</v>
      </c>
      <c r="C1771" s="15" t="s">
        <v>53</v>
      </c>
      <c r="D1771" s="16" t="s">
        <v>330</v>
      </c>
      <c r="E1771" s="16">
        <f>IF(Table13[[#This Row],[Quartile]]="TopQuartile", 1,
 IF(Table13[[#This Row],[Quartile]]="SecondQuartile", 2,
 IF(Table13[[#This Row],[Quartile]]="ThirdQuartile", 3,
 IF(Table13[[#This Row],[Quartile]]="FourthQuartile", 4, ""))))</f>
        <v>1</v>
      </c>
      <c r="F1771" s="15" t="s">
        <v>390</v>
      </c>
      <c r="G1771" s="15" t="str" cm="1">
        <f t="array" ref="G1771">IFERROR(
  INDEX(Table13[Quartile],
    MATCH(1,
      (Table13[[#This Row],[OrgName]]=Table13[OrgName]) *
      (Table13[[#This Row],[Month Number]]-1=Table13[Month Number]),
    0)
  ),
"")</f>
        <v/>
      </c>
      <c r="H1771" s="15" t="str">
        <f>IF(Table13[[#This Row],[Previous Quartile]]="TopQuartile", 1,
 IF(Table13[[#This Row],[Previous Quartile]]="SecondQuartile", 2,
 IF(Table13[[#This Row],[Previous Quartile]]="ThirdQuartile", 3,
 IF(Table13[[#This Row],[Previous Quartile]]="FourthQuartile", 4, ""))))</f>
        <v/>
      </c>
      <c r="I1771" s="15" t="s">
        <v>649</v>
      </c>
      <c r="J1771" s="15" t="s">
        <v>22</v>
      </c>
      <c r="K1771" s="7" t="str">
        <f>VLOOKUP(J1771,Introduction!$B$6:$C$14,2)</f>
        <v>North West</v>
      </c>
      <c r="L1771" s="17">
        <v>209</v>
      </c>
      <c r="M1771" s="18" t="s">
        <v>388</v>
      </c>
    </row>
    <row r="1772" spans="1:13" ht="19.95" customHeight="1" x14ac:dyDescent="0.25">
      <c r="A1772" s="42">
        <v>45292</v>
      </c>
      <c r="B1772" s="48">
        <f>MONTH(Table13[[#This Row],[YearMonth]])</f>
        <v>1</v>
      </c>
      <c r="C1772" s="15" t="s">
        <v>61</v>
      </c>
      <c r="D1772" s="16" t="s">
        <v>330</v>
      </c>
      <c r="E1772" s="16">
        <f>IF(Table13[[#This Row],[Quartile]]="TopQuartile", 1,
 IF(Table13[[#This Row],[Quartile]]="SecondQuartile", 2,
 IF(Table13[[#This Row],[Quartile]]="ThirdQuartile", 3,
 IF(Table13[[#This Row],[Quartile]]="FourthQuartile", 4, ""))))</f>
        <v>1</v>
      </c>
      <c r="F1772" s="15" t="s">
        <v>392</v>
      </c>
      <c r="G1772" s="15" t="str" cm="1">
        <f t="array" ref="G1772">IFERROR(
  INDEX(Table13[Quartile],
    MATCH(1,
      (Table13[[#This Row],[OrgName]]=Table13[OrgName]) *
      (Table13[[#This Row],[Month Number]]-1=Table13[Month Number]),
    0)
  ),
"")</f>
        <v/>
      </c>
      <c r="H1772" s="15" t="str">
        <f>IF(Table13[[#This Row],[Previous Quartile]]="TopQuartile", 1,
 IF(Table13[[#This Row],[Previous Quartile]]="SecondQuartile", 2,
 IF(Table13[[#This Row],[Previous Quartile]]="ThirdQuartile", 3,
 IF(Table13[[#This Row],[Previous Quartile]]="FourthQuartile", 4, ""))))</f>
        <v/>
      </c>
      <c r="I1772" s="15" t="s">
        <v>649</v>
      </c>
      <c r="J1772" s="15" t="s">
        <v>20</v>
      </c>
      <c r="K1772" s="7" t="str">
        <f>VLOOKUP(J1772,Introduction!$B$6:$C$14,2)</f>
        <v>East of England</v>
      </c>
      <c r="L1772" s="17">
        <v>426</v>
      </c>
      <c r="M1772" s="18" t="s">
        <v>388</v>
      </c>
    </row>
    <row r="1773" spans="1:13" ht="19.95" customHeight="1" x14ac:dyDescent="0.25">
      <c r="A1773" s="42">
        <v>45292</v>
      </c>
      <c r="B1773" s="48">
        <f>MONTH(Table13[[#This Row],[YearMonth]])</f>
        <v>1</v>
      </c>
      <c r="C1773" s="15" t="s">
        <v>68</v>
      </c>
      <c r="D1773" s="16" t="s">
        <v>330</v>
      </c>
      <c r="E1773" s="16">
        <f>IF(Table13[[#This Row],[Quartile]]="TopQuartile", 1,
 IF(Table13[[#This Row],[Quartile]]="SecondQuartile", 2,
 IF(Table13[[#This Row],[Quartile]]="ThirdQuartile", 3,
 IF(Table13[[#This Row],[Quartile]]="FourthQuartile", 4, ""))))</f>
        <v>1</v>
      </c>
      <c r="F1773" s="15" t="s">
        <v>393</v>
      </c>
      <c r="G1773" s="15" t="str" cm="1">
        <f t="array" ref="G1773">IFERROR(
  INDEX(Table13[Quartile],
    MATCH(1,
      (Table13[[#This Row],[OrgName]]=Table13[OrgName]) *
      (Table13[[#This Row],[Month Number]]-1=Table13[Month Number]),
    0)
  ),
"")</f>
        <v/>
      </c>
      <c r="H1773" s="15" t="str">
        <f>IF(Table13[[#This Row],[Previous Quartile]]="TopQuartile", 1,
 IF(Table13[[#This Row],[Previous Quartile]]="SecondQuartile", 2,
 IF(Table13[[#This Row],[Previous Quartile]]="ThirdQuartile", 3,
 IF(Table13[[#This Row],[Previous Quartile]]="FourthQuartile", 4, ""))))</f>
        <v/>
      </c>
      <c r="I1773" s="15" t="s">
        <v>649</v>
      </c>
      <c r="J1773" s="15" t="s">
        <v>24</v>
      </c>
      <c r="K1773" s="7" t="str">
        <f>VLOOKUP(J1773,Introduction!$B$6:$C$14,2)</f>
        <v>North East and Yorkshire</v>
      </c>
      <c r="L1773" s="17">
        <v>165</v>
      </c>
      <c r="M1773" s="18" t="s">
        <v>388</v>
      </c>
    </row>
    <row r="1774" spans="1:13" ht="19.95" customHeight="1" x14ac:dyDescent="0.25">
      <c r="A1774" s="42">
        <v>45292</v>
      </c>
      <c r="B1774" s="48">
        <f>MONTH(Table13[[#This Row],[YearMonth]])</f>
        <v>1</v>
      </c>
      <c r="C1774" s="15" t="s">
        <v>60</v>
      </c>
      <c r="D1774" s="16" t="s">
        <v>330</v>
      </c>
      <c r="E1774" s="16">
        <f>IF(Table13[[#This Row],[Quartile]]="TopQuartile", 1,
 IF(Table13[[#This Row],[Quartile]]="SecondQuartile", 2,
 IF(Table13[[#This Row],[Quartile]]="ThirdQuartile", 3,
 IF(Table13[[#This Row],[Quartile]]="FourthQuartile", 4, ""))))</f>
        <v>1</v>
      </c>
      <c r="F1774" s="15" t="s">
        <v>391</v>
      </c>
      <c r="G1774" s="15" t="str" cm="1">
        <f t="array" ref="G1774">IFERROR(
  INDEX(Table13[Quartile],
    MATCH(1,
      (Table13[[#This Row],[OrgName]]=Table13[OrgName]) *
      (Table13[[#This Row],[Month Number]]-1=Table13[Month Number]),
    0)
  ),
"")</f>
        <v/>
      </c>
      <c r="H1774" s="15" t="str">
        <f>IF(Table13[[#This Row],[Previous Quartile]]="TopQuartile", 1,
 IF(Table13[[#This Row],[Previous Quartile]]="SecondQuartile", 2,
 IF(Table13[[#This Row],[Previous Quartile]]="ThirdQuartile", 3,
 IF(Table13[[#This Row],[Previous Quartile]]="FourthQuartile", 4, ""))))</f>
        <v/>
      </c>
      <c r="I1774" s="15" t="s">
        <v>649</v>
      </c>
      <c r="J1774" s="15" t="s">
        <v>18</v>
      </c>
      <c r="K1774" s="7" t="str">
        <f>VLOOKUP(J1774,Introduction!$B$6:$C$14,2)</f>
        <v>Midlands</v>
      </c>
      <c r="L1774" s="17">
        <v>166</v>
      </c>
      <c r="M1774" s="18" t="s">
        <v>388</v>
      </c>
    </row>
    <row r="1775" spans="1:13" ht="19.95" customHeight="1" x14ac:dyDescent="0.25">
      <c r="A1775" s="42">
        <v>45292</v>
      </c>
      <c r="B1775" s="48">
        <f>MONTH(Table13[[#This Row],[YearMonth]])</f>
        <v>1</v>
      </c>
      <c r="C1775" s="15" t="s">
        <v>75</v>
      </c>
      <c r="D1775" s="16" t="s">
        <v>330</v>
      </c>
      <c r="E1775" s="16">
        <f>IF(Table13[[#This Row],[Quartile]]="TopQuartile", 1,
 IF(Table13[[#This Row],[Quartile]]="SecondQuartile", 2,
 IF(Table13[[#This Row],[Quartile]]="ThirdQuartile", 3,
 IF(Table13[[#This Row],[Quartile]]="FourthQuartile", 4, ""))))</f>
        <v>1</v>
      </c>
      <c r="F1775" s="15" t="s">
        <v>394</v>
      </c>
      <c r="G1775" s="15" t="str" cm="1">
        <f t="array" ref="G1775">IFERROR(
  INDEX(Table13[Quartile],
    MATCH(1,
      (Table13[[#This Row],[OrgName]]=Table13[OrgName]) *
      (Table13[[#This Row],[Month Number]]-1=Table13[Month Number]),
    0)
  ),
"")</f>
        <v/>
      </c>
      <c r="H1775" s="15" t="str">
        <f>IF(Table13[[#This Row],[Previous Quartile]]="TopQuartile", 1,
 IF(Table13[[#This Row],[Previous Quartile]]="SecondQuartile", 2,
 IF(Table13[[#This Row],[Previous Quartile]]="ThirdQuartile", 3,
 IF(Table13[[#This Row],[Previous Quartile]]="FourthQuartile", 4, ""))))</f>
        <v/>
      </c>
      <c r="I1775" s="15" t="s">
        <v>649</v>
      </c>
      <c r="J1775" s="15" t="s">
        <v>16</v>
      </c>
      <c r="K1775" s="7" t="str">
        <f>VLOOKUP(J1775,Introduction!$B$6:$C$14,2)</f>
        <v>South East</v>
      </c>
      <c r="L1775" s="17">
        <v>252</v>
      </c>
      <c r="M1775" s="18" t="s">
        <v>388</v>
      </c>
    </row>
    <row r="1776" spans="1:13" ht="19.95" customHeight="1" x14ac:dyDescent="0.25">
      <c r="A1776" s="42">
        <v>45292</v>
      </c>
      <c r="B1776" s="48">
        <f>MONTH(Table13[[#This Row],[YearMonth]])</f>
        <v>1</v>
      </c>
      <c r="C1776" s="15" t="s">
        <v>127</v>
      </c>
      <c r="D1776" s="16" t="s">
        <v>330</v>
      </c>
      <c r="E1776" s="16">
        <f>IF(Table13[[#This Row],[Quartile]]="TopQuartile", 1,
 IF(Table13[[#This Row],[Quartile]]="SecondQuartile", 2,
 IF(Table13[[#This Row],[Quartile]]="ThirdQuartile", 3,
 IF(Table13[[#This Row],[Quartile]]="FourthQuartile", 4, ""))))</f>
        <v>1</v>
      </c>
      <c r="F1776" s="15" t="s">
        <v>396</v>
      </c>
      <c r="G1776" s="15" t="str" cm="1">
        <f t="array" ref="G1776">IFERROR(
  INDEX(Table13[Quartile],
    MATCH(1,
      (Table13[[#This Row],[OrgName]]=Table13[OrgName]) *
      (Table13[[#This Row],[Month Number]]-1=Table13[Month Number]),
    0)
  ),
"")</f>
        <v/>
      </c>
      <c r="H1776" s="15" t="str">
        <f>IF(Table13[[#This Row],[Previous Quartile]]="TopQuartile", 1,
 IF(Table13[[#This Row],[Previous Quartile]]="SecondQuartile", 2,
 IF(Table13[[#This Row],[Previous Quartile]]="ThirdQuartile", 3,
 IF(Table13[[#This Row],[Previous Quartile]]="FourthQuartile", 4, ""))))</f>
        <v/>
      </c>
      <c r="I1776" s="15" t="s">
        <v>649</v>
      </c>
      <c r="J1776" s="15" t="s">
        <v>22</v>
      </c>
      <c r="K1776" s="7" t="str">
        <f>VLOOKUP(J1776,Introduction!$B$6:$C$14,2)</f>
        <v>North West</v>
      </c>
      <c r="L1776" s="17">
        <v>210</v>
      </c>
      <c r="M1776" s="18" t="s">
        <v>388</v>
      </c>
    </row>
    <row r="1777" spans="1:13" ht="19.95" customHeight="1" x14ac:dyDescent="0.25">
      <c r="A1777" s="42">
        <v>45292</v>
      </c>
      <c r="B1777" s="48">
        <f>MONTH(Table13[[#This Row],[YearMonth]])</f>
        <v>1</v>
      </c>
      <c r="C1777" s="15" t="s">
        <v>135</v>
      </c>
      <c r="D1777" s="16" t="s">
        <v>338</v>
      </c>
      <c r="E1777" s="16">
        <f>IF(Table13[[#This Row],[Quartile]]="TopQuartile", 1,
 IF(Table13[[#This Row],[Quartile]]="SecondQuartile", 2,
 IF(Table13[[#This Row],[Quartile]]="ThirdQuartile", 3,
 IF(Table13[[#This Row],[Quartile]]="FourthQuartile", 4, ""))))</f>
        <v>2</v>
      </c>
      <c r="F1777" s="15" t="s">
        <v>397</v>
      </c>
      <c r="G1777" s="15" t="str" cm="1">
        <f t="array" ref="G1777">IFERROR(
  INDEX(Table13[Quartile],
    MATCH(1,
      (Table13[[#This Row],[OrgName]]=Table13[OrgName]) *
      (Table13[[#This Row],[Month Number]]-1=Table13[Month Number]),
    0)
  ),
"")</f>
        <v/>
      </c>
      <c r="H1777" s="15" t="str">
        <f>IF(Table13[[#This Row],[Previous Quartile]]="TopQuartile", 1,
 IF(Table13[[#This Row],[Previous Quartile]]="SecondQuartile", 2,
 IF(Table13[[#This Row],[Previous Quartile]]="ThirdQuartile", 3,
 IF(Table13[[#This Row],[Previous Quartile]]="FourthQuartile", 4, ""))))</f>
        <v/>
      </c>
      <c r="I1777" s="15" t="s">
        <v>649</v>
      </c>
      <c r="J1777" s="15" t="s">
        <v>18</v>
      </c>
      <c r="K1777" s="7" t="str">
        <f>VLOOKUP(J1777,Introduction!$B$6:$C$14,2)</f>
        <v>Midlands</v>
      </c>
      <c r="L1777" s="17">
        <v>264</v>
      </c>
      <c r="M1777" s="18" t="s">
        <v>388</v>
      </c>
    </row>
    <row r="1778" spans="1:13" ht="19.95" customHeight="1" x14ac:dyDescent="0.25">
      <c r="A1778" s="42">
        <v>45292</v>
      </c>
      <c r="B1778" s="48">
        <f>MONTH(Table13[[#This Row],[YearMonth]])</f>
        <v>1</v>
      </c>
      <c r="C1778" s="15" t="s">
        <v>122</v>
      </c>
      <c r="D1778" s="16" t="s">
        <v>338</v>
      </c>
      <c r="E1778" s="16">
        <f>IF(Table13[[#This Row],[Quartile]]="TopQuartile", 1,
 IF(Table13[[#This Row],[Quartile]]="SecondQuartile", 2,
 IF(Table13[[#This Row],[Quartile]]="ThirdQuartile", 3,
 IF(Table13[[#This Row],[Quartile]]="FourthQuartile", 4, ""))))</f>
        <v>2</v>
      </c>
      <c r="F1778" s="15" t="s">
        <v>395</v>
      </c>
      <c r="G1778" s="15" t="str" cm="1">
        <f t="array" ref="G1778">IFERROR(
  INDEX(Table13[Quartile],
    MATCH(1,
      (Table13[[#This Row],[OrgName]]=Table13[OrgName]) *
      (Table13[[#This Row],[Month Number]]-1=Table13[Month Number]),
    0)
  ),
"")</f>
        <v/>
      </c>
      <c r="H1778" s="15" t="str">
        <f>IF(Table13[[#This Row],[Previous Quartile]]="TopQuartile", 1,
 IF(Table13[[#This Row],[Previous Quartile]]="SecondQuartile", 2,
 IF(Table13[[#This Row],[Previous Quartile]]="ThirdQuartile", 3,
 IF(Table13[[#This Row],[Previous Quartile]]="FourthQuartile", 4, ""))))</f>
        <v/>
      </c>
      <c r="I1778" s="15" t="s">
        <v>649</v>
      </c>
      <c r="J1778" s="15" t="s">
        <v>24</v>
      </c>
      <c r="K1778" s="7" t="str">
        <f>VLOOKUP(J1778,Introduction!$B$6:$C$14,2)</f>
        <v>North East and Yorkshire</v>
      </c>
      <c r="L1778" s="17">
        <v>421</v>
      </c>
      <c r="M1778" s="18" t="s">
        <v>388</v>
      </c>
    </row>
    <row r="1779" spans="1:13" ht="19.95" customHeight="1" x14ac:dyDescent="0.25">
      <c r="A1779" s="42">
        <v>45292</v>
      </c>
      <c r="B1779" s="48">
        <f>MONTH(Table13[[#This Row],[YearMonth]])</f>
        <v>1</v>
      </c>
      <c r="C1779" s="15" t="s">
        <v>232</v>
      </c>
      <c r="D1779" s="16" t="s">
        <v>341</v>
      </c>
      <c r="E1779" s="16">
        <f>IF(Table13[[#This Row],[Quartile]]="TopQuartile", 1,
 IF(Table13[[#This Row],[Quartile]]="SecondQuartile", 2,
 IF(Table13[[#This Row],[Quartile]]="ThirdQuartile", 3,
 IF(Table13[[#This Row],[Quartile]]="FourthQuartile", 4, ""))))</f>
        <v>3</v>
      </c>
      <c r="F1779" s="15" t="s">
        <v>402</v>
      </c>
      <c r="G1779" s="15" t="str" cm="1">
        <f t="array" ref="G1779">IFERROR(
  INDEX(Table13[Quartile],
    MATCH(1,
      (Table13[[#This Row],[OrgName]]=Table13[OrgName]) *
      (Table13[[#This Row],[Month Number]]-1=Table13[Month Number]),
    0)
  ),
"")</f>
        <v/>
      </c>
      <c r="H1779" s="15" t="str">
        <f>IF(Table13[[#This Row],[Previous Quartile]]="TopQuartile", 1,
 IF(Table13[[#This Row],[Previous Quartile]]="SecondQuartile", 2,
 IF(Table13[[#This Row],[Previous Quartile]]="ThirdQuartile", 3,
 IF(Table13[[#This Row],[Previous Quartile]]="FourthQuartile", 4, ""))))</f>
        <v/>
      </c>
      <c r="I1779" s="15" t="s">
        <v>649</v>
      </c>
      <c r="J1779" s="15" t="s">
        <v>12</v>
      </c>
      <c r="K1779" s="7" t="str">
        <f>VLOOKUP(J1779,Introduction!$B$6:$C$14,2)</f>
        <v>London</v>
      </c>
      <c r="L1779" s="17">
        <v>394</v>
      </c>
      <c r="M1779" s="18" t="s">
        <v>388</v>
      </c>
    </row>
    <row r="1780" spans="1:13" ht="19.95" customHeight="1" x14ac:dyDescent="0.25">
      <c r="A1780" s="42">
        <v>45292</v>
      </c>
      <c r="B1780" s="48">
        <f>MONTH(Table13[[#This Row],[YearMonth]])</f>
        <v>1</v>
      </c>
      <c r="C1780" s="15" t="s">
        <v>217</v>
      </c>
      <c r="D1780" s="16" t="s">
        <v>341</v>
      </c>
      <c r="E1780" s="16">
        <f>IF(Table13[[#This Row],[Quartile]]="TopQuartile", 1,
 IF(Table13[[#This Row],[Quartile]]="SecondQuartile", 2,
 IF(Table13[[#This Row],[Quartile]]="ThirdQuartile", 3,
 IF(Table13[[#This Row],[Quartile]]="FourthQuartile", 4, ""))))</f>
        <v>3</v>
      </c>
      <c r="F1780" s="15" t="s">
        <v>399</v>
      </c>
      <c r="G1780" s="15" t="str" cm="1">
        <f t="array" ref="G1780">IFERROR(
  INDEX(Table13[Quartile],
    MATCH(1,
      (Table13[[#This Row],[OrgName]]=Table13[OrgName]) *
      (Table13[[#This Row],[Month Number]]-1=Table13[Month Number]),
    0)
  ),
"")</f>
        <v/>
      </c>
      <c r="H1780" s="15" t="str">
        <f>IF(Table13[[#This Row],[Previous Quartile]]="TopQuartile", 1,
 IF(Table13[[#This Row],[Previous Quartile]]="SecondQuartile", 2,
 IF(Table13[[#This Row],[Previous Quartile]]="ThirdQuartile", 3,
 IF(Table13[[#This Row],[Previous Quartile]]="FourthQuartile", 4, ""))))</f>
        <v/>
      </c>
      <c r="I1780" s="15" t="s">
        <v>649</v>
      </c>
      <c r="J1780" s="15" t="s">
        <v>14</v>
      </c>
      <c r="K1780" s="7" t="str">
        <f>VLOOKUP(J1780,Introduction!$B$6:$C$14,2)</f>
        <v>South West</v>
      </c>
      <c r="L1780" s="17">
        <v>269</v>
      </c>
      <c r="M1780" s="18" t="s">
        <v>388</v>
      </c>
    </row>
    <row r="1781" spans="1:13" ht="19.95" customHeight="1" x14ac:dyDescent="0.25">
      <c r="A1781" s="42">
        <v>45292</v>
      </c>
      <c r="B1781" s="48">
        <f>MONTH(Table13[[#This Row],[YearMonth]])</f>
        <v>1</v>
      </c>
      <c r="C1781" s="15" t="s">
        <v>226</v>
      </c>
      <c r="D1781" s="16" t="s">
        <v>341</v>
      </c>
      <c r="E1781" s="16">
        <f>IF(Table13[[#This Row],[Quartile]]="TopQuartile", 1,
 IF(Table13[[#This Row],[Quartile]]="SecondQuartile", 2,
 IF(Table13[[#This Row],[Quartile]]="ThirdQuartile", 3,
 IF(Table13[[#This Row],[Quartile]]="FourthQuartile", 4, ""))))</f>
        <v>3</v>
      </c>
      <c r="F1781" s="15" t="s">
        <v>401</v>
      </c>
      <c r="G1781" s="15" t="str" cm="1">
        <f t="array" ref="G1781">IFERROR(
  INDEX(Table13[Quartile],
    MATCH(1,
      (Table13[[#This Row],[OrgName]]=Table13[OrgName]) *
      (Table13[[#This Row],[Month Number]]-1=Table13[Month Number]),
    0)
  ),
"")</f>
        <v/>
      </c>
      <c r="H1781" s="15" t="str">
        <f>IF(Table13[[#This Row],[Previous Quartile]]="TopQuartile", 1,
 IF(Table13[[#This Row],[Previous Quartile]]="SecondQuartile", 2,
 IF(Table13[[#This Row],[Previous Quartile]]="ThirdQuartile", 3,
 IF(Table13[[#This Row],[Previous Quartile]]="FourthQuartile", 4, ""))))</f>
        <v/>
      </c>
      <c r="I1781" s="15" t="s">
        <v>649</v>
      </c>
      <c r="J1781" s="15" t="s">
        <v>22</v>
      </c>
      <c r="K1781" s="7" t="str">
        <f>VLOOKUP(J1781,Introduction!$B$6:$C$14,2)</f>
        <v>North West</v>
      </c>
      <c r="L1781" s="17">
        <v>245</v>
      </c>
      <c r="M1781" s="18" t="s">
        <v>388</v>
      </c>
    </row>
    <row r="1782" spans="1:13" ht="19.95" customHeight="1" x14ac:dyDescent="0.25">
      <c r="A1782" s="42">
        <v>45292</v>
      </c>
      <c r="B1782" s="48">
        <f>MONTH(Table13[[#This Row],[YearMonth]])</f>
        <v>1</v>
      </c>
      <c r="C1782" s="15" t="s">
        <v>209</v>
      </c>
      <c r="D1782" s="16" t="s">
        <v>341</v>
      </c>
      <c r="E1782" s="16">
        <f>IF(Table13[[#This Row],[Quartile]]="TopQuartile", 1,
 IF(Table13[[#This Row],[Quartile]]="SecondQuartile", 2,
 IF(Table13[[#This Row],[Quartile]]="ThirdQuartile", 3,
 IF(Table13[[#This Row],[Quartile]]="FourthQuartile", 4, ""))))</f>
        <v>3</v>
      </c>
      <c r="F1782" s="15" t="s">
        <v>398</v>
      </c>
      <c r="G1782" s="15" t="str" cm="1">
        <f t="array" ref="G1782">IFERROR(
  INDEX(Table13[Quartile],
    MATCH(1,
      (Table13[[#This Row],[OrgName]]=Table13[OrgName]) *
      (Table13[[#This Row],[Month Number]]-1=Table13[Month Number]),
    0)
  ),
"")</f>
        <v/>
      </c>
      <c r="H1782" s="15" t="str">
        <f>IF(Table13[[#This Row],[Previous Quartile]]="TopQuartile", 1,
 IF(Table13[[#This Row],[Previous Quartile]]="SecondQuartile", 2,
 IF(Table13[[#This Row],[Previous Quartile]]="ThirdQuartile", 3,
 IF(Table13[[#This Row],[Previous Quartile]]="FourthQuartile", 4, ""))))</f>
        <v/>
      </c>
      <c r="I1782" s="15" t="s">
        <v>649</v>
      </c>
      <c r="J1782" s="15" t="s">
        <v>22</v>
      </c>
      <c r="K1782" s="7" t="str">
        <f>VLOOKUP(J1782,Introduction!$B$6:$C$14,2)</f>
        <v>North West</v>
      </c>
      <c r="L1782" s="17">
        <v>412</v>
      </c>
      <c r="M1782" s="18" t="s">
        <v>388</v>
      </c>
    </row>
    <row r="1783" spans="1:13" ht="19.95" customHeight="1" x14ac:dyDescent="0.25">
      <c r="A1783" s="42">
        <v>45292</v>
      </c>
      <c r="B1783" s="48">
        <f>MONTH(Table13[[#This Row],[YearMonth]])</f>
        <v>1</v>
      </c>
      <c r="C1783" s="15" t="s">
        <v>245</v>
      </c>
      <c r="D1783" s="16" t="s">
        <v>341</v>
      </c>
      <c r="E1783" s="16">
        <f>IF(Table13[[#This Row],[Quartile]]="TopQuartile", 1,
 IF(Table13[[#This Row],[Quartile]]="SecondQuartile", 2,
 IF(Table13[[#This Row],[Quartile]]="ThirdQuartile", 3,
 IF(Table13[[#This Row],[Quartile]]="FourthQuartile", 4, ""))))</f>
        <v>3</v>
      </c>
      <c r="F1783" s="15" t="s">
        <v>403</v>
      </c>
      <c r="G1783" s="15" t="str" cm="1">
        <f t="array" ref="G1783">IFERROR(
  INDEX(Table13[Quartile],
    MATCH(1,
      (Table13[[#This Row],[OrgName]]=Table13[OrgName]) *
      (Table13[[#This Row],[Month Number]]-1=Table13[Month Number]),
    0)
  ),
"")</f>
        <v/>
      </c>
      <c r="H1783" s="15" t="str">
        <f>IF(Table13[[#This Row],[Previous Quartile]]="TopQuartile", 1,
 IF(Table13[[#This Row],[Previous Quartile]]="SecondQuartile", 2,
 IF(Table13[[#This Row],[Previous Quartile]]="ThirdQuartile", 3,
 IF(Table13[[#This Row],[Previous Quartile]]="FourthQuartile", 4, ""))))</f>
        <v/>
      </c>
      <c r="I1783" s="15" t="s">
        <v>649</v>
      </c>
      <c r="J1783" s="15" t="s">
        <v>18</v>
      </c>
      <c r="K1783" s="7" t="str">
        <f>VLOOKUP(J1783,Introduction!$B$6:$C$14,2)</f>
        <v>Midlands</v>
      </c>
      <c r="L1783" s="17">
        <v>230</v>
      </c>
      <c r="M1783" s="18" t="s">
        <v>388</v>
      </c>
    </row>
    <row r="1784" spans="1:13" ht="19.95" customHeight="1" x14ac:dyDescent="0.25">
      <c r="A1784" s="42">
        <v>45292</v>
      </c>
      <c r="B1784" s="48">
        <f>MONTH(Table13[[#This Row],[YearMonth]])</f>
        <v>1</v>
      </c>
      <c r="C1784" s="15" t="s">
        <v>224</v>
      </c>
      <c r="D1784" s="16" t="s">
        <v>341</v>
      </c>
      <c r="E1784" s="16">
        <f>IF(Table13[[#This Row],[Quartile]]="TopQuartile", 1,
 IF(Table13[[#This Row],[Quartile]]="SecondQuartile", 2,
 IF(Table13[[#This Row],[Quartile]]="ThirdQuartile", 3,
 IF(Table13[[#This Row],[Quartile]]="FourthQuartile", 4, ""))))</f>
        <v>3</v>
      </c>
      <c r="F1784" s="15" t="s">
        <v>400</v>
      </c>
      <c r="G1784" s="15" t="str" cm="1">
        <f t="array" ref="G1784">IFERROR(
  INDEX(Table13[Quartile],
    MATCH(1,
      (Table13[[#This Row],[OrgName]]=Table13[OrgName]) *
      (Table13[[#This Row],[Month Number]]-1=Table13[Month Number]),
    0)
  ),
"")</f>
        <v/>
      </c>
      <c r="H1784" s="15" t="str">
        <f>IF(Table13[[#This Row],[Previous Quartile]]="TopQuartile", 1,
 IF(Table13[[#This Row],[Previous Quartile]]="SecondQuartile", 2,
 IF(Table13[[#This Row],[Previous Quartile]]="ThirdQuartile", 3,
 IF(Table13[[#This Row],[Previous Quartile]]="FourthQuartile", 4, ""))))</f>
        <v/>
      </c>
      <c r="I1784" s="15" t="s">
        <v>649</v>
      </c>
      <c r="J1784" s="15" t="s">
        <v>18</v>
      </c>
      <c r="K1784" s="7" t="str">
        <f>VLOOKUP(J1784,Introduction!$B$6:$C$14,2)</f>
        <v>Midlands</v>
      </c>
      <c r="L1784" s="17">
        <v>407</v>
      </c>
      <c r="M1784" s="18" t="s">
        <v>388</v>
      </c>
    </row>
    <row r="1785" spans="1:13" ht="19.95" customHeight="1" x14ac:dyDescent="0.25">
      <c r="A1785" s="42">
        <v>45292</v>
      </c>
      <c r="B1785" s="48">
        <f>MONTH(Table13[[#This Row],[YearMonth]])</f>
        <v>1</v>
      </c>
      <c r="C1785" s="15" t="s">
        <v>249</v>
      </c>
      <c r="D1785" s="16" t="s">
        <v>350</v>
      </c>
      <c r="E1785" s="16">
        <f>IF(Table13[[#This Row],[Quartile]]="TopQuartile", 1,
 IF(Table13[[#This Row],[Quartile]]="SecondQuartile", 2,
 IF(Table13[[#This Row],[Quartile]]="ThirdQuartile", 3,
 IF(Table13[[#This Row],[Quartile]]="FourthQuartile", 4, ""))))</f>
        <v>4</v>
      </c>
      <c r="F1785" s="15" t="s">
        <v>404</v>
      </c>
      <c r="G1785" s="15" t="str" cm="1">
        <f t="array" ref="G1785">IFERROR(
  INDEX(Table13[Quartile],
    MATCH(1,
      (Table13[[#This Row],[OrgName]]=Table13[OrgName]) *
      (Table13[[#This Row],[Month Number]]-1=Table13[Month Number]),
    0)
  ),
"")</f>
        <v/>
      </c>
      <c r="H1785" s="15" t="str">
        <f>IF(Table13[[#This Row],[Previous Quartile]]="TopQuartile", 1,
 IF(Table13[[#This Row],[Previous Quartile]]="SecondQuartile", 2,
 IF(Table13[[#This Row],[Previous Quartile]]="ThirdQuartile", 3,
 IF(Table13[[#This Row],[Previous Quartile]]="FourthQuartile", 4, ""))))</f>
        <v/>
      </c>
      <c r="I1785" s="15" t="s">
        <v>649</v>
      </c>
      <c r="J1785" s="15" t="s">
        <v>20</v>
      </c>
      <c r="K1785" s="7" t="str">
        <f>VLOOKUP(J1785,Introduction!$B$6:$C$14,2)</f>
        <v>East of England</v>
      </c>
      <c r="L1785" s="17">
        <v>292</v>
      </c>
      <c r="M1785" s="18" t="s">
        <v>388</v>
      </c>
    </row>
    <row r="1786" spans="1:13" ht="19.95" customHeight="1" x14ac:dyDescent="0.25">
      <c r="A1786" s="42">
        <v>45292</v>
      </c>
      <c r="B1786" s="48">
        <f>MONTH(Table13[[#This Row],[YearMonth]])</f>
        <v>1</v>
      </c>
      <c r="C1786" s="15" t="s">
        <v>256</v>
      </c>
      <c r="D1786" s="16" t="s">
        <v>350</v>
      </c>
      <c r="E1786" s="16">
        <f>IF(Table13[[#This Row],[Quartile]]="TopQuartile", 1,
 IF(Table13[[#This Row],[Quartile]]="SecondQuartile", 2,
 IF(Table13[[#This Row],[Quartile]]="ThirdQuartile", 3,
 IF(Table13[[#This Row],[Quartile]]="FourthQuartile", 4, ""))))</f>
        <v>4</v>
      </c>
      <c r="F1786" s="15" t="s">
        <v>405</v>
      </c>
      <c r="G1786" s="15" t="str" cm="1">
        <f t="array" ref="G1786">IFERROR(
  INDEX(Table13[Quartile],
    MATCH(1,
      (Table13[[#This Row],[OrgName]]=Table13[OrgName]) *
      (Table13[[#This Row],[Month Number]]-1=Table13[Month Number]),
    0)
  ),
"")</f>
        <v/>
      </c>
      <c r="H1786" s="15" t="str">
        <f>IF(Table13[[#This Row],[Previous Quartile]]="TopQuartile", 1,
 IF(Table13[[#This Row],[Previous Quartile]]="SecondQuartile", 2,
 IF(Table13[[#This Row],[Previous Quartile]]="ThirdQuartile", 3,
 IF(Table13[[#This Row],[Previous Quartile]]="FourthQuartile", 4, ""))))</f>
        <v/>
      </c>
      <c r="I1786" s="15" t="s">
        <v>649</v>
      </c>
      <c r="J1786" s="15" t="s">
        <v>14</v>
      </c>
      <c r="K1786" s="7" t="str">
        <f>VLOOKUP(J1786,Introduction!$B$6:$C$14,2)</f>
        <v>South West</v>
      </c>
      <c r="L1786" s="17">
        <v>405</v>
      </c>
      <c r="M1786" s="18" t="s">
        <v>388</v>
      </c>
    </row>
    <row r="1787" spans="1:13" ht="19.95" customHeight="1" x14ac:dyDescent="0.25">
      <c r="A1787" s="42">
        <v>45292</v>
      </c>
      <c r="B1787" s="48">
        <f>MONTH(Table13[[#This Row],[YearMonth]])</f>
        <v>1</v>
      </c>
      <c r="C1787" s="15" t="s">
        <v>305</v>
      </c>
      <c r="D1787" s="16" t="s">
        <v>350</v>
      </c>
      <c r="E1787" s="16">
        <f>IF(Table13[[#This Row],[Quartile]]="TopQuartile", 1,
 IF(Table13[[#This Row],[Quartile]]="SecondQuartile", 2,
 IF(Table13[[#This Row],[Quartile]]="ThirdQuartile", 3,
 IF(Table13[[#This Row],[Quartile]]="FourthQuartile", 4, ""))))</f>
        <v>4</v>
      </c>
      <c r="F1787" s="15" t="s">
        <v>406</v>
      </c>
      <c r="G1787" s="15" t="str" cm="1">
        <f t="array" ref="G1787">IFERROR(
  INDEX(Table13[Quartile],
    MATCH(1,
      (Table13[[#This Row],[OrgName]]=Table13[OrgName]) *
      (Table13[[#This Row],[Month Number]]-1=Table13[Month Number]),
    0)
  ),
"")</f>
        <v/>
      </c>
      <c r="H1787" s="15" t="str">
        <f>IF(Table13[[#This Row],[Previous Quartile]]="TopQuartile", 1,
 IF(Table13[[#This Row],[Previous Quartile]]="SecondQuartile", 2,
 IF(Table13[[#This Row],[Previous Quartile]]="ThirdQuartile", 3,
 IF(Table13[[#This Row],[Previous Quartile]]="FourthQuartile", 4, ""))))</f>
        <v/>
      </c>
      <c r="I1787" s="15" t="s">
        <v>649</v>
      </c>
      <c r="J1787" s="15" t="s">
        <v>20</v>
      </c>
      <c r="K1787" s="7" t="str">
        <f>VLOOKUP(J1787,Introduction!$B$6:$C$14,2)</f>
        <v>East of England</v>
      </c>
      <c r="L1787" s="17">
        <v>179</v>
      </c>
      <c r="M1787" s="18" t="s">
        <v>388</v>
      </c>
    </row>
    <row r="1788" spans="1:13" ht="19.95" customHeight="1" x14ac:dyDescent="0.25">
      <c r="A1788" s="42">
        <v>45292</v>
      </c>
      <c r="B1788" s="48">
        <f>MONTH(Table13[[#This Row],[YearMonth]])</f>
        <v>1</v>
      </c>
      <c r="C1788" s="15" t="s">
        <v>125</v>
      </c>
      <c r="D1788" s="16" t="s">
        <v>330</v>
      </c>
      <c r="E1788" s="16">
        <f>IF(Table13[[#This Row],[Quartile]]="TopQuartile", 1,
 IF(Table13[[#This Row],[Quartile]]="SecondQuartile", 2,
 IF(Table13[[#This Row],[Quartile]]="ThirdQuartile", 3,
 IF(Table13[[#This Row],[Quartile]]="FourthQuartile", 4, ""))))</f>
        <v>1</v>
      </c>
      <c r="F1788" s="15" t="s">
        <v>414</v>
      </c>
      <c r="G1788" s="15" t="str" cm="1">
        <f t="array" ref="G1788">IFERROR(
  INDEX(Table13[Quartile],
    MATCH(1,
      (Table13[[#This Row],[OrgName]]=Table13[OrgName]) *
      (Table13[[#This Row],[Month Number]]-1=Table13[Month Number]),
    0)
  ),
"")</f>
        <v/>
      </c>
      <c r="H1788" s="15" t="str">
        <f>IF(Table13[[#This Row],[Previous Quartile]]="TopQuartile", 1,
 IF(Table13[[#This Row],[Previous Quartile]]="SecondQuartile", 2,
 IF(Table13[[#This Row],[Previous Quartile]]="ThirdQuartile", 3,
 IF(Table13[[#This Row],[Previous Quartile]]="FourthQuartile", 4, ""))))</f>
        <v/>
      </c>
      <c r="I1788" s="15" t="s">
        <v>649</v>
      </c>
      <c r="J1788" s="15" t="s">
        <v>22</v>
      </c>
      <c r="K1788" s="7" t="str">
        <f>VLOOKUP(J1788,Introduction!$B$6:$C$14,2)</f>
        <v>North West</v>
      </c>
      <c r="L1788" s="17">
        <v>160</v>
      </c>
      <c r="M1788" s="18" t="s">
        <v>408</v>
      </c>
    </row>
    <row r="1789" spans="1:13" ht="19.95" customHeight="1" x14ac:dyDescent="0.25">
      <c r="A1789" s="42">
        <v>45292</v>
      </c>
      <c r="B1789" s="48">
        <f>MONTH(Table13[[#This Row],[YearMonth]])</f>
        <v>1</v>
      </c>
      <c r="C1789" s="15" t="s">
        <v>99</v>
      </c>
      <c r="D1789" s="16" t="s">
        <v>330</v>
      </c>
      <c r="E1789" s="16">
        <f>IF(Table13[[#This Row],[Quartile]]="TopQuartile", 1,
 IF(Table13[[#This Row],[Quartile]]="SecondQuartile", 2,
 IF(Table13[[#This Row],[Quartile]]="ThirdQuartile", 3,
 IF(Table13[[#This Row],[Quartile]]="FourthQuartile", 4, ""))))</f>
        <v>1</v>
      </c>
      <c r="F1789" s="15" t="s">
        <v>411</v>
      </c>
      <c r="G1789" s="15" t="str" cm="1">
        <f t="array" ref="G1789">IFERROR(
  INDEX(Table13[Quartile],
    MATCH(1,
      (Table13[[#This Row],[OrgName]]=Table13[OrgName]) *
      (Table13[[#This Row],[Month Number]]-1=Table13[Month Number]),
    0)
  ),
"")</f>
        <v/>
      </c>
      <c r="H1789" s="15" t="str">
        <f>IF(Table13[[#This Row],[Previous Quartile]]="TopQuartile", 1,
 IF(Table13[[#This Row],[Previous Quartile]]="SecondQuartile", 2,
 IF(Table13[[#This Row],[Previous Quartile]]="ThirdQuartile", 3,
 IF(Table13[[#This Row],[Previous Quartile]]="FourthQuartile", 4, ""))))</f>
        <v/>
      </c>
      <c r="I1789" s="15" t="s">
        <v>649</v>
      </c>
      <c r="J1789" s="15" t="s">
        <v>12</v>
      </c>
      <c r="K1789" s="7" t="str">
        <f>VLOOKUP(J1789,Introduction!$B$6:$C$14,2)</f>
        <v>London</v>
      </c>
      <c r="L1789" s="17">
        <v>271</v>
      </c>
      <c r="M1789" s="18" t="s">
        <v>408</v>
      </c>
    </row>
    <row r="1790" spans="1:13" ht="19.95" customHeight="1" x14ac:dyDescent="0.25">
      <c r="A1790" s="42">
        <v>45292</v>
      </c>
      <c r="B1790" s="48">
        <f>MONTH(Table13[[#This Row],[YearMonth]])</f>
        <v>1</v>
      </c>
      <c r="C1790" s="15" t="s">
        <v>56</v>
      </c>
      <c r="D1790" s="16" t="s">
        <v>330</v>
      </c>
      <c r="E1790" s="16">
        <f>IF(Table13[[#This Row],[Quartile]]="TopQuartile", 1,
 IF(Table13[[#This Row],[Quartile]]="SecondQuartile", 2,
 IF(Table13[[#This Row],[Quartile]]="ThirdQuartile", 3,
 IF(Table13[[#This Row],[Quartile]]="FourthQuartile", 4, ""))))</f>
        <v>1</v>
      </c>
      <c r="F1790" s="15" t="s">
        <v>407</v>
      </c>
      <c r="G1790" s="15" t="str" cm="1">
        <f t="array" ref="G1790">IFERROR(
  INDEX(Table13[Quartile],
    MATCH(1,
      (Table13[[#This Row],[OrgName]]=Table13[OrgName]) *
      (Table13[[#This Row],[Month Number]]-1=Table13[Month Number]),
    0)
  ),
"")</f>
        <v/>
      </c>
      <c r="H1790" s="15" t="str">
        <f>IF(Table13[[#This Row],[Previous Quartile]]="TopQuartile", 1,
 IF(Table13[[#This Row],[Previous Quartile]]="SecondQuartile", 2,
 IF(Table13[[#This Row],[Previous Quartile]]="ThirdQuartile", 3,
 IF(Table13[[#This Row],[Previous Quartile]]="FourthQuartile", 4, ""))))</f>
        <v/>
      </c>
      <c r="I1790" s="15" t="s">
        <v>649</v>
      </c>
      <c r="J1790" s="15" t="s">
        <v>20</v>
      </c>
      <c r="K1790" s="7" t="str">
        <f>VLOOKUP(J1790,Introduction!$B$6:$C$14,2)</f>
        <v>East of England</v>
      </c>
      <c r="L1790" s="17">
        <v>175</v>
      </c>
      <c r="M1790" s="18" t="s">
        <v>408</v>
      </c>
    </row>
    <row r="1791" spans="1:13" ht="19.95" customHeight="1" x14ac:dyDescent="0.25">
      <c r="A1791" s="42">
        <v>45292</v>
      </c>
      <c r="B1791" s="48">
        <f>MONTH(Table13[[#This Row],[YearMonth]])</f>
        <v>1</v>
      </c>
      <c r="C1791" s="15" t="s">
        <v>108</v>
      </c>
      <c r="D1791" s="16" t="s">
        <v>330</v>
      </c>
      <c r="E1791" s="16">
        <f>IF(Table13[[#This Row],[Quartile]]="TopQuartile", 1,
 IF(Table13[[#This Row],[Quartile]]="SecondQuartile", 2,
 IF(Table13[[#This Row],[Quartile]]="ThirdQuartile", 3,
 IF(Table13[[#This Row],[Quartile]]="FourthQuartile", 4, ""))))</f>
        <v>1</v>
      </c>
      <c r="F1791" s="15" t="s">
        <v>413</v>
      </c>
      <c r="G1791" s="15" t="str" cm="1">
        <f t="array" ref="G1791">IFERROR(
  INDEX(Table13[Quartile],
    MATCH(1,
      (Table13[[#This Row],[OrgName]]=Table13[OrgName]) *
      (Table13[[#This Row],[Month Number]]-1=Table13[Month Number]),
    0)
  ),
"")</f>
        <v/>
      </c>
      <c r="H1791" s="15" t="str">
        <f>IF(Table13[[#This Row],[Previous Quartile]]="TopQuartile", 1,
 IF(Table13[[#This Row],[Previous Quartile]]="SecondQuartile", 2,
 IF(Table13[[#This Row],[Previous Quartile]]="ThirdQuartile", 3,
 IF(Table13[[#This Row],[Previous Quartile]]="FourthQuartile", 4, ""))))</f>
        <v/>
      </c>
      <c r="I1791" s="15" t="s">
        <v>649</v>
      </c>
      <c r="J1791" s="15" t="s">
        <v>22</v>
      </c>
      <c r="K1791" s="7" t="str">
        <f>VLOOKUP(J1791,Introduction!$B$6:$C$14,2)</f>
        <v>North West</v>
      </c>
      <c r="L1791" s="17">
        <v>158</v>
      </c>
      <c r="M1791" s="18" t="s">
        <v>408</v>
      </c>
    </row>
    <row r="1792" spans="1:13" ht="19.95" customHeight="1" x14ac:dyDescent="0.25">
      <c r="A1792" s="42">
        <v>45292</v>
      </c>
      <c r="B1792" s="48">
        <f>MONTH(Table13[[#This Row],[YearMonth]])</f>
        <v>1</v>
      </c>
      <c r="C1792" s="15" t="s">
        <v>84</v>
      </c>
      <c r="D1792" s="16" t="s">
        <v>330</v>
      </c>
      <c r="E1792" s="16">
        <f>IF(Table13[[#This Row],[Quartile]]="TopQuartile", 1,
 IF(Table13[[#This Row],[Quartile]]="SecondQuartile", 2,
 IF(Table13[[#This Row],[Quartile]]="ThirdQuartile", 3,
 IF(Table13[[#This Row],[Quartile]]="FourthQuartile", 4, ""))))</f>
        <v>1</v>
      </c>
      <c r="F1792" s="15" t="s">
        <v>409</v>
      </c>
      <c r="G1792" s="15" t="str" cm="1">
        <f t="array" ref="G1792">IFERROR(
  INDEX(Table13[Quartile],
    MATCH(1,
      (Table13[[#This Row],[OrgName]]=Table13[OrgName]) *
      (Table13[[#This Row],[Month Number]]-1=Table13[Month Number]),
    0)
  ),
"")</f>
        <v/>
      </c>
      <c r="H1792" s="15" t="str">
        <f>IF(Table13[[#This Row],[Previous Quartile]]="TopQuartile", 1,
 IF(Table13[[#This Row],[Previous Quartile]]="SecondQuartile", 2,
 IF(Table13[[#This Row],[Previous Quartile]]="ThirdQuartile", 3,
 IF(Table13[[#This Row],[Previous Quartile]]="FourthQuartile", 4, ""))))</f>
        <v/>
      </c>
      <c r="I1792" s="15" t="s">
        <v>649</v>
      </c>
      <c r="J1792" s="15" t="s">
        <v>16</v>
      </c>
      <c r="K1792" s="7" t="str">
        <f>VLOOKUP(J1792,Introduction!$B$6:$C$14,2)</f>
        <v>South East</v>
      </c>
      <c r="L1792" s="17">
        <v>276</v>
      </c>
      <c r="M1792" s="18" t="s">
        <v>408</v>
      </c>
    </row>
    <row r="1793" spans="1:13" ht="19.95" customHeight="1" x14ac:dyDescent="0.25">
      <c r="A1793" s="42">
        <v>45292</v>
      </c>
      <c r="B1793" s="48">
        <f>MONTH(Table13[[#This Row],[YearMonth]])</f>
        <v>1</v>
      </c>
      <c r="C1793" s="15" t="s">
        <v>215</v>
      </c>
      <c r="D1793" s="16" t="s">
        <v>338</v>
      </c>
      <c r="E1793" s="16">
        <f>IF(Table13[[#This Row],[Quartile]]="TopQuartile", 1,
 IF(Table13[[#This Row],[Quartile]]="SecondQuartile", 2,
 IF(Table13[[#This Row],[Quartile]]="ThirdQuartile", 3,
 IF(Table13[[#This Row],[Quartile]]="FourthQuartile", 4, ""))))</f>
        <v>2</v>
      </c>
      <c r="F1793" s="15" t="s">
        <v>419</v>
      </c>
      <c r="G1793" s="15" t="str" cm="1">
        <f t="array" ref="G1793">IFERROR(
  INDEX(Table13[Quartile],
    MATCH(1,
      (Table13[[#This Row],[OrgName]]=Table13[OrgName]) *
      (Table13[[#This Row],[Month Number]]-1=Table13[Month Number]),
    0)
  ),
"")</f>
        <v/>
      </c>
      <c r="H1793" s="15" t="str">
        <f>IF(Table13[[#This Row],[Previous Quartile]]="TopQuartile", 1,
 IF(Table13[[#This Row],[Previous Quartile]]="SecondQuartile", 2,
 IF(Table13[[#This Row],[Previous Quartile]]="ThirdQuartile", 3,
 IF(Table13[[#This Row],[Previous Quartile]]="FourthQuartile", 4, ""))))</f>
        <v/>
      </c>
      <c r="I1793" s="15" t="s">
        <v>649</v>
      </c>
      <c r="J1793" s="15" t="s">
        <v>18</v>
      </c>
      <c r="K1793" s="7" t="str">
        <f>VLOOKUP(J1793,Introduction!$B$6:$C$14,2)</f>
        <v>Midlands</v>
      </c>
      <c r="L1793" s="17">
        <v>224</v>
      </c>
      <c r="M1793" s="18" t="s">
        <v>408</v>
      </c>
    </row>
    <row r="1794" spans="1:13" ht="19.95" customHeight="1" x14ac:dyDescent="0.25">
      <c r="A1794" s="42">
        <v>45292</v>
      </c>
      <c r="B1794" s="48">
        <f>MONTH(Table13[[#This Row],[YearMonth]])</f>
        <v>1</v>
      </c>
      <c r="C1794" s="15" t="s">
        <v>102</v>
      </c>
      <c r="D1794" s="16" t="s">
        <v>338</v>
      </c>
      <c r="E1794" s="16">
        <f>IF(Table13[[#This Row],[Quartile]]="TopQuartile", 1,
 IF(Table13[[#This Row],[Quartile]]="SecondQuartile", 2,
 IF(Table13[[#This Row],[Quartile]]="ThirdQuartile", 3,
 IF(Table13[[#This Row],[Quartile]]="FourthQuartile", 4, ""))))</f>
        <v>2</v>
      </c>
      <c r="F1794" s="15" t="s">
        <v>412</v>
      </c>
      <c r="G1794" s="15" t="str" cm="1">
        <f t="array" ref="G1794">IFERROR(
  INDEX(Table13[Quartile],
    MATCH(1,
      (Table13[[#This Row],[OrgName]]=Table13[OrgName]) *
      (Table13[[#This Row],[Month Number]]-1=Table13[Month Number]),
    0)
  ),
"")</f>
        <v/>
      </c>
      <c r="H1794" s="15" t="str">
        <f>IF(Table13[[#This Row],[Previous Quartile]]="TopQuartile", 1,
 IF(Table13[[#This Row],[Previous Quartile]]="SecondQuartile", 2,
 IF(Table13[[#This Row],[Previous Quartile]]="ThirdQuartile", 3,
 IF(Table13[[#This Row],[Previous Quartile]]="FourthQuartile", 4, ""))))</f>
        <v/>
      </c>
      <c r="I1794" s="15" t="s">
        <v>649</v>
      </c>
      <c r="J1794" s="15" t="s">
        <v>22</v>
      </c>
      <c r="K1794" s="7" t="str">
        <f>VLOOKUP(J1794,Introduction!$B$6:$C$14,2)</f>
        <v>North West</v>
      </c>
      <c r="L1794" s="17">
        <v>411</v>
      </c>
      <c r="M1794" s="18" t="s">
        <v>408</v>
      </c>
    </row>
    <row r="1795" spans="1:13" ht="19.95" customHeight="1" x14ac:dyDescent="0.25">
      <c r="A1795" s="42">
        <v>45292</v>
      </c>
      <c r="B1795" s="48">
        <f>MONTH(Table13[[#This Row],[YearMonth]])</f>
        <v>1</v>
      </c>
      <c r="C1795" s="15" t="s">
        <v>150</v>
      </c>
      <c r="D1795" s="16" t="s">
        <v>338</v>
      </c>
      <c r="E1795" s="16">
        <f>IF(Table13[[#This Row],[Quartile]]="TopQuartile", 1,
 IF(Table13[[#This Row],[Quartile]]="SecondQuartile", 2,
 IF(Table13[[#This Row],[Quartile]]="ThirdQuartile", 3,
 IF(Table13[[#This Row],[Quartile]]="FourthQuartile", 4, ""))))</f>
        <v>2</v>
      </c>
      <c r="F1795" s="15" t="s">
        <v>415</v>
      </c>
      <c r="G1795" s="15" t="str" cm="1">
        <f t="array" ref="G1795">IFERROR(
  INDEX(Table13[Quartile],
    MATCH(1,
      (Table13[[#This Row],[OrgName]]=Table13[OrgName]) *
      (Table13[[#This Row],[Month Number]]-1=Table13[Month Number]),
    0)
  ),
"")</f>
        <v/>
      </c>
      <c r="H1795" s="15" t="str">
        <f>IF(Table13[[#This Row],[Previous Quartile]]="TopQuartile", 1,
 IF(Table13[[#This Row],[Previous Quartile]]="SecondQuartile", 2,
 IF(Table13[[#This Row],[Previous Quartile]]="ThirdQuartile", 3,
 IF(Table13[[#This Row],[Previous Quartile]]="FourthQuartile", 4, ""))))</f>
        <v/>
      </c>
      <c r="I1795" s="15" t="s">
        <v>649</v>
      </c>
      <c r="J1795" s="15" t="s">
        <v>22</v>
      </c>
      <c r="K1795" s="7" t="str">
        <f>VLOOKUP(J1795,Introduction!$B$6:$C$14,2)</f>
        <v>North West</v>
      </c>
      <c r="L1795" s="17">
        <v>413</v>
      </c>
      <c r="M1795" s="18" t="s">
        <v>408</v>
      </c>
    </row>
    <row r="1796" spans="1:13" ht="19.95" customHeight="1" x14ac:dyDescent="0.25">
      <c r="A1796" s="42">
        <v>45292</v>
      </c>
      <c r="B1796" s="48">
        <f>MONTH(Table13[[#This Row],[YearMonth]])</f>
        <v>1</v>
      </c>
      <c r="C1796" s="15" t="s">
        <v>96</v>
      </c>
      <c r="D1796" s="16" t="s">
        <v>338</v>
      </c>
      <c r="E1796" s="16">
        <f>IF(Table13[[#This Row],[Quartile]]="TopQuartile", 1,
 IF(Table13[[#This Row],[Quartile]]="SecondQuartile", 2,
 IF(Table13[[#This Row],[Quartile]]="ThirdQuartile", 3,
 IF(Table13[[#This Row],[Quartile]]="FourthQuartile", 4, ""))))</f>
        <v>2</v>
      </c>
      <c r="F1796" s="15" t="s">
        <v>410</v>
      </c>
      <c r="G1796" s="15" t="str" cm="1">
        <f t="array" ref="G1796">IFERROR(
  INDEX(Table13[Quartile],
    MATCH(1,
      (Table13[[#This Row],[OrgName]]=Table13[OrgName]) *
      (Table13[[#This Row],[Month Number]]-1=Table13[Month Number]),
    0)
  ),
"")</f>
        <v/>
      </c>
      <c r="H1796" s="15" t="str">
        <f>IF(Table13[[#This Row],[Previous Quartile]]="TopQuartile", 1,
 IF(Table13[[#This Row],[Previous Quartile]]="SecondQuartile", 2,
 IF(Table13[[#This Row],[Previous Quartile]]="ThirdQuartile", 3,
 IF(Table13[[#This Row],[Previous Quartile]]="FourthQuartile", 4, ""))))</f>
        <v/>
      </c>
      <c r="I1796" s="15" t="s">
        <v>649</v>
      </c>
      <c r="J1796" s="15" t="s">
        <v>18</v>
      </c>
      <c r="K1796" s="7" t="str">
        <f>VLOOKUP(J1796,Introduction!$B$6:$C$14,2)</f>
        <v>Midlands</v>
      </c>
      <c r="L1796" s="17">
        <v>303</v>
      </c>
      <c r="M1796" s="18" t="s">
        <v>408</v>
      </c>
    </row>
    <row r="1797" spans="1:13" ht="19.95" customHeight="1" x14ac:dyDescent="0.25">
      <c r="A1797" s="42">
        <v>45292</v>
      </c>
      <c r="B1797" s="48">
        <f>MONTH(Table13[[#This Row],[YearMonth]])</f>
        <v>1</v>
      </c>
      <c r="C1797" s="15" t="s">
        <v>185</v>
      </c>
      <c r="D1797" s="16" t="s">
        <v>338</v>
      </c>
      <c r="E1797" s="16">
        <f>IF(Table13[[#This Row],[Quartile]]="TopQuartile", 1,
 IF(Table13[[#This Row],[Quartile]]="SecondQuartile", 2,
 IF(Table13[[#This Row],[Quartile]]="ThirdQuartile", 3,
 IF(Table13[[#This Row],[Quartile]]="FourthQuartile", 4, ""))))</f>
        <v>2</v>
      </c>
      <c r="F1797" s="15" t="s">
        <v>417</v>
      </c>
      <c r="G1797" s="15" t="str" cm="1">
        <f t="array" ref="G1797">IFERROR(
  INDEX(Table13[Quartile],
    MATCH(1,
      (Table13[[#This Row],[OrgName]]=Table13[OrgName]) *
      (Table13[[#This Row],[Month Number]]-1=Table13[Month Number]),
    0)
  ),
"")</f>
        <v/>
      </c>
      <c r="H1797" s="15" t="str">
        <f>IF(Table13[[#This Row],[Previous Quartile]]="TopQuartile", 1,
 IF(Table13[[#This Row],[Previous Quartile]]="SecondQuartile", 2,
 IF(Table13[[#This Row],[Previous Quartile]]="ThirdQuartile", 3,
 IF(Table13[[#This Row],[Previous Quartile]]="FourthQuartile", 4, ""))))</f>
        <v/>
      </c>
      <c r="I1797" s="15" t="s">
        <v>649</v>
      </c>
      <c r="J1797" s="15" t="s">
        <v>12</v>
      </c>
      <c r="K1797" s="7" t="str">
        <f>VLOOKUP(J1797,Introduction!$B$6:$C$14,2)</f>
        <v>London</v>
      </c>
      <c r="L1797" s="17">
        <v>273</v>
      </c>
      <c r="M1797" s="18" t="s">
        <v>408</v>
      </c>
    </row>
    <row r="1798" spans="1:13" ht="19.95" customHeight="1" x14ac:dyDescent="0.25">
      <c r="A1798" s="42">
        <v>45292</v>
      </c>
      <c r="B1798" s="48">
        <f>MONTH(Table13[[#This Row],[YearMonth]])</f>
        <v>1</v>
      </c>
      <c r="C1798" s="15" t="s">
        <v>191</v>
      </c>
      <c r="D1798" s="16" t="s">
        <v>341</v>
      </c>
      <c r="E1798" s="16">
        <f>IF(Table13[[#This Row],[Quartile]]="TopQuartile", 1,
 IF(Table13[[#This Row],[Quartile]]="SecondQuartile", 2,
 IF(Table13[[#This Row],[Quartile]]="ThirdQuartile", 3,
 IF(Table13[[#This Row],[Quartile]]="FourthQuartile", 4, ""))))</f>
        <v>3</v>
      </c>
      <c r="F1798" s="15" t="s">
        <v>418</v>
      </c>
      <c r="G1798" s="15" t="str" cm="1">
        <f t="array" ref="G1798">IFERROR(
  INDEX(Table13[Quartile],
    MATCH(1,
      (Table13[[#This Row],[OrgName]]=Table13[OrgName]) *
      (Table13[[#This Row],[Month Number]]-1=Table13[Month Number]),
    0)
  ),
"")</f>
        <v/>
      </c>
      <c r="H1798" s="15" t="str">
        <f>IF(Table13[[#This Row],[Previous Quartile]]="TopQuartile", 1,
 IF(Table13[[#This Row],[Previous Quartile]]="SecondQuartile", 2,
 IF(Table13[[#This Row],[Previous Quartile]]="ThirdQuartile", 3,
 IF(Table13[[#This Row],[Previous Quartile]]="FourthQuartile", 4, ""))))</f>
        <v/>
      </c>
      <c r="I1798" s="15" t="s">
        <v>649</v>
      </c>
      <c r="J1798" s="15" t="s">
        <v>22</v>
      </c>
      <c r="K1798" s="7" t="str">
        <f>VLOOKUP(J1798,Introduction!$B$6:$C$14,2)</f>
        <v>North West</v>
      </c>
      <c r="L1798" s="17">
        <v>159</v>
      </c>
      <c r="M1798" s="18" t="s">
        <v>408</v>
      </c>
    </row>
    <row r="1799" spans="1:13" ht="19.95" customHeight="1" x14ac:dyDescent="0.25">
      <c r="A1799" s="42">
        <v>45292</v>
      </c>
      <c r="B1799" s="48">
        <f>MONTH(Table13[[#This Row],[YearMonth]])</f>
        <v>1</v>
      </c>
      <c r="C1799" s="15" t="s">
        <v>184</v>
      </c>
      <c r="D1799" s="16" t="s">
        <v>341</v>
      </c>
      <c r="E1799" s="16">
        <f>IF(Table13[[#This Row],[Quartile]]="TopQuartile", 1,
 IF(Table13[[#This Row],[Quartile]]="SecondQuartile", 2,
 IF(Table13[[#This Row],[Quartile]]="ThirdQuartile", 3,
 IF(Table13[[#This Row],[Quartile]]="FourthQuartile", 4, ""))))</f>
        <v>3</v>
      </c>
      <c r="F1799" s="15" t="s">
        <v>416</v>
      </c>
      <c r="G1799" s="15" t="str" cm="1">
        <f t="array" ref="G1799">IFERROR(
  INDEX(Table13[Quartile],
    MATCH(1,
      (Table13[[#This Row],[OrgName]]=Table13[OrgName]) *
      (Table13[[#This Row],[Month Number]]-1=Table13[Month Number]),
    0)
  ),
"")</f>
        <v/>
      </c>
      <c r="H1799" s="15" t="str">
        <f>IF(Table13[[#This Row],[Previous Quartile]]="TopQuartile", 1,
 IF(Table13[[#This Row],[Previous Quartile]]="SecondQuartile", 2,
 IF(Table13[[#This Row],[Previous Quartile]]="ThirdQuartile", 3,
 IF(Table13[[#This Row],[Previous Quartile]]="FourthQuartile", 4, ""))))</f>
        <v/>
      </c>
      <c r="I1799" s="15" t="s">
        <v>649</v>
      </c>
      <c r="J1799" s="15" t="s">
        <v>12</v>
      </c>
      <c r="K1799" s="7" t="str">
        <f>VLOOKUP(J1799,Introduction!$B$6:$C$14,2)</f>
        <v>London</v>
      </c>
      <c r="L1799" s="17">
        <v>282</v>
      </c>
      <c r="M1799" s="18" t="s">
        <v>408</v>
      </c>
    </row>
    <row r="1800" spans="1:13" ht="19.95" customHeight="1" x14ac:dyDescent="0.25">
      <c r="A1800" s="42">
        <v>45292</v>
      </c>
      <c r="B1800" s="48">
        <f>MONTH(Table13[[#This Row],[YearMonth]])</f>
        <v>1</v>
      </c>
      <c r="C1800" s="15" t="s">
        <v>239</v>
      </c>
      <c r="D1800" s="16" t="s">
        <v>341</v>
      </c>
      <c r="E1800" s="16">
        <f>IF(Table13[[#This Row],[Quartile]]="TopQuartile", 1,
 IF(Table13[[#This Row],[Quartile]]="SecondQuartile", 2,
 IF(Table13[[#This Row],[Quartile]]="ThirdQuartile", 3,
 IF(Table13[[#This Row],[Quartile]]="FourthQuartile", 4, ""))))</f>
        <v>3</v>
      </c>
      <c r="F1800" s="15" t="s">
        <v>421</v>
      </c>
      <c r="G1800" s="15" t="str" cm="1">
        <f t="array" ref="G1800">IFERROR(
  INDEX(Table13[Quartile],
    MATCH(1,
      (Table13[[#This Row],[OrgName]]=Table13[OrgName]) *
      (Table13[[#This Row],[Month Number]]-1=Table13[Month Number]),
    0)
  ),
"")</f>
        <v/>
      </c>
      <c r="H1800" s="15" t="str">
        <f>IF(Table13[[#This Row],[Previous Quartile]]="TopQuartile", 1,
 IF(Table13[[#This Row],[Previous Quartile]]="SecondQuartile", 2,
 IF(Table13[[#This Row],[Previous Quartile]]="ThirdQuartile", 3,
 IF(Table13[[#This Row],[Previous Quartile]]="FourthQuartile", 4, ""))))</f>
        <v/>
      </c>
      <c r="I1800" s="15" t="s">
        <v>649</v>
      </c>
      <c r="J1800" s="15" t="s">
        <v>24</v>
      </c>
      <c r="K1800" s="7" t="str">
        <f>VLOOKUP(J1800,Introduction!$B$6:$C$14,2)</f>
        <v>North East and Yorkshire</v>
      </c>
      <c r="L1800" s="17">
        <v>425</v>
      </c>
      <c r="M1800" s="18" t="s">
        <v>408</v>
      </c>
    </row>
    <row r="1801" spans="1:13" ht="19.95" customHeight="1" x14ac:dyDescent="0.25">
      <c r="A1801" s="42">
        <v>45292</v>
      </c>
      <c r="B1801" s="48">
        <f>MONTH(Table13[[#This Row],[YearMonth]])</f>
        <v>1</v>
      </c>
      <c r="C1801" s="15" t="s">
        <v>229</v>
      </c>
      <c r="D1801" s="16" t="s">
        <v>350</v>
      </c>
      <c r="E1801" s="16">
        <f>IF(Table13[[#This Row],[Quartile]]="TopQuartile", 1,
 IF(Table13[[#This Row],[Quartile]]="SecondQuartile", 2,
 IF(Table13[[#This Row],[Quartile]]="ThirdQuartile", 3,
 IF(Table13[[#This Row],[Quartile]]="FourthQuartile", 4, ""))))</f>
        <v>4</v>
      </c>
      <c r="F1801" s="15" t="s">
        <v>420</v>
      </c>
      <c r="G1801" s="15" t="str" cm="1">
        <f t="array" ref="G1801">IFERROR(
  INDEX(Table13[Quartile],
    MATCH(1,
      (Table13[[#This Row],[OrgName]]=Table13[OrgName]) *
      (Table13[[#This Row],[Month Number]]-1=Table13[Month Number]),
    0)
  ),
"")</f>
        <v/>
      </c>
      <c r="H1801" s="15" t="str">
        <f>IF(Table13[[#This Row],[Previous Quartile]]="TopQuartile", 1,
 IF(Table13[[#This Row],[Previous Quartile]]="SecondQuartile", 2,
 IF(Table13[[#This Row],[Previous Quartile]]="ThirdQuartile", 3,
 IF(Table13[[#This Row],[Previous Quartile]]="FourthQuartile", 4, ""))))</f>
        <v/>
      </c>
      <c r="I1801" s="15" t="s">
        <v>649</v>
      </c>
      <c r="J1801" s="15" t="s">
        <v>18</v>
      </c>
      <c r="K1801" s="7" t="str">
        <f>VLOOKUP(J1801,Introduction!$B$6:$C$14,2)</f>
        <v>Midlands</v>
      </c>
      <c r="L1801" s="17">
        <v>284</v>
      </c>
      <c r="M1801" s="18" t="s">
        <v>408</v>
      </c>
    </row>
    <row r="1802" spans="1:13" ht="19.95" customHeight="1" x14ac:dyDescent="0.25">
      <c r="A1802" s="42">
        <v>45292</v>
      </c>
      <c r="B1802" s="48">
        <f>MONTH(Table13[[#This Row],[YearMonth]])</f>
        <v>1</v>
      </c>
      <c r="C1802" s="15" t="s">
        <v>273</v>
      </c>
      <c r="D1802" s="16" t="s">
        <v>350</v>
      </c>
      <c r="E1802" s="16">
        <f>IF(Table13[[#This Row],[Quartile]]="TopQuartile", 1,
 IF(Table13[[#This Row],[Quartile]]="SecondQuartile", 2,
 IF(Table13[[#This Row],[Quartile]]="ThirdQuartile", 3,
 IF(Table13[[#This Row],[Quartile]]="FourthQuartile", 4, ""))))</f>
        <v>4</v>
      </c>
      <c r="F1802" s="15" t="s">
        <v>422</v>
      </c>
      <c r="G1802" s="15" t="str" cm="1">
        <f t="array" ref="G1802">IFERROR(
  INDEX(Table13[Quartile],
    MATCH(1,
      (Table13[[#This Row],[OrgName]]=Table13[OrgName]) *
      (Table13[[#This Row],[Month Number]]-1=Table13[Month Number]),
    0)
  ),
"")</f>
        <v/>
      </c>
      <c r="H1802" s="15" t="str">
        <f>IF(Table13[[#This Row],[Previous Quartile]]="TopQuartile", 1,
 IF(Table13[[#This Row],[Previous Quartile]]="SecondQuartile", 2,
 IF(Table13[[#This Row],[Previous Quartile]]="ThirdQuartile", 3,
 IF(Table13[[#This Row],[Previous Quartile]]="FourthQuartile", 4, ""))))</f>
        <v/>
      </c>
      <c r="I1802" s="15" t="s">
        <v>649</v>
      </c>
      <c r="J1802" s="15" t="s">
        <v>12</v>
      </c>
      <c r="K1802" s="7" t="str">
        <f>VLOOKUP(J1802,Introduction!$B$6:$C$14,2)</f>
        <v>London</v>
      </c>
      <c r="L1802" s="17">
        <v>392</v>
      </c>
      <c r="M1802" s="18" t="s">
        <v>408</v>
      </c>
    </row>
    <row r="1803" spans="1:13" ht="19.95" customHeight="1" x14ac:dyDescent="0.25">
      <c r="A1803" s="42">
        <v>45292</v>
      </c>
      <c r="B1803" s="48">
        <f>MONTH(Table13[[#This Row],[YearMonth]])</f>
        <v>1</v>
      </c>
      <c r="C1803" s="15" t="s">
        <v>296</v>
      </c>
      <c r="D1803" s="16" t="s">
        <v>350</v>
      </c>
      <c r="E1803" s="16">
        <f>IF(Table13[[#This Row],[Quartile]]="TopQuartile", 1,
 IF(Table13[[#This Row],[Quartile]]="SecondQuartile", 2,
 IF(Table13[[#This Row],[Quartile]]="ThirdQuartile", 3,
 IF(Table13[[#This Row],[Quartile]]="FourthQuartile", 4, ""))))</f>
        <v>4</v>
      </c>
      <c r="F1803" s="15" t="s">
        <v>423</v>
      </c>
      <c r="G1803" s="15" t="str" cm="1">
        <f t="array" ref="G1803">IFERROR(
  INDEX(Table13[Quartile],
    MATCH(1,
      (Table13[[#This Row],[OrgName]]=Table13[OrgName]) *
      (Table13[[#This Row],[Month Number]]-1=Table13[Month Number]),
    0)
  ),
"")</f>
        <v/>
      </c>
      <c r="H1803" s="15" t="str">
        <f>IF(Table13[[#This Row],[Previous Quartile]]="TopQuartile", 1,
 IF(Table13[[#This Row],[Previous Quartile]]="SecondQuartile", 2,
 IF(Table13[[#This Row],[Previous Quartile]]="ThirdQuartile", 3,
 IF(Table13[[#This Row],[Previous Quartile]]="FourthQuartile", 4, ""))))</f>
        <v/>
      </c>
      <c r="I1803" s="15" t="s">
        <v>649</v>
      </c>
      <c r="J1803" s="15" t="s">
        <v>22</v>
      </c>
      <c r="K1803" s="7" t="str">
        <f>VLOOKUP(J1803,Introduction!$B$6:$C$14,2)</f>
        <v>North West</v>
      </c>
      <c r="L1803" s="17">
        <v>410</v>
      </c>
      <c r="M1803" s="18" t="s">
        <v>408</v>
      </c>
    </row>
    <row r="1804" spans="1:13" ht="19.95" customHeight="1" x14ac:dyDescent="0.25">
      <c r="A1804" s="42">
        <v>45292</v>
      </c>
      <c r="B1804" s="48">
        <f>MONTH(Table13[[#This Row],[YearMonth]])</f>
        <v>1</v>
      </c>
      <c r="C1804" s="15" t="s">
        <v>207</v>
      </c>
      <c r="D1804" s="16" t="s">
        <v>330</v>
      </c>
      <c r="E1804" s="16">
        <f>IF(Table13[[#This Row],[Quartile]]="TopQuartile", 1,
 IF(Table13[[#This Row],[Quartile]]="SecondQuartile", 2,
 IF(Table13[[#This Row],[Quartile]]="ThirdQuartile", 3,
 IF(Table13[[#This Row],[Quartile]]="FourthQuartile", 4, ""))))</f>
        <v>1</v>
      </c>
      <c r="F1804" s="15" t="s">
        <v>455</v>
      </c>
      <c r="G1804" s="15" t="str" cm="1">
        <f t="array" ref="G1804">IFERROR(
  INDEX(Table13[Quartile],
    MATCH(1,
      (Table13[[#This Row],[OrgName]]=Table13[OrgName]) *
      (Table13[[#This Row],[Month Number]]-1=Table13[Month Number]),
    0)
  ),
"")</f>
        <v/>
      </c>
      <c r="H1804" s="15" t="str">
        <f>IF(Table13[[#This Row],[Previous Quartile]]="TopQuartile", 1,
 IF(Table13[[#This Row],[Previous Quartile]]="SecondQuartile", 2,
 IF(Table13[[#This Row],[Previous Quartile]]="ThirdQuartile", 3,
 IF(Table13[[#This Row],[Previous Quartile]]="FourthQuartile", 4, ""))))</f>
        <v/>
      </c>
      <c r="I1804" s="15" t="s">
        <v>649</v>
      </c>
      <c r="J1804" s="15" t="s">
        <v>20</v>
      </c>
      <c r="K1804" s="7" t="str">
        <f>VLOOKUP(J1804,Introduction!$B$6:$C$14,2)</f>
        <v>East of England</v>
      </c>
      <c r="L1804" s="17">
        <v>177</v>
      </c>
      <c r="M1804" s="18" t="s">
        <v>425</v>
      </c>
    </row>
    <row r="1805" spans="1:13" ht="19.95" customHeight="1" x14ac:dyDescent="0.25">
      <c r="A1805" s="42">
        <v>45292</v>
      </c>
      <c r="B1805" s="48">
        <f>MONTH(Table13[[#This Row],[YearMonth]])</f>
        <v>1</v>
      </c>
      <c r="C1805" s="15" t="s">
        <v>88</v>
      </c>
      <c r="D1805" s="16" t="s">
        <v>330</v>
      </c>
      <c r="E1805" s="16">
        <f>IF(Table13[[#This Row],[Quartile]]="TopQuartile", 1,
 IF(Table13[[#This Row],[Quartile]]="SecondQuartile", 2,
 IF(Table13[[#This Row],[Quartile]]="ThirdQuartile", 3,
 IF(Table13[[#This Row],[Quartile]]="FourthQuartile", 4, ""))))</f>
        <v>1</v>
      </c>
      <c r="F1805" s="15" t="s">
        <v>428</v>
      </c>
      <c r="G1805" s="15" t="str" cm="1">
        <f t="array" ref="G1805">IFERROR(
  INDEX(Table13[Quartile],
    MATCH(1,
      (Table13[[#This Row],[OrgName]]=Table13[OrgName]) *
      (Table13[[#This Row],[Month Number]]-1=Table13[Month Number]),
    0)
  ),
"")</f>
        <v/>
      </c>
      <c r="H1805" s="15" t="str">
        <f>IF(Table13[[#This Row],[Previous Quartile]]="TopQuartile", 1,
 IF(Table13[[#This Row],[Previous Quartile]]="SecondQuartile", 2,
 IF(Table13[[#This Row],[Previous Quartile]]="ThirdQuartile", 3,
 IF(Table13[[#This Row],[Previous Quartile]]="FourthQuartile", 4, ""))))</f>
        <v/>
      </c>
      <c r="I1805" s="15" t="s">
        <v>649</v>
      </c>
      <c r="J1805" s="15" t="s">
        <v>22</v>
      </c>
      <c r="K1805" s="7" t="str">
        <f>VLOOKUP(J1805,Introduction!$B$6:$C$14,2)</f>
        <v>North West</v>
      </c>
      <c r="L1805" s="17">
        <v>408</v>
      </c>
      <c r="M1805" s="18" t="s">
        <v>425</v>
      </c>
    </row>
    <row r="1806" spans="1:13" ht="19.95" customHeight="1" x14ac:dyDescent="0.25">
      <c r="A1806" s="42">
        <v>45292</v>
      </c>
      <c r="B1806" s="48">
        <f>MONTH(Table13[[#This Row],[YearMonth]])</f>
        <v>1</v>
      </c>
      <c r="C1806" s="15" t="s">
        <v>140</v>
      </c>
      <c r="D1806" s="16" t="s">
        <v>330</v>
      </c>
      <c r="E1806" s="16">
        <f>IF(Table13[[#This Row],[Quartile]]="TopQuartile", 1,
 IF(Table13[[#This Row],[Quartile]]="SecondQuartile", 2,
 IF(Table13[[#This Row],[Quartile]]="ThirdQuartile", 3,
 IF(Table13[[#This Row],[Quartile]]="FourthQuartile", 4, ""))))</f>
        <v>1</v>
      </c>
      <c r="F1806" s="15" t="s">
        <v>434</v>
      </c>
      <c r="G1806" s="15" t="str" cm="1">
        <f t="array" ref="G1806">IFERROR(
  INDEX(Table13[Quartile],
    MATCH(1,
      (Table13[[#This Row],[OrgName]]=Table13[OrgName]) *
      (Table13[[#This Row],[Month Number]]-1=Table13[Month Number]),
    0)
  ),
"")</f>
        <v/>
      </c>
      <c r="H1806" s="15" t="str">
        <f>IF(Table13[[#This Row],[Previous Quartile]]="TopQuartile", 1,
 IF(Table13[[#This Row],[Previous Quartile]]="SecondQuartile", 2,
 IF(Table13[[#This Row],[Previous Quartile]]="ThirdQuartile", 3,
 IF(Table13[[#This Row],[Previous Quartile]]="FourthQuartile", 4, ""))))</f>
        <v/>
      </c>
      <c r="I1806" s="15" t="s">
        <v>649</v>
      </c>
      <c r="J1806" s="15" t="s">
        <v>18</v>
      </c>
      <c r="K1806" s="7" t="str">
        <f>VLOOKUP(J1806,Introduction!$B$6:$C$14,2)</f>
        <v>Midlands</v>
      </c>
      <c r="L1806" s="17">
        <v>203</v>
      </c>
      <c r="M1806" s="18" t="s">
        <v>425</v>
      </c>
    </row>
    <row r="1807" spans="1:13" ht="19.95" customHeight="1" x14ac:dyDescent="0.25">
      <c r="A1807" s="42">
        <v>45292</v>
      </c>
      <c r="B1807" s="48">
        <f>MONTH(Table13[[#This Row],[YearMonth]])</f>
        <v>1</v>
      </c>
      <c r="C1807" s="15" t="s">
        <v>94</v>
      </c>
      <c r="D1807" s="16" t="s">
        <v>330</v>
      </c>
      <c r="E1807" s="16">
        <f>IF(Table13[[#This Row],[Quartile]]="TopQuartile", 1,
 IF(Table13[[#This Row],[Quartile]]="SecondQuartile", 2,
 IF(Table13[[#This Row],[Quartile]]="ThirdQuartile", 3,
 IF(Table13[[#This Row],[Quartile]]="FourthQuartile", 4, ""))))</f>
        <v>1</v>
      </c>
      <c r="F1807" s="15" t="s">
        <v>429</v>
      </c>
      <c r="G1807" s="15" t="str" cm="1">
        <f t="array" ref="G1807">IFERROR(
  INDEX(Table13[Quartile],
    MATCH(1,
      (Table13[[#This Row],[OrgName]]=Table13[OrgName]) *
      (Table13[[#This Row],[Month Number]]-1=Table13[Month Number]),
    0)
  ),
"")</f>
        <v/>
      </c>
      <c r="H1807" s="15" t="str">
        <f>IF(Table13[[#This Row],[Previous Quartile]]="TopQuartile", 1,
 IF(Table13[[#This Row],[Previous Quartile]]="SecondQuartile", 2,
 IF(Table13[[#This Row],[Previous Quartile]]="ThirdQuartile", 3,
 IF(Table13[[#This Row],[Previous Quartile]]="FourthQuartile", 4, ""))))</f>
        <v/>
      </c>
      <c r="I1807" s="15" t="s">
        <v>649</v>
      </c>
      <c r="J1807" s="15" t="s">
        <v>22</v>
      </c>
      <c r="K1807" s="7" t="str">
        <f>VLOOKUP(J1807,Introduction!$B$6:$C$14,2)</f>
        <v>North West</v>
      </c>
      <c r="L1807" s="17">
        <v>438</v>
      </c>
      <c r="M1807" s="18" t="s">
        <v>425</v>
      </c>
    </row>
    <row r="1808" spans="1:13" ht="19.95" customHeight="1" x14ac:dyDescent="0.25">
      <c r="A1808" s="42">
        <v>45292</v>
      </c>
      <c r="B1808" s="48">
        <f>MONTH(Table13[[#This Row],[YearMonth]])</f>
        <v>1</v>
      </c>
      <c r="C1808" s="15" t="s">
        <v>41</v>
      </c>
      <c r="D1808" s="16" t="s">
        <v>330</v>
      </c>
      <c r="E1808" s="16">
        <f>IF(Table13[[#This Row],[Quartile]]="TopQuartile", 1,
 IF(Table13[[#This Row],[Quartile]]="SecondQuartile", 2,
 IF(Table13[[#This Row],[Quartile]]="ThirdQuartile", 3,
 IF(Table13[[#This Row],[Quartile]]="FourthQuartile", 4, ""))))</f>
        <v>1</v>
      </c>
      <c r="F1808" s="15" t="s">
        <v>424</v>
      </c>
      <c r="G1808" s="15" t="str" cm="1">
        <f t="array" ref="G1808">IFERROR(
  INDEX(Table13[Quartile],
    MATCH(1,
      (Table13[[#This Row],[OrgName]]=Table13[OrgName]) *
      (Table13[[#This Row],[Month Number]]-1=Table13[Month Number]),
    0)
  ),
"")</f>
        <v/>
      </c>
      <c r="H1808" s="15" t="str">
        <f>IF(Table13[[#This Row],[Previous Quartile]]="TopQuartile", 1,
 IF(Table13[[#This Row],[Previous Quartile]]="SecondQuartile", 2,
 IF(Table13[[#This Row],[Previous Quartile]]="ThirdQuartile", 3,
 IF(Table13[[#This Row],[Previous Quartile]]="FourthQuartile", 4, ""))))</f>
        <v/>
      </c>
      <c r="I1808" s="15" t="s">
        <v>649</v>
      </c>
      <c r="J1808" s="15" t="s">
        <v>24</v>
      </c>
      <c r="K1808" s="7" t="str">
        <f>VLOOKUP(J1808,Introduction!$B$6:$C$14,2)</f>
        <v>North East and Yorkshire</v>
      </c>
      <c r="L1808" s="17">
        <v>389</v>
      </c>
      <c r="M1808" s="18" t="s">
        <v>425</v>
      </c>
    </row>
    <row r="1809" spans="1:13" ht="19.95" customHeight="1" x14ac:dyDescent="0.25">
      <c r="A1809" s="42">
        <v>45292</v>
      </c>
      <c r="B1809" s="48">
        <f>MONTH(Table13[[#This Row],[YearMonth]])</f>
        <v>1</v>
      </c>
      <c r="C1809" s="15" t="s">
        <v>69</v>
      </c>
      <c r="D1809" s="16" t="s">
        <v>330</v>
      </c>
      <c r="E1809" s="16">
        <f>IF(Table13[[#This Row],[Quartile]]="TopQuartile", 1,
 IF(Table13[[#This Row],[Quartile]]="SecondQuartile", 2,
 IF(Table13[[#This Row],[Quartile]]="ThirdQuartile", 3,
 IF(Table13[[#This Row],[Quartile]]="FourthQuartile", 4, ""))))</f>
        <v>1</v>
      </c>
      <c r="F1809" s="15" t="s">
        <v>426</v>
      </c>
      <c r="G1809" s="15" t="str" cm="1">
        <f t="array" ref="G1809">IFERROR(
  INDEX(Table13[Quartile],
    MATCH(1,
      (Table13[[#This Row],[OrgName]]=Table13[OrgName]) *
      (Table13[[#This Row],[Month Number]]-1=Table13[Month Number]),
    0)
  ),
"")</f>
        <v/>
      </c>
      <c r="H1809" s="15" t="str">
        <f>IF(Table13[[#This Row],[Previous Quartile]]="TopQuartile", 1,
 IF(Table13[[#This Row],[Previous Quartile]]="SecondQuartile", 2,
 IF(Table13[[#This Row],[Previous Quartile]]="ThirdQuartile", 3,
 IF(Table13[[#This Row],[Previous Quartile]]="FourthQuartile", 4, ""))))</f>
        <v/>
      </c>
      <c r="I1809" s="15" t="s">
        <v>649</v>
      </c>
      <c r="J1809" s="15" t="s">
        <v>18</v>
      </c>
      <c r="K1809" s="7" t="str">
        <f>VLOOKUP(J1809,Introduction!$B$6:$C$14,2)</f>
        <v>Midlands</v>
      </c>
      <c r="L1809" s="17">
        <v>320</v>
      </c>
      <c r="M1809" s="18" t="s">
        <v>425</v>
      </c>
    </row>
    <row r="1810" spans="1:13" ht="19.95" customHeight="1" x14ac:dyDescent="0.25">
      <c r="A1810" s="42">
        <v>45292</v>
      </c>
      <c r="B1810" s="48">
        <f>MONTH(Table13[[#This Row],[YearMonth]])</f>
        <v>1</v>
      </c>
      <c r="C1810" s="15" t="s">
        <v>103</v>
      </c>
      <c r="D1810" s="16" t="s">
        <v>330</v>
      </c>
      <c r="E1810" s="16">
        <f>IF(Table13[[#This Row],[Quartile]]="TopQuartile", 1,
 IF(Table13[[#This Row],[Quartile]]="SecondQuartile", 2,
 IF(Table13[[#This Row],[Quartile]]="ThirdQuartile", 3,
 IF(Table13[[#This Row],[Quartile]]="FourthQuartile", 4, ""))))</f>
        <v>1</v>
      </c>
      <c r="F1810" s="15" t="s">
        <v>431</v>
      </c>
      <c r="G1810" s="15" t="str" cm="1">
        <f t="array" ref="G1810">IFERROR(
  INDEX(Table13[Quartile],
    MATCH(1,
      (Table13[[#This Row],[OrgName]]=Table13[OrgName]) *
      (Table13[[#This Row],[Month Number]]-1=Table13[Month Number]),
    0)
  ),
"")</f>
        <v/>
      </c>
      <c r="H1810" s="15" t="str">
        <f>IF(Table13[[#This Row],[Previous Quartile]]="TopQuartile", 1,
 IF(Table13[[#This Row],[Previous Quartile]]="SecondQuartile", 2,
 IF(Table13[[#This Row],[Previous Quartile]]="ThirdQuartile", 3,
 IF(Table13[[#This Row],[Previous Quartile]]="FourthQuartile", 4, ""))))</f>
        <v/>
      </c>
      <c r="I1810" s="15" t="s">
        <v>649</v>
      </c>
      <c r="J1810" s="15" t="s">
        <v>16</v>
      </c>
      <c r="K1810" s="7" t="str">
        <f>VLOOKUP(J1810,Introduction!$B$6:$C$14,2)</f>
        <v>South East</v>
      </c>
      <c r="L1810" s="17">
        <v>188</v>
      </c>
      <c r="M1810" s="18" t="s">
        <v>425</v>
      </c>
    </row>
    <row r="1811" spans="1:13" ht="19.95" customHeight="1" x14ac:dyDescent="0.25">
      <c r="A1811" s="42">
        <v>45292</v>
      </c>
      <c r="B1811" s="48">
        <f>MONTH(Table13[[#This Row],[YearMonth]])</f>
        <v>1</v>
      </c>
      <c r="C1811" s="15" t="s">
        <v>144</v>
      </c>
      <c r="D1811" s="16" t="s">
        <v>330</v>
      </c>
      <c r="E1811" s="16">
        <f>IF(Table13[[#This Row],[Quartile]]="TopQuartile", 1,
 IF(Table13[[#This Row],[Quartile]]="SecondQuartile", 2,
 IF(Table13[[#This Row],[Quartile]]="ThirdQuartile", 3,
 IF(Table13[[#This Row],[Quartile]]="FourthQuartile", 4, ""))))</f>
        <v>1</v>
      </c>
      <c r="F1811" s="15" t="s">
        <v>436</v>
      </c>
      <c r="G1811" s="15" t="str" cm="1">
        <f t="array" ref="G1811">IFERROR(
  INDEX(Table13[Quartile],
    MATCH(1,
      (Table13[[#This Row],[OrgName]]=Table13[OrgName]) *
      (Table13[[#This Row],[Month Number]]-1=Table13[Month Number]),
    0)
  ),
"")</f>
        <v/>
      </c>
      <c r="H1811" s="15" t="str">
        <f>IF(Table13[[#This Row],[Previous Quartile]]="TopQuartile", 1,
 IF(Table13[[#This Row],[Previous Quartile]]="SecondQuartile", 2,
 IF(Table13[[#This Row],[Previous Quartile]]="ThirdQuartile", 3,
 IF(Table13[[#This Row],[Previous Quartile]]="FourthQuartile", 4, ""))))</f>
        <v/>
      </c>
      <c r="I1811" s="15" t="s">
        <v>649</v>
      </c>
      <c r="J1811" s="15" t="s">
        <v>24</v>
      </c>
      <c r="K1811" s="7" t="str">
        <f>VLOOKUP(J1811,Introduction!$B$6:$C$14,2)</f>
        <v>North East and Yorkshire</v>
      </c>
      <c r="L1811" s="17">
        <v>190</v>
      </c>
      <c r="M1811" s="18" t="s">
        <v>425</v>
      </c>
    </row>
    <row r="1812" spans="1:13" ht="19.95" customHeight="1" x14ac:dyDescent="0.25">
      <c r="A1812" s="42">
        <v>45292</v>
      </c>
      <c r="B1812" s="48">
        <f>MONTH(Table13[[#This Row],[YearMonth]])</f>
        <v>1</v>
      </c>
      <c r="C1812" s="15" t="s">
        <v>128</v>
      </c>
      <c r="D1812" s="16" t="s">
        <v>338</v>
      </c>
      <c r="E1812" s="16">
        <f>IF(Table13[[#This Row],[Quartile]]="TopQuartile", 1,
 IF(Table13[[#This Row],[Quartile]]="SecondQuartile", 2,
 IF(Table13[[#This Row],[Quartile]]="ThirdQuartile", 3,
 IF(Table13[[#This Row],[Quartile]]="FourthQuartile", 4, ""))))</f>
        <v>2</v>
      </c>
      <c r="F1812" s="15" t="s">
        <v>433</v>
      </c>
      <c r="G1812" s="15" t="str" cm="1">
        <f t="array" ref="G1812">IFERROR(
  INDEX(Table13[Quartile],
    MATCH(1,
      (Table13[[#This Row],[OrgName]]=Table13[OrgName]) *
      (Table13[[#This Row],[Month Number]]-1=Table13[Month Number]),
    0)
  ),
"")</f>
        <v/>
      </c>
      <c r="H1812" s="15" t="str">
        <f>IF(Table13[[#This Row],[Previous Quartile]]="TopQuartile", 1,
 IF(Table13[[#This Row],[Previous Quartile]]="SecondQuartile", 2,
 IF(Table13[[#This Row],[Previous Quartile]]="ThirdQuartile", 3,
 IF(Table13[[#This Row],[Previous Quartile]]="FourthQuartile", 4, ""))))</f>
        <v/>
      </c>
      <c r="I1812" s="15" t="s">
        <v>649</v>
      </c>
      <c r="J1812" s="15" t="s">
        <v>12</v>
      </c>
      <c r="K1812" s="7" t="str">
        <f>VLOOKUP(J1812,Introduction!$B$6:$C$14,2)</f>
        <v>London</v>
      </c>
      <c r="L1812" s="17">
        <v>162</v>
      </c>
      <c r="M1812" s="18" t="s">
        <v>425</v>
      </c>
    </row>
    <row r="1813" spans="1:13" ht="19.95" customHeight="1" x14ac:dyDescent="0.25">
      <c r="A1813" s="42">
        <v>45292</v>
      </c>
      <c r="B1813" s="48">
        <f>MONTH(Table13[[#This Row],[YearMonth]])</f>
        <v>1</v>
      </c>
      <c r="C1813" s="15" t="s">
        <v>82</v>
      </c>
      <c r="D1813" s="16" t="s">
        <v>338</v>
      </c>
      <c r="E1813" s="16">
        <f>IF(Table13[[#This Row],[Quartile]]="TopQuartile", 1,
 IF(Table13[[#This Row],[Quartile]]="SecondQuartile", 2,
 IF(Table13[[#This Row],[Quartile]]="ThirdQuartile", 3,
 IF(Table13[[#This Row],[Quartile]]="FourthQuartile", 4, ""))))</f>
        <v>2</v>
      </c>
      <c r="F1813" s="15" t="s">
        <v>427</v>
      </c>
      <c r="G1813" s="15" t="str" cm="1">
        <f t="array" ref="G1813">IFERROR(
  INDEX(Table13[Quartile],
    MATCH(1,
      (Table13[[#This Row],[OrgName]]=Table13[OrgName]) *
      (Table13[[#This Row],[Month Number]]-1=Table13[Month Number]),
    0)
  ),
"")</f>
        <v/>
      </c>
      <c r="H1813" s="15" t="str">
        <f>IF(Table13[[#This Row],[Previous Quartile]]="TopQuartile", 1,
 IF(Table13[[#This Row],[Previous Quartile]]="SecondQuartile", 2,
 IF(Table13[[#This Row],[Previous Quartile]]="ThirdQuartile", 3,
 IF(Table13[[#This Row],[Previous Quartile]]="FourthQuartile", 4, ""))))</f>
        <v/>
      </c>
      <c r="I1813" s="15" t="s">
        <v>649</v>
      </c>
      <c r="J1813" s="15" t="s">
        <v>20</v>
      </c>
      <c r="K1813" s="7" t="str">
        <f>VLOOKUP(J1813,Introduction!$B$6:$C$14,2)</f>
        <v>East of England</v>
      </c>
      <c r="L1813" s="17">
        <v>180</v>
      </c>
      <c r="M1813" s="18" t="s">
        <v>425</v>
      </c>
    </row>
    <row r="1814" spans="1:13" ht="19.95" customHeight="1" x14ac:dyDescent="0.25">
      <c r="A1814" s="42">
        <v>45292</v>
      </c>
      <c r="B1814" s="48">
        <f>MONTH(Table13[[#This Row],[YearMonth]])</f>
        <v>1</v>
      </c>
      <c r="C1814" s="15" t="s">
        <v>147</v>
      </c>
      <c r="D1814" s="16" t="s">
        <v>338</v>
      </c>
      <c r="E1814" s="16">
        <f>IF(Table13[[#This Row],[Quartile]]="TopQuartile", 1,
 IF(Table13[[#This Row],[Quartile]]="SecondQuartile", 2,
 IF(Table13[[#This Row],[Quartile]]="ThirdQuartile", 3,
 IF(Table13[[#This Row],[Quartile]]="FourthQuartile", 4, ""))))</f>
        <v>2</v>
      </c>
      <c r="F1814" s="15" t="s">
        <v>437</v>
      </c>
      <c r="G1814" s="15" t="str" cm="1">
        <f t="array" ref="G1814">IFERROR(
  INDEX(Table13[Quartile],
    MATCH(1,
      (Table13[[#This Row],[OrgName]]=Table13[OrgName]) *
      (Table13[[#This Row],[Month Number]]-1=Table13[Month Number]),
    0)
  ),
"")</f>
        <v/>
      </c>
      <c r="H1814" s="15" t="str">
        <f>IF(Table13[[#This Row],[Previous Quartile]]="TopQuartile", 1,
 IF(Table13[[#This Row],[Previous Quartile]]="SecondQuartile", 2,
 IF(Table13[[#This Row],[Previous Quartile]]="ThirdQuartile", 3,
 IF(Table13[[#This Row],[Previous Quartile]]="FourthQuartile", 4, ""))))</f>
        <v/>
      </c>
      <c r="I1814" s="15" t="s">
        <v>649</v>
      </c>
      <c r="J1814" s="15" t="s">
        <v>22</v>
      </c>
      <c r="K1814" s="7" t="str">
        <f>VLOOKUP(J1814,Introduction!$B$6:$C$14,2)</f>
        <v>North West</v>
      </c>
      <c r="L1814" s="17">
        <v>331</v>
      </c>
      <c r="M1814" s="18" t="s">
        <v>425</v>
      </c>
    </row>
    <row r="1815" spans="1:13" ht="19.95" customHeight="1" x14ac:dyDescent="0.25">
      <c r="A1815" s="42">
        <v>45292</v>
      </c>
      <c r="B1815" s="48">
        <f>MONTH(Table13[[#This Row],[YearMonth]])</f>
        <v>1</v>
      </c>
      <c r="C1815" s="15" t="s">
        <v>119</v>
      </c>
      <c r="D1815" s="16" t="s">
        <v>338</v>
      </c>
      <c r="E1815" s="16">
        <f>IF(Table13[[#This Row],[Quartile]]="TopQuartile", 1,
 IF(Table13[[#This Row],[Quartile]]="SecondQuartile", 2,
 IF(Table13[[#This Row],[Quartile]]="ThirdQuartile", 3,
 IF(Table13[[#This Row],[Quartile]]="FourthQuartile", 4, ""))))</f>
        <v>2</v>
      </c>
      <c r="F1815" s="15" t="s">
        <v>432</v>
      </c>
      <c r="G1815" s="15" t="str" cm="1">
        <f t="array" ref="G1815">IFERROR(
  INDEX(Table13[Quartile],
    MATCH(1,
      (Table13[[#This Row],[OrgName]]=Table13[OrgName]) *
      (Table13[[#This Row],[Month Number]]-1=Table13[Month Number]),
    0)
  ),
"")</f>
        <v/>
      </c>
      <c r="H1815" s="15" t="str">
        <f>IF(Table13[[#This Row],[Previous Quartile]]="TopQuartile", 1,
 IF(Table13[[#This Row],[Previous Quartile]]="SecondQuartile", 2,
 IF(Table13[[#This Row],[Previous Quartile]]="ThirdQuartile", 3,
 IF(Table13[[#This Row],[Previous Quartile]]="FourthQuartile", 4, ""))))</f>
        <v/>
      </c>
      <c r="I1815" s="15" t="s">
        <v>649</v>
      </c>
      <c r="J1815" s="15" t="s">
        <v>22</v>
      </c>
      <c r="K1815" s="7" t="str">
        <f>VLOOKUP(J1815,Introduction!$B$6:$C$14,2)</f>
        <v>North West</v>
      </c>
      <c r="L1815" s="17">
        <v>236</v>
      </c>
      <c r="M1815" s="18" t="s">
        <v>425</v>
      </c>
    </row>
    <row r="1816" spans="1:13" ht="19.95" customHeight="1" x14ac:dyDescent="0.25">
      <c r="A1816" s="42">
        <v>45292</v>
      </c>
      <c r="B1816" s="48">
        <f>MONTH(Table13[[#This Row],[YearMonth]])</f>
        <v>1</v>
      </c>
      <c r="C1816" s="15" t="s">
        <v>149</v>
      </c>
      <c r="D1816" s="16" t="s">
        <v>338</v>
      </c>
      <c r="E1816" s="16">
        <f>IF(Table13[[#This Row],[Quartile]]="TopQuartile", 1,
 IF(Table13[[#This Row],[Quartile]]="SecondQuartile", 2,
 IF(Table13[[#This Row],[Quartile]]="ThirdQuartile", 3,
 IF(Table13[[#This Row],[Quartile]]="FourthQuartile", 4, ""))))</f>
        <v>2</v>
      </c>
      <c r="F1816" s="15" t="s">
        <v>438</v>
      </c>
      <c r="G1816" s="15" t="str" cm="1">
        <f t="array" ref="G1816">IFERROR(
  INDEX(Table13[Quartile],
    MATCH(1,
      (Table13[[#This Row],[OrgName]]=Table13[OrgName]) *
      (Table13[[#This Row],[Month Number]]-1=Table13[Month Number]),
    0)
  ),
"")</f>
        <v/>
      </c>
      <c r="H1816" s="15" t="str">
        <f>IF(Table13[[#This Row],[Previous Quartile]]="TopQuartile", 1,
 IF(Table13[[#This Row],[Previous Quartile]]="SecondQuartile", 2,
 IF(Table13[[#This Row],[Previous Quartile]]="ThirdQuartile", 3,
 IF(Table13[[#This Row],[Previous Quartile]]="FourthQuartile", 4, ""))))</f>
        <v/>
      </c>
      <c r="I1816" s="15" t="s">
        <v>649</v>
      </c>
      <c r="J1816" s="15" t="s">
        <v>16</v>
      </c>
      <c r="K1816" s="7" t="str">
        <f>VLOOKUP(J1816,Introduction!$B$6:$C$14,2)</f>
        <v>South East</v>
      </c>
      <c r="L1816" s="17">
        <v>279</v>
      </c>
      <c r="M1816" s="18" t="s">
        <v>425</v>
      </c>
    </row>
    <row r="1817" spans="1:13" ht="19.95" customHeight="1" x14ac:dyDescent="0.25">
      <c r="A1817" s="42">
        <v>45292</v>
      </c>
      <c r="B1817" s="48">
        <f>MONTH(Table13[[#This Row],[YearMonth]])</f>
        <v>1</v>
      </c>
      <c r="C1817" s="15" t="s">
        <v>157</v>
      </c>
      <c r="D1817" s="16" t="s">
        <v>338</v>
      </c>
      <c r="E1817" s="16">
        <f>IF(Table13[[#This Row],[Quartile]]="TopQuartile", 1,
 IF(Table13[[#This Row],[Quartile]]="SecondQuartile", 2,
 IF(Table13[[#This Row],[Quartile]]="ThirdQuartile", 3,
 IF(Table13[[#This Row],[Quartile]]="FourthQuartile", 4, ""))))</f>
        <v>2</v>
      </c>
      <c r="F1817" s="15" t="s">
        <v>440</v>
      </c>
      <c r="G1817" s="15" t="str" cm="1">
        <f t="array" ref="G1817">IFERROR(
  INDEX(Table13[Quartile],
    MATCH(1,
      (Table13[[#This Row],[OrgName]]=Table13[OrgName]) *
      (Table13[[#This Row],[Month Number]]-1=Table13[Month Number]),
    0)
  ),
"")</f>
        <v/>
      </c>
      <c r="H1817" s="15" t="str">
        <f>IF(Table13[[#This Row],[Previous Quartile]]="TopQuartile", 1,
 IF(Table13[[#This Row],[Previous Quartile]]="SecondQuartile", 2,
 IF(Table13[[#This Row],[Previous Quartile]]="ThirdQuartile", 3,
 IF(Table13[[#This Row],[Previous Quartile]]="FourthQuartile", 4, ""))))</f>
        <v/>
      </c>
      <c r="I1817" s="15" t="s">
        <v>649</v>
      </c>
      <c r="J1817" s="15" t="s">
        <v>12</v>
      </c>
      <c r="K1817" s="7" t="str">
        <f>VLOOKUP(J1817,Introduction!$B$6:$C$14,2)</f>
        <v>London</v>
      </c>
      <c r="L1817" s="17">
        <v>391</v>
      </c>
      <c r="M1817" s="18" t="s">
        <v>425</v>
      </c>
    </row>
    <row r="1818" spans="1:13" ht="19.95" customHeight="1" x14ac:dyDescent="0.25">
      <c r="A1818" s="42">
        <v>45292</v>
      </c>
      <c r="B1818" s="48">
        <f>MONTH(Table13[[#This Row],[YearMonth]])</f>
        <v>1</v>
      </c>
      <c r="C1818" s="15" t="s">
        <v>153</v>
      </c>
      <c r="D1818" s="16" t="s">
        <v>338</v>
      </c>
      <c r="E1818" s="16">
        <f>IF(Table13[[#This Row],[Quartile]]="TopQuartile", 1,
 IF(Table13[[#This Row],[Quartile]]="SecondQuartile", 2,
 IF(Table13[[#This Row],[Quartile]]="ThirdQuartile", 3,
 IF(Table13[[#This Row],[Quartile]]="FourthQuartile", 4, ""))))</f>
        <v>2</v>
      </c>
      <c r="F1818" s="15" t="s">
        <v>439</v>
      </c>
      <c r="G1818" s="15" t="str" cm="1">
        <f t="array" ref="G1818">IFERROR(
  INDEX(Table13[Quartile],
    MATCH(1,
      (Table13[[#This Row],[OrgName]]=Table13[OrgName]) *
      (Table13[[#This Row],[Month Number]]-1=Table13[Month Number]),
    0)
  ),
"")</f>
        <v/>
      </c>
      <c r="H1818" s="15" t="str">
        <f>IF(Table13[[#This Row],[Previous Quartile]]="TopQuartile", 1,
 IF(Table13[[#This Row],[Previous Quartile]]="SecondQuartile", 2,
 IF(Table13[[#This Row],[Previous Quartile]]="ThirdQuartile", 3,
 IF(Table13[[#This Row],[Previous Quartile]]="FourthQuartile", 4, ""))))</f>
        <v/>
      </c>
      <c r="I1818" s="15" t="s">
        <v>649</v>
      </c>
      <c r="J1818" s="15" t="s">
        <v>12</v>
      </c>
      <c r="K1818" s="7" t="str">
        <f>VLOOKUP(J1818,Introduction!$B$6:$C$14,2)</f>
        <v>London</v>
      </c>
      <c r="L1818" s="17">
        <v>293</v>
      </c>
      <c r="M1818" s="18" t="s">
        <v>425</v>
      </c>
    </row>
    <row r="1819" spans="1:13" ht="19.95" customHeight="1" x14ac:dyDescent="0.25">
      <c r="A1819" s="42">
        <v>45292</v>
      </c>
      <c r="B1819" s="48">
        <f>MONTH(Table13[[#This Row],[YearMonth]])</f>
        <v>1</v>
      </c>
      <c r="C1819" s="15" t="s">
        <v>142</v>
      </c>
      <c r="D1819" s="16" t="s">
        <v>338</v>
      </c>
      <c r="E1819" s="16">
        <f>IF(Table13[[#This Row],[Quartile]]="TopQuartile", 1,
 IF(Table13[[#This Row],[Quartile]]="SecondQuartile", 2,
 IF(Table13[[#This Row],[Quartile]]="ThirdQuartile", 3,
 IF(Table13[[#This Row],[Quartile]]="FourthQuartile", 4, ""))))</f>
        <v>2</v>
      </c>
      <c r="F1819" s="15" t="s">
        <v>435</v>
      </c>
      <c r="G1819" s="15" t="str" cm="1">
        <f t="array" ref="G1819">IFERROR(
  INDEX(Table13[Quartile],
    MATCH(1,
      (Table13[[#This Row],[OrgName]]=Table13[OrgName]) *
      (Table13[[#This Row],[Month Number]]-1=Table13[Month Number]),
    0)
  ),
"")</f>
        <v/>
      </c>
      <c r="H1819" s="15" t="str">
        <f>IF(Table13[[#This Row],[Previous Quartile]]="TopQuartile", 1,
 IF(Table13[[#This Row],[Previous Quartile]]="SecondQuartile", 2,
 IF(Table13[[#This Row],[Previous Quartile]]="ThirdQuartile", 3,
 IF(Table13[[#This Row],[Previous Quartile]]="FourthQuartile", 4, ""))))</f>
        <v/>
      </c>
      <c r="I1819" s="15" t="s">
        <v>649</v>
      </c>
      <c r="J1819" s="23" t="s">
        <v>22</v>
      </c>
      <c r="K1819" s="7" t="str">
        <f>VLOOKUP(J1819,Introduction!$B$6:$C$14,2)</f>
        <v>North West</v>
      </c>
      <c r="L1819" s="15">
        <v>96</v>
      </c>
      <c r="M1819" s="18" t="s">
        <v>425</v>
      </c>
    </row>
    <row r="1820" spans="1:13" ht="19.95" customHeight="1" x14ac:dyDescent="0.25">
      <c r="A1820" s="42">
        <v>45292</v>
      </c>
      <c r="B1820" s="48">
        <f>MONTH(Table13[[#This Row],[YearMonth]])</f>
        <v>1</v>
      </c>
      <c r="C1820" s="15" t="s">
        <v>142</v>
      </c>
      <c r="D1820" s="16" t="s">
        <v>338</v>
      </c>
      <c r="E1820" s="16">
        <f>IF(Table13[[#This Row],[Quartile]]="TopQuartile", 1,
 IF(Table13[[#This Row],[Quartile]]="SecondQuartile", 2,
 IF(Table13[[#This Row],[Quartile]]="ThirdQuartile", 3,
 IF(Table13[[#This Row],[Quartile]]="FourthQuartile", 4, ""))))</f>
        <v>2</v>
      </c>
      <c r="F1820" s="15" t="s">
        <v>435</v>
      </c>
      <c r="G1820" s="15" t="str" cm="1">
        <f t="array" ref="G1820">IFERROR(
  INDEX(Table13[Quartile],
    MATCH(1,
      (Table13[[#This Row],[OrgName]]=Table13[OrgName]) *
      (Table13[[#This Row],[Month Number]]-1=Table13[Month Number]),
    0)
  ),
"")</f>
        <v/>
      </c>
      <c r="H1820" s="15" t="str">
        <f>IF(Table13[[#This Row],[Previous Quartile]]="TopQuartile", 1,
 IF(Table13[[#This Row],[Previous Quartile]]="SecondQuartile", 2,
 IF(Table13[[#This Row],[Previous Quartile]]="ThirdQuartile", 3,
 IF(Table13[[#This Row],[Previous Quartile]]="FourthQuartile", 4, ""))))</f>
        <v/>
      </c>
      <c r="I1820" s="15" t="s">
        <v>649</v>
      </c>
      <c r="J1820" s="23" t="s">
        <v>22</v>
      </c>
      <c r="K1820" s="7" t="str">
        <f>VLOOKUP(J1820,Introduction!$B$6:$C$14,2)</f>
        <v>North West</v>
      </c>
      <c r="L1820" s="15">
        <v>347</v>
      </c>
      <c r="M1820" s="18" t="s">
        <v>425</v>
      </c>
    </row>
    <row r="1821" spans="1:13" ht="19.95" customHeight="1" x14ac:dyDescent="0.25">
      <c r="A1821" s="42">
        <v>45292</v>
      </c>
      <c r="B1821" s="48">
        <f>MONTH(Table13[[#This Row],[YearMonth]])</f>
        <v>1</v>
      </c>
      <c r="C1821" s="15" t="s">
        <v>142</v>
      </c>
      <c r="D1821" s="16" t="s">
        <v>338</v>
      </c>
      <c r="E1821" s="16">
        <f>IF(Table13[[#This Row],[Quartile]]="TopQuartile", 1,
 IF(Table13[[#This Row],[Quartile]]="SecondQuartile", 2,
 IF(Table13[[#This Row],[Quartile]]="ThirdQuartile", 3,
 IF(Table13[[#This Row],[Quartile]]="FourthQuartile", 4, ""))))</f>
        <v>2</v>
      </c>
      <c r="F1821" s="15" t="s">
        <v>435</v>
      </c>
      <c r="G1821" s="15" t="str" cm="1">
        <f t="array" ref="G1821">IFERROR(
  INDEX(Table13[Quartile],
    MATCH(1,
      (Table13[[#This Row],[OrgName]]=Table13[OrgName]) *
      (Table13[[#This Row],[Month Number]]-1=Table13[Month Number]),
    0)
  ),
"")</f>
        <v/>
      </c>
      <c r="H1821" s="15" t="str">
        <f>IF(Table13[[#This Row],[Previous Quartile]]="TopQuartile", 1,
 IF(Table13[[#This Row],[Previous Quartile]]="SecondQuartile", 2,
 IF(Table13[[#This Row],[Previous Quartile]]="ThirdQuartile", 3,
 IF(Table13[[#This Row],[Previous Quartile]]="FourthQuartile", 4, ""))))</f>
        <v/>
      </c>
      <c r="I1821" s="15" t="s">
        <v>649</v>
      </c>
      <c r="J1821" s="23" t="s">
        <v>22</v>
      </c>
      <c r="K1821" s="7" t="str">
        <f>VLOOKUP(J1821,Introduction!$B$6:$C$14,2)</f>
        <v>North West</v>
      </c>
      <c r="L1821" s="15">
        <v>409</v>
      </c>
      <c r="M1821" s="18" t="s">
        <v>425</v>
      </c>
    </row>
    <row r="1822" spans="1:13" ht="19.95" customHeight="1" x14ac:dyDescent="0.25">
      <c r="A1822" s="42">
        <v>45292</v>
      </c>
      <c r="B1822" s="48">
        <f>MONTH(Table13[[#This Row],[YearMonth]])</f>
        <v>1</v>
      </c>
      <c r="C1822" s="15" t="s">
        <v>177</v>
      </c>
      <c r="D1822" s="16" t="s">
        <v>338</v>
      </c>
      <c r="E1822" s="16">
        <f>IF(Table13[[#This Row],[Quartile]]="TopQuartile", 1,
 IF(Table13[[#This Row],[Quartile]]="SecondQuartile", 2,
 IF(Table13[[#This Row],[Quartile]]="ThirdQuartile", 3,
 IF(Table13[[#This Row],[Quartile]]="FourthQuartile", 4, ""))))</f>
        <v>2</v>
      </c>
      <c r="F1822" s="15" t="s">
        <v>446</v>
      </c>
      <c r="G1822" s="15" t="str" cm="1">
        <f t="array" ref="G1822">IFERROR(
  INDEX(Table13[Quartile],
    MATCH(1,
      (Table13[[#This Row],[OrgName]]=Table13[OrgName]) *
      (Table13[[#This Row],[Month Number]]-1=Table13[Month Number]),
    0)
  ),
"")</f>
        <v/>
      </c>
      <c r="H1822" s="15" t="str">
        <f>IF(Table13[[#This Row],[Previous Quartile]]="TopQuartile", 1,
 IF(Table13[[#This Row],[Previous Quartile]]="SecondQuartile", 2,
 IF(Table13[[#This Row],[Previous Quartile]]="ThirdQuartile", 3,
 IF(Table13[[#This Row],[Previous Quartile]]="FourthQuartile", 4, ""))))</f>
        <v/>
      </c>
      <c r="I1822" s="15" t="s">
        <v>649</v>
      </c>
      <c r="J1822" s="15" t="s">
        <v>18</v>
      </c>
      <c r="K1822" s="7" t="str">
        <f>VLOOKUP(J1822,Introduction!$B$6:$C$14,2)</f>
        <v>Midlands</v>
      </c>
      <c r="L1822" s="17">
        <v>358</v>
      </c>
      <c r="M1822" s="18" t="s">
        <v>425</v>
      </c>
    </row>
    <row r="1823" spans="1:13" ht="19.95" customHeight="1" x14ac:dyDescent="0.25">
      <c r="A1823" s="42">
        <v>45292</v>
      </c>
      <c r="B1823" s="48">
        <f>MONTH(Table13[[#This Row],[YearMonth]])</f>
        <v>1</v>
      </c>
      <c r="C1823" s="15" t="s">
        <v>198</v>
      </c>
      <c r="D1823" s="16" t="s">
        <v>338</v>
      </c>
      <c r="E1823" s="16">
        <f>IF(Table13[[#This Row],[Quartile]]="TopQuartile", 1,
 IF(Table13[[#This Row],[Quartile]]="SecondQuartile", 2,
 IF(Table13[[#This Row],[Quartile]]="ThirdQuartile", 3,
 IF(Table13[[#This Row],[Quartile]]="FourthQuartile", 4, ""))))</f>
        <v>2</v>
      </c>
      <c r="F1823" s="15" t="s">
        <v>454</v>
      </c>
      <c r="G1823" s="15" t="str" cm="1">
        <f t="array" ref="G1823">IFERROR(
  INDEX(Table13[Quartile],
    MATCH(1,
      (Table13[[#This Row],[OrgName]]=Table13[OrgName]) *
      (Table13[[#This Row],[Month Number]]-1=Table13[Month Number]),
    0)
  ),
"")</f>
        <v/>
      </c>
      <c r="H1823" s="15" t="str">
        <f>IF(Table13[[#This Row],[Previous Quartile]]="TopQuartile", 1,
 IF(Table13[[#This Row],[Previous Quartile]]="SecondQuartile", 2,
 IF(Table13[[#This Row],[Previous Quartile]]="ThirdQuartile", 3,
 IF(Table13[[#This Row],[Previous Quartile]]="FourthQuartile", 4, ""))))</f>
        <v/>
      </c>
      <c r="I1823" s="15" t="s">
        <v>649</v>
      </c>
      <c r="J1823" s="15" t="s">
        <v>22</v>
      </c>
      <c r="K1823" s="7" t="str">
        <f>VLOOKUP(J1823,Introduction!$B$6:$C$14,2)</f>
        <v>North West</v>
      </c>
      <c r="L1823" s="17">
        <v>370</v>
      </c>
      <c r="M1823" s="18" t="s">
        <v>425</v>
      </c>
    </row>
    <row r="1824" spans="1:13" ht="19.95" customHeight="1" x14ac:dyDescent="0.25">
      <c r="A1824" s="42">
        <v>45292</v>
      </c>
      <c r="B1824" s="48">
        <f>MONTH(Table13[[#This Row],[YearMonth]])</f>
        <v>1</v>
      </c>
      <c r="C1824" s="15" t="s">
        <v>95</v>
      </c>
      <c r="D1824" s="16" t="s">
        <v>338</v>
      </c>
      <c r="E1824" s="16">
        <f>IF(Table13[[#This Row],[Quartile]]="TopQuartile", 1,
 IF(Table13[[#This Row],[Quartile]]="SecondQuartile", 2,
 IF(Table13[[#This Row],[Quartile]]="ThirdQuartile", 3,
 IF(Table13[[#This Row],[Quartile]]="FourthQuartile", 4, ""))))</f>
        <v>2</v>
      </c>
      <c r="F1824" s="15" t="s">
        <v>430</v>
      </c>
      <c r="G1824" s="15" t="str" cm="1">
        <f t="array" ref="G1824">IFERROR(
  INDEX(Table13[Quartile],
    MATCH(1,
      (Table13[[#This Row],[OrgName]]=Table13[OrgName]) *
      (Table13[[#This Row],[Month Number]]-1=Table13[Month Number]),
    0)
  ),
"")</f>
        <v/>
      </c>
      <c r="H1824" s="15" t="str">
        <f>IF(Table13[[#This Row],[Previous Quartile]]="TopQuartile", 1,
 IF(Table13[[#This Row],[Previous Quartile]]="SecondQuartile", 2,
 IF(Table13[[#This Row],[Previous Quartile]]="ThirdQuartile", 3,
 IF(Table13[[#This Row],[Previous Quartile]]="FourthQuartile", 4, ""))))</f>
        <v/>
      </c>
      <c r="I1824" s="15" t="s">
        <v>649</v>
      </c>
      <c r="J1824" s="15" t="s">
        <v>24</v>
      </c>
      <c r="K1824" s="7" t="str">
        <f>VLOOKUP(J1824,Introduction!$B$6:$C$14,2)</f>
        <v>North East and Yorkshire</v>
      </c>
      <c r="L1824" s="17">
        <v>317</v>
      </c>
      <c r="M1824" s="18" t="s">
        <v>425</v>
      </c>
    </row>
    <row r="1825" spans="1:13" ht="19.95" customHeight="1" x14ac:dyDescent="0.25">
      <c r="A1825" s="42">
        <v>45292</v>
      </c>
      <c r="B1825" s="48">
        <f>MONTH(Table13[[#This Row],[YearMonth]])</f>
        <v>1</v>
      </c>
      <c r="C1825" s="15" t="s">
        <v>197</v>
      </c>
      <c r="D1825" s="16" t="s">
        <v>338</v>
      </c>
      <c r="E1825" s="16">
        <f>IF(Table13[[#This Row],[Quartile]]="TopQuartile", 1,
 IF(Table13[[#This Row],[Quartile]]="SecondQuartile", 2,
 IF(Table13[[#This Row],[Quartile]]="ThirdQuartile", 3,
 IF(Table13[[#This Row],[Quartile]]="FourthQuartile", 4, ""))))</f>
        <v>2</v>
      </c>
      <c r="F1825" s="15" t="s">
        <v>453</v>
      </c>
      <c r="G1825" s="15" t="str" cm="1">
        <f t="array" ref="G1825">IFERROR(
  INDEX(Table13[Quartile],
    MATCH(1,
      (Table13[[#This Row],[OrgName]]=Table13[OrgName]) *
      (Table13[[#This Row],[Month Number]]-1=Table13[Month Number]),
    0)
  ),
"")</f>
        <v/>
      </c>
      <c r="H1825" s="15" t="str">
        <f>IF(Table13[[#This Row],[Previous Quartile]]="TopQuartile", 1,
 IF(Table13[[#This Row],[Previous Quartile]]="SecondQuartile", 2,
 IF(Table13[[#This Row],[Previous Quartile]]="ThirdQuartile", 3,
 IF(Table13[[#This Row],[Previous Quartile]]="FourthQuartile", 4, ""))))</f>
        <v/>
      </c>
      <c r="I1825" s="15" t="s">
        <v>649</v>
      </c>
      <c r="J1825" s="15" t="s">
        <v>24</v>
      </c>
      <c r="K1825" s="7" t="str">
        <f>VLOOKUP(J1825,Introduction!$B$6:$C$14,2)</f>
        <v>North East and Yorkshire</v>
      </c>
      <c r="L1825" s="17">
        <v>328</v>
      </c>
      <c r="M1825" s="18" t="s">
        <v>425</v>
      </c>
    </row>
    <row r="1826" spans="1:13" ht="19.95" customHeight="1" x14ac:dyDescent="0.25">
      <c r="A1826" s="42">
        <v>45292</v>
      </c>
      <c r="B1826" s="48">
        <f>MONTH(Table13[[#This Row],[YearMonth]])</f>
        <v>1</v>
      </c>
      <c r="C1826" s="15" t="s">
        <v>161</v>
      </c>
      <c r="D1826" s="16" t="s">
        <v>338</v>
      </c>
      <c r="E1826" s="16">
        <f>IF(Table13[[#This Row],[Quartile]]="TopQuartile", 1,
 IF(Table13[[#This Row],[Quartile]]="SecondQuartile", 2,
 IF(Table13[[#This Row],[Quartile]]="ThirdQuartile", 3,
 IF(Table13[[#This Row],[Quartile]]="FourthQuartile", 4, ""))))</f>
        <v>2</v>
      </c>
      <c r="F1826" s="15" t="s">
        <v>442</v>
      </c>
      <c r="G1826" s="15" t="str" cm="1">
        <f t="array" ref="G1826">IFERROR(
  INDEX(Table13[Quartile],
    MATCH(1,
      (Table13[[#This Row],[OrgName]]=Table13[OrgName]) *
      (Table13[[#This Row],[Month Number]]-1=Table13[Month Number]),
    0)
  ),
"")</f>
        <v/>
      </c>
      <c r="H1826" s="15" t="str">
        <f>IF(Table13[[#This Row],[Previous Quartile]]="TopQuartile", 1,
 IF(Table13[[#This Row],[Previous Quartile]]="SecondQuartile", 2,
 IF(Table13[[#This Row],[Previous Quartile]]="ThirdQuartile", 3,
 IF(Table13[[#This Row],[Previous Quartile]]="FourthQuartile", 4, ""))))</f>
        <v/>
      </c>
      <c r="I1826" s="15" t="s">
        <v>649</v>
      </c>
      <c r="J1826" s="15" t="s">
        <v>16</v>
      </c>
      <c r="K1826" s="7" t="str">
        <f>VLOOKUP(J1826,Introduction!$B$6:$C$14,2)</f>
        <v>South East</v>
      </c>
      <c r="L1826" s="17">
        <v>344</v>
      </c>
      <c r="M1826" s="18" t="s">
        <v>425</v>
      </c>
    </row>
    <row r="1827" spans="1:13" ht="19.95" customHeight="1" x14ac:dyDescent="0.25">
      <c r="A1827" s="42">
        <v>45292</v>
      </c>
      <c r="B1827" s="48">
        <f>MONTH(Table13[[#This Row],[YearMonth]])</f>
        <v>1</v>
      </c>
      <c r="C1827" s="15" t="s">
        <v>165</v>
      </c>
      <c r="D1827" s="16" t="s">
        <v>341</v>
      </c>
      <c r="E1827" s="16">
        <f>IF(Table13[[#This Row],[Quartile]]="TopQuartile", 1,
 IF(Table13[[#This Row],[Quartile]]="SecondQuartile", 2,
 IF(Table13[[#This Row],[Quartile]]="ThirdQuartile", 3,
 IF(Table13[[#This Row],[Quartile]]="FourthQuartile", 4, ""))))</f>
        <v>3</v>
      </c>
      <c r="F1827" s="15" t="s">
        <v>443</v>
      </c>
      <c r="G1827" s="15" t="str" cm="1">
        <f t="array" ref="G1827">IFERROR(
  INDEX(Table13[Quartile],
    MATCH(1,
      (Table13[[#This Row],[OrgName]]=Table13[OrgName]) *
      (Table13[[#This Row],[Month Number]]-1=Table13[Month Number]),
    0)
  ),
"")</f>
        <v/>
      </c>
      <c r="H1827" s="15" t="str">
        <f>IF(Table13[[#This Row],[Previous Quartile]]="TopQuartile", 1,
 IF(Table13[[#This Row],[Previous Quartile]]="SecondQuartile", 2,
 IF(Table13[[#This Row],[Previous Quartile]]="ThirdQuartile", 3,
 IF(Table13[[#This Row],[Previous Quartile]]="FourthQuartile", 4, ""))))</f>
        <v/>
      </c>
      <c r="I1827" s="15" t="s">
        <v>649</v>
      </c>
      <c r="J1827" s="15" t="s">
        <v>24</v>
      </c>
      <c r="K1827" s="7" t="str">
        <f>VLOOKUP(J1827,Introduction!$B$6:$C$14,2)</f>
        <v>North East and Yorkshire</v>
      </c>
      <c r="L1827" s="17">
        <v>356</v>
      </c>
      <c r="M1827" s="18" t="s">
        <v>425</v>
      </c>
    </row>
    <row r="1828" spans="1:13" ht="19.95" customHeight="1" x14ac:dyDescent="0.25">
      <c r="A1828" s="42">
        <v>45292</v>
      </c>
      <c r="B1828" s="48">
        <f>MONTH(Table13[[#This Row],[YearMonth]])</f>
        <v>1</v>
      </c>
      <c r="C1828" s="15" t="s">
        <v>170</v>
      </c>
      <c r="D1828" s="16" t="s">
        <v>341</v>
      </c>
      <c r="E1828" s="16">
        <f>IF(Table13[[#This Row],[Quartile]]="TopQuartile", 1,
 IF(Table13[[#This Row],[Quartile]]="SecondQuartile", 2,
 IF(Table13[[#This Row],[Quartile]]="ThirdQuartile", 3,
 IF(Table13[[#This Row],[Quartile]]="FourthQuartile", 4, ""))))</f>
        <v>3</v>
      </c>
      <c r="F1828" s="15" t="s">
        <v>445</v>
      </c>
      <c r="G1828" s="15" t="str" cm="1">
        <f t="array" ref="G1828">IFERROR(
  INDEX(Table13[Quartile],
    MATCH(1,
      (Table13[[#This Row],[OrgName]]=Table13[OrgName]) *
      (Table13[[#This Row],[Month Number]]-1=Table13[Month Number]),
    0)
  ),
"")</f>
        <v/>
      </c>
      <c r="H1828" s="15" t="str">
        <f>IF(Table13[[#This Row],[Previous Quartile]]="TopQuartile", 1,
 IF(Table13[[#This Row],[Previous Quartile]]="SecondQuartile", 2,
 IF(Table13[[#This Row],[Previous Quartile]]="ThirdQuartile", 3,
 IF(Table13[[#This Row],[Previous Quartile]]="FourthQuartile", 4, ""))))</f>
        <v/>
      </c>
      <c r="I1828" s="15" t="s">
        <v>649</v>
      </c>
      <c r="J1828" s="15" t="s">
        <v>18</v>
      </c>
      <c r="K1828" s="7" t="str">
        <f>VLOOKUP(J1828,Introduction!$B$6:$C$14,2)</f>
        <v>Midlands</v>
      </c>
      <c r="L1828" s="17">
        <v>218</v>
      </c>
      <c r="M1828" s="18" t="s">
        <v>425</v>
      </c>
    </row>
    <row r="1829" spans="1:13" ht="19.95" customHeight="1" x14ac:dyDescent="0.25">
      <c r="A1829" s="42">
        <v>45292</v>
      </c>
      <c r="B1829" s="48">
        <f>MONTH(Table13[[#This Row],[YearMonth]])</f>
        <v>1</v>
      </c>
      <c r="C1829" s="15" t="s">
        <v>189</v>
      </c>
      <c r="D1829" s="16" t="s">
        <v>341</v>
      </c>
      <c r="E1829" s="16">
        <f>IF(Table13[[#This Row],[Quartile]]="TopQuartile", 1,
 IF(Table13[[#This Row],[Quartile]]="SecondQuartile", 2,
 IF(Table13[[#This Row],[Quartile]]="ThirdQuartile", 3,
 IF(Table13[[#This Row],[Quartile]]="FourthQuartile", 4, ""))))</f>
        <v>3</v>
      </c>
      <c r="F1829" s="15" t="s">
        <v>448</v>
      </c>
      <c r="G1829" s="15" t="str" cm="1">
        <f t="array" ref="G1829">IFERROR(
  INDEX(Table13[Quartile],
    MATCH(1,
      (Table13[[#This Row],[OrgName]]=Table13[OrgName]) *
      (Table13[[#This Row],[Month Number]]-1=Table13[Month Number]),
    0)
  ),
"")</f>
        <v/>
      </c>
      <c r="H1829" s="15" t="str">
        <f>IF(Table13[[#This Row],[Previous Quartile]]="TopQuartile", 1,
 IF(Table13[[#This Row],[Previous Quartile]]="SecondQuartile", 2,
 IF(Table13[[#This Row],[Previous Quartile]]="ThirdQuartile", 3,
 IF(Table13[[#This Row],[Previous Quartile]]="FourthQuartile", 4, ""))))</f>
        <v/>
      </c>
      <c r="I1829" s="15" t="s">
        <v>649</v>
      </c>
      <c r="J1829" s="15" t="s">
        <v>12</v>
      </c>
      <c r="K1829" s="7" t="str">
        <f>VLOOKUP(J1829,Introduction!$B$6:$C$14,2)</f>
        <v>London</v>
      </c>
      <c r="L1829" s="17">
        <v>343</v>
      </c>
      <c r="M1829" s="18" t="s">
        <v>425</v>
      </c>
    </row>
    <row r="1830" spans="1:13" ht="19.95" customHeight="1" x14ac:dyDescent="0.25">
      <c r="A1830" s="42">
        <v>45292</v>
      </c>
      <c r="B1830" s="48">
        <f>MONTH(Table13[[#This Row],[YearMonth]])</f>
        <v>1</v>
      </c>
      <c r="C1830" s="15" t="s">
        <v>194</v>
      </c>
      <c r="D1830" s="16" t="s">
        <v>341</v>
      </c>
      <c r="E1830" s="16">
        <f>IF(Table13[[#This Row],[Quartile]]="TopQuartile", 1,
 IF(Table13[[#This Row],[Quartile]]="SecondQuartile", 2,
 IF(Table13[[#This Row],[Quartile]]="ThirdQuartile", 3,
 IF(Table13[[#This Row],[Quartile]]="FourthQuartile", 4, ""))))</f>
        <v>3</v>
      </c>
      <c r="F1830" s="15" t="s">
        <v>451</v>
      </c>
      <c r="G1830" s="15" t="str" cm="1">
        <f t="array" ref="G1830">IFERROR(
  INDEX(Table13[Quartile],
    MATCH(1,
      (Table13[[#This Row],[OrgName]]=Table13[OrgName]) *
      (Table13[[#This Row],[Month Number]]-1=Table13[Month Number]),
    0)
  ),
"")</f>
        <v/>
      </c>
      <c r="H1830" s="15" t="str">
        <f>IF(Table13[[#This Row],[Previous Quartile]]="TopQuartile", 1,
 IF(Table13[[#This Row],[Previous Quartile]]="SecondQuartile", 2,
 IF(Table13[[#This Row],[Previous Quartile]]="ThirdQuartile", 3,
 IF(Table13[[#This Row],[Previous Quartile]]="FourthQuartile", 4, ""))))</f>
        <v/>
      </c>
      <c r="I1830" s="15" t="s">
        <v>649</v>
      </c>
      <c r="J1830" s="15" t="s">
        <v>12</v>
      </c>
      <c r="K1830" s="7" t="str">
        <f>VLOOKUP(J1830,Introduction!$B$6:$C$14,2)</f>
        <v>London</v>
      </c>
      <c r="L1830" s="17">
        <v>393</v>
      </c>
      <c r="M1830" s="18" t="s">
        <v>425</v>
      </c>
    </row>
    <row r="1831" spans="1:13" ht="19.95" customHeight="1" x14ac:dyDescent="0.25">
      <c r="A1831" s="42">
        <v>45292</v>
      </c>
      <c r="B1831" s="48">
        <f>MONTH(Table13[[#This Row],[YearMonth]])</f>
        <v>1</v>
      </c>
      <c r="C1831" s="15" t="s">
        <v>210</v>
      </c>
      <c r="D1831" s="16" t="s">
        <v>341</v>
      </c>
      <c r="E1831" s="16">
        <f>IF(Table13[[#This Row],[Quartile]]="TopQuartile", 1,
 IF(Table13[[#This Row],[Quartile]]="SecondQuartile", 2,
 IF(Table13[[#This Row],[Quartile]]="ThirdQuartile", 3,
 IF(Table13[[#This Row],[Quartile]]="FourthQuartile", 4, ""))))</f>
        <v>3</v>
      </c>
      <c r="F1831" s="15" t="s">
        <v>456</v>
      </c>
      <c r="G1831" s="15" t="str" cm="1">
        <f t="array" ref="G1831">IFERROR(
  INDEX(Table13[Quartile],
    MATCH(1,
      (Table13[[#This Row],[OrgName]]=Table13[OrgName]) *
      (Table13[[#This Row],[Month Number]]-1=Table13[Month Number]),
    0)
  ),
"")</f>
        <v/>
      </c>
      <c r="H1831" s="15" t="str">
        <f>IF(Table13[[#This Row],[Previous Quartile]]="TopQuartile", 1,
 IF(Table13[[#This Row],[Previous Quartile]]="SecondQuartile", 2,
 IF(Table13[[#This Row],[Previous Quartile]]="ThirdQuartile", 3,
 IF(Table13[[#This Row],[Previous Quartile]]="FourthQuartile", 4, ""))))</f>
        <v/>
      </c>
      <c r="I1831" s="15" t="s">
        <v>649</v>
      </c>
      <c r="J1831" s="15" t="s">
        <v>20</v>
      </c>
      <c r="K1831" s="7" t="str">
        <f>VLOOKUP(J1831,Introduction!$B$6:$C$14,2)</f>
        <v>East of England</v>
      </c>
      <c r="L1831" s="17">
        <v>360</v>
      </c>
      <c r="M1831" s="18" t="s">
        <v>425</v>
      </c>
    </row>
    <row r="1832" spans="1:13" ht="19.95" customHeight="1" x14ac:dyDescent="0.25">
      <c r="A1832" s="42">
        <v>45292</v>
      </c>
      <c r="B1832" s="48">
        <f>MONTH(Table13[[#This Row],[YearMonth]])</f>
        <v>1</v>
      </c>
      <c r="C1832" s="15" t="s">
        <v>190</v>
      </c>
      <c r="D1832" s="16" t="s">
        <v>341</v>
      </c>
      <c r="E1832" s="16">
        <f>IF(Table13[[#This Row],[Quartile]]="TopQuartile", 1,
 IF(Table13[[#This Row],[Quartile]]="SecondQuartile", 2,
 IF(Table13[[#This Row],[Quartile]]="ThirdQuartile", 3,
 IF(Table13[[#This Row],[Quartile]]="FourthQuartile", 4, ""))))</f>
        <v>3</v>
      </c>
      <c r="F1832" s="15" t="s">
        <v>449</v>
      </c>
      <c r="G1832" s="15" t="str" cm="1">
        <f t="array" ref="G1832">IFERROR(
  INDEX(Table13[Quartile],
    MATCH(1,
      (Table13[[#This Row],[OrgName]]=Table13[OrgName]) *
      (Table13[[#This Row],[Month Number]]-1=Table13[Month Number]),
    0)
  ),
"")</f>
        <v/>
      </c>
      <c r="H1832" s="15" t="str">
        <f>IF(Table13[[#This Row],[Previous Quartile]]="TopQuartile", 1,
 IF(Table13[[#This Row],[Previous Quartile]]="SecondQuartile", 2,
 IF(Table13[[#This Row],[Previous Quartile]]="ThirdQuartile", 3,
 IF(Table13[[#This Row],[Previous Quartile]]="FourthQuartile", 4, ""))))</f>
        <v/>
      </c>
      <c r="I1832" s="15" t="s">
        <v>649</v>
      </c>
      <c r="J1832" s="15" t="s">
        <v>12</v>
      </c>
      <c r="K1832" s="7" t="str">
        <f>VLOOKUP(J1832,Introduction!$B$6:$C$14,2)</f>
        <v>London</v>
      </c>
      <c r="L1832" s="17">
        <v>200</v>
      </c>
      <c r="M1832" s="18" t="s">
        <v>425</v>
      </c>
    </row>
    <row r="1833" spans="1:13" ht="19.95" customHeight="1" x14ac:dyDescent="0.25">
      <c r="A1833" s="42">
        <v>45292</v>
      </c>
      <c r="B1833" s="48">
        <f>MONTH(Table13[[#This Row],[YearMonth]])</f>
        <v>1</v>
      </c>
      <c r="C1833" s="15" t="s">
        <v>192</v>
      </c>
      <c r="D1833" s="16" t="s">
        <v>341</v>
      </c>
      <c r="E1833" s="16">
        <f>IF(Table13[[#This Row],[Quartile]]="TopQuartile", 1,
 IF(Table13[[#This Row],[Quartile]]="SecondQuartile", 2,
 IF(Table13[[#This Row],[Quartile]]="ThirdQuartile", 3,
 IF(Table13[[#This Row],[Quartile]]="FourthQuartile", 4, ""))))</f>
        <v>3</v>
      </c>
      <c r="F1833" s="15" t="s">
        <v>450</v>
      </c>
      <c r="G1833" s="15" t="str" cm="1">
        <f t="array" ref="G1833">IFERROR(
  INDEX(Table13[Quartile],
    MATCH(1,
      (Table13[[#This Row],[OrgName]]=Table13[OrgName]) *
      (Table13[[#This Row],[Month Number]]-1=Table13[Month Number]),
    0)
  ),
"")</f>
        <v/>
      </c>
      <c r="H1833" s="15" t="str">
        <f>IF(Table13[[#This Row],[Previous Quartile]]="TopQuartile", 1,
 IF(Table13[[#This Row],[Previous Quartile]]="SecondQuartile", 2,
 IF(Table13[[#This Row],[Previous Quartile]]="ThirdQuartile", 3,
 IF(Table13[[#This Row],[Previous Quartile]]="FourthQuartile", 4, ""))))</f>
        <v/>
      </c>
      <c r="I1833" s="15" t="s">
        <v>649</v>
      </c>
      <c r="J1833" s="15" t="s">
        <v>12</v>
      </c>
      <c r="K1833" s="7" t="str">
        <f>VLOOKUP(J1833,Introduction!$B$6:$C$14,2)</f>
        <v>London</v>
      </c>
      <c r="L1833" s="17">
        <v>259</v>
      </c>
      <c r="M1833" s="18" t="s">
        <v>425</v>
      </c>
    </row>
    <row r="1834" spans="1:13" ht="19.95" customHeight="1" x14ac:dyDescent="0.25">
      <c r="A1834" s="42">
        <v>45292</v>
      </c>
      <c r="B1834" s="48">
        <f>MONTH(Table13[[#This Row],[YearMonth]])</f>
        <v>1</v>
      </c>
      <c r="C1834" s="15" t="s">
        <v>179</v>
      </c>
      <c r="D1834" s="16" t="s">
        <v>341</v>
      </c>
      <c r="E1834" s="16">
        <f>IF(Table13[[#This Row],[Quartile]]="TopQuartile", 1,
 IF(Table13[[#This Row],[Quartile]]="SecondQuartile", 2,
 IF(Table13[[#This Row],[Quartile]]="ThirdQuartile", 3,
 IF(Table13[[#This Row],[Quartile]]="FourthQuartile", 4, ""))))</f>
        <v>3</v>
      </c>
      <c r="F1834" s="15" t="s">
        <v>447</v>
      </c>
      <c r="G1834" s="15" t="str" cm="1">
        <f t="array" ref="G1834">IFERROR(
  INDEX(Table13[Quartile],
    MATCH(1,
      (Table13[[#This Row],[OrgName]]=Table13[OrgName]) *
      (Table13[[#This Row],[Month Number]]-1=Table13[Month Number]),
    0)
  ),
"")</f>
        <v/>
      </c>
      <c r="H1834" s="15" t="str">
        <f>IF(Table13[[#This Row],[Previous Quartile]]="TopQuartile", 1,
 IF(Table13[[#This Row],[Previous Quartile]]="SecondQuartile", 2,
 IF(Table13[[#This Row],[Previous Quartile]]="ThirdQuartile", 3,
 IF(Table13[[#This Row],[Previous Quartile]]="FourthQuartile", 4, ""))))</f>
        <v/>
      </c>
      <c r="I1834" s="15" t="s">
        <v>649</v>
      </c>
      <c r="J1834" s="15" t="s">
        <v>20</v>
      </c>
      <c r="K1834" s="7" t="str">
        <f>VLOOKUP(J1834,Introduction!$B$6:$C$14,2)</f>
        <v>East of England</v>
      </c>
      <c r="L1834" s="17">
        <v>430</v>
      </c>
      <c r="M1834" s="18" t="s">
        <v>425</v>
      </c>
    </row>
    <row r="1835" spans="1:13" ht="19.95" customHeight="1" x14ac:dyDescent="0.25">
      <c r="A1835" s="42">
        <v>45292</v>
      </c>
      <c r="B1835" s="48">
        <f>MONTH(Table13[[#This Row],[YearMonth]])</f>
        <v>1</v>
      </c>
      <c r="C1835" s="15" t="s">
        <v>222</v>
      </c>
      <c r="D1835" s="16" t="s">
        <v>341</v>
      </c>
      <c r="E1835" s="16">
        <f>IF(Table13[[#This Row],[Quartile]]="TopQuartile", 1,
 IF(Table13[[#This Row],[Quartile]]="SecondQuartile", 2,
 IF(Table13[[#This Row],[Quartile]]="ThirdQuartile", 3,
 IF(Table13[[#This Row],[Quartile]]="FourthQuartile", 4, ""))))</f>
        <v>3</v>
      </c>
      <c r="F1835" s="15" t="s">
        <v>458</v>
      </c>
      <c r="G1835" s="15" t="str" cm="1">
        <f t="array" ref="G1835">IFERROR(
  INDEX(Table13[Quartile],
    MATCH(1,
      (Table13[[#This Row],[OrgName]]=Table13[OrgName]) *
      (Table13[[#This Row],[Month Number]]-1=Table13[Month Number]),
    0)
  ),
"")</f>
        <v/>
      </c>
      <c r="H1835" s="15" t="str">
        <f>IF(Table13[[#This Row],[Previous Quartile]]="TopQuartile", 1,
 IF(Table13[[#This Row],[Previous Quartile]]="SecondQuartile", 2,
 IF(Table13[[#This Row],[Previous Quartile]]="ThirdQuartile", 3,
 IF(Table13[[#This Row],[Previous Quartile]]="FourthQuartile", 4, ""))))</f>
        <v/>
      </c>
      <c r="I1835" s="15" t="s">
        <v>649</v>
      </c>
      <c r="J1835" s="15" t="s">
        <v>24</v>
      </c>
      <c r="K1835" s="7" t="str">
        <f>VLOOKUP(J1835,Introduction!$B$6:$C$14,2)</f>
        <v>North East and Yorkshire</v>
      </c>
      <c r="L1835" s="17">
        <v>298</v>
      </c>
      <c r="M1835" s="18" t="s">
        <v>425</v>
      </c>
    </row>
    <row r="1836" spans="1:13" ht="19.95" customHeight="1" x14ac:dyDescent="0.25">
      <c r="A1836" s="42">
        <v>45292</v>
      </c>
      <c r="B1836" s="48">
        <f>MONTH(Table13[[#This Row],[YearMonth]])</f>
        <v>1</v>
      </c>
      <c r="C1836" s="15" t="s">
        <v>168</v>
      </c>
      <c r="D1836" s="16" t="s">
        <v>341</v>
      </c>
      <c r="E1836" s="16">
        <f>IF(Table13[[#This Row],[Quartile]]="TopQuartile", 1,
 IF(Table13[[#This Row],[Quartile]]="SecondQuartile", 2,
 IF(Table13[[#This Row],[Quartile]]="ThirdQuartile", 3,
 IF(Table13[[#This Row],[Quartile]]="FourthQuartile", 4, ""))))</f>
        <v>3</v>
      </c>
      <c r="F1836" s="15" t="s">
        <v>444</v>
      </c>
      <c r="G1836" s="15" t="str" cm="1">
        <f t="array" ref="G1836">IFERROR(
  INDEX(Table13[Quartile],
    MATCH(1,
      (Table13[[#This Row],[OrgName]]=Table13[OrgName]) *
      (Table13[[#This Row],[Month Number]]-1=Table13[Month Number]),
    0)
  ),
"")</f>
        <v/>
      </c>
      <c r="H1836" s="15" t="str">
        <f>IF(Table13[[#This Row],[Previous Quartile]]="TopQuartile", 1,
 IF(Table13[[#This Row],[Previous Quartile]]="SecondQuartile", 2,
 IF(Table13[[#This Row],[Previous Quartile]]="ThirdQuartile", 3,
 IF(Table13[[#This Row],[Previous Quartile]]="FourthQuartile", 4, ""))))</f>
        <v/>
      </c>
      <c r="I1836" s="15" t="s">
        <v>649</v>
      </c>
      <c r="J1836" s="15" t="s">
        <v>12</v>
      </c>
      <c r="K1836" s="7" t="str">
        <f>VLOOKUP(J1836,Introduction!$B$6:$C$14,2)</f>
        <v>London</v>
      </c>
      <c r="L1836" s="17">
        <v>309</v>
      </c>
      <c r="M1836" s="18" t="s">
        <v>425</v>
      </c>
    </row>
    <row r="1837" spans="1:13" ht="19.95" customHeight="1" x14ac:dyDescent="0.25">
      <c r="A1837" s="42">
        <v>45292</v>
      </c>
      <c r="B1837" s="48">
        <f>MONTH(Table13[[#This Row],[YearMonth]])</f>
        <v>1</v>
      </c>
      <c r="C1837" s="15" t="s">
        <v>235</v>
      </c>
      <c r="D1837" s="16" t="s">
        <v>341</v>
      </c>
      <c r="E1837" s="16">
        <f>IF(Table13[[#This Row],[Quartile]]="TopQuartile", 1,
 IF(Table13[[#This Row],[Quartile]]="SecondQuartile", 2,
 IF(Table13[[#This Row],[Quartile]]="ThirdQuartile", 3,
 IF(Table13[[#This Row],[Quartile]]="FourthQuartile", 4, ""))))</f>
        <v>3</v>
      </c>
      <c r="F1837" s="15" t="s">
        <v>461</v>
      </c>
      <c r="G1837" s="15" t="str" cm="1">
        <f t="array" ref="G1837">IFERROR(
  INDEX(Table13[Quartile],
    MATCH(1,
      (Table13[[#This Row],[OrgName]]=Table13[OrgName]) *
      (Table13[[#This Row],[Month Number]]-1=Table13[Month Number]),
    0)
  ),
"")</f>
        <v/>
      </c>
      <c r="H1837" s="15" t="str">
        <f>IF(Table13[[#This Row],[Previous Quartile]]="TopQuartile", 1,
 IF(Table13[[#This Row],[Previous Quartile]]="SecondQuartile", 2,
 IF(Table13[[#This Row],[Previous Quartile]]="ThirdQuartile", 3,
 IF(Table13[[#This Row],[Previous Quartile]]="FourthQuartile", 4, ""))))</f>
        <v/>
      </c>
      <c r="I1837" s="15" t="s">
        <v>649</v>
      </c>
      <c r="J1837" s="15" t="s">
        <v>12</v>
      </c>
      <c r="K1837" s="7" t="str">
        <f>VLOOKUP(J1837,Introduction!$B$6:$C$14,2)</f>
        <v>London</v>
      </c>
      <c r="L1837" s="17">
        <v>337</v>
      </c>
      <c r="M1837" s="18" t="s">
        <v>425</v>
      </c>
    </row>
    <row r="1838" spans="1:13" ht="19.95" customHeight="1" x14ac:dyDescent="0.25">
      <c r="A1838" s="42">
        <v>45292</v>
      </c>
      <c r="B1838" s="48">
        <f>MONTH(Table13[[#This Row],[YearMonth]])</f>
        <v>1</v>
      </c>
      <c r="C1838" s="15" t="s">
        <v>223</v>
      </c>
      <c r="D1838" s="16" t="s">
        <v>341</v>
      </c>
      <c r="E1838" s="16">
        <f>IF(Table13[[#This Row],[Quartile]]="TopQuartile", 1,
 IF(Table13[[#This Row],[Quartile]]="SecondQuartile", 2,
 IF(Table13[[#This Row],[Quartile]]="ThirdQuartile", 3,
 IF(Table13[[#This Row],[Quartile]]="FourthQuartile", 4, ""))))</f>
        <v>3</v>
      </c>
      <c r="F1838" s="15" t="s">
        <v>459</v>
      </c>
      <c r="G1838" s="15" t="str" cm="1">
        <f t="array" ref="G1838">IFERROR(
  INDEX(Table13[Quartile],
    MATCH(1,
      (Table13[[#This Row],[OrgName]]=Table13[OrgName]) *
      (Table13[[#This Row],[Month Number]]-1=Table13[Month Number]),
    0)
  ),
"")</f>
        <v/>
      </c>
      <c r="H1838" s="15" t="str">
        <f>IF(Table13[[#This Row],[Previous Quartile]]="TopQuartile", 1,
 IF(Table13[[#This Row],[Previous Quartile]]="SecondQuartile", 2,
 IF(Table13[[#This Row],[Previous Quartile]]="ThirdQuartile", 3,
 IF(Table13[[#This Row],[Previous Quartile]]="FourthQuartile", 4, ""))))</f>
        <v/>
      </c>
      <c r="I1838" s="15" t="s">
        <v>649</v>
      </c>
      <c r="J1838" s="15" t="s">
        <v>22</v>
      </c>
      <c r="K1838" s="7" t="str">
        <f>VLOOKUP(J1838,Introduction!$B$6:$C$14,2)</f>
        <v>North West</v>
      </c>
      <c r="L1838" s="17">
        <v>382</v>
      </c>
      <c r="M1838" s="18" t="s">
        <v>425</v>
      </c>
    </row>
    <row r="1839" spans="1:13" ht="19.95" customHeight="1" x14ac:dyDescent="0.25">
      <c r="A1839" s="42">
        <v>45292</v>
      </c>
      <c r="B1839" s="48">
        <f>MONTH(Table13[[#This Row],[YearMonth]])</f>
        <v>1</v>
      </c>
      <c r="C1839" s="15" t="s">
        <v>225</v>
      </c>
      <c r="D1839" s="16" t="s">
        <v>341</v>
      </c>
      <c r="E1839" s="16">
        <f>IF(Table13[[#This Row],[Quartile]]="TopQuartile", 1,
 IF(Table13[[#This Row],[Quartile]]="SecondQuartile", 2,
 IF(Table13[[#This Row],[Quartile]]="ThirdQuartile", 3,
 IF(Table13[[#This Row],[Quartile]]="FourthQuartile", 4, ""))))</f>
        <v>3</v>
      </c>
      <c r="F1839" s="15" t="s">
        <v>460</v>
      </c>
      <c r="G1839" s="15" t="str" cm="1">
        <f t="array" ref="G1839">IFERROR(
  INDEX(Table13[Quartile],
    MATCH(1,
      (Table13[[#This Row],[OrgName]]=Table13[OrgName]) *
      (Table13[[#This Row],[Month Number]]-1=Table13[Month Number]),
    0)
  ),
"")</f>
        <v/>
      </c>
      <c r="H1839" s="15" t="str">
        <f>IF(Table13[[#This Row],[Previous Quartile]]="TopQuartile", 1,
 IF(Table13[[#This Row],[Previous Quartile]]="SecondQuartile", 2,
 IF(Table13[[#This Row],[Previous Quartile]]="ThirdQuartile", 3,
 IF(Table13[[#This Row],[Previous Quartile]]="FourthQuartile", 4, ""))))</f>
        <v/>
      </c>
      <c r="I1839" s="15" t="s">
        <v>649</v>
      </c>
      <c r="J1839" s="15" t="s">
        <v>14</v>
      </c>
      <c r="K1839" s="7" t="str">
        <f>VLOOKUP(J1839,Introduction!$B$6:$C$14,2)</f>
        <v>South West</v>
      </c>
      <c r="L1839" s="17">
        <v>216</v>
      </c>
      <c r="M1839" s="18" t="s">
        <v>425</v>
      </c>
    </row>
    <row r="1840" spans="1:13" ht="19.95" customHeight="1" x14ac:dyDescent="0.25">
      <c r="A1840" s="42">
        <v>45292</v>
      </c>
      <c r="B1840" s="48">
        <f>MONTH(Table13[[#This Row],[YearMonth]])</f>
        <v>1</v>
      </c>
      <c r="C1840" s="15" t="s">
        <v>195</v>
      </c>
      <c r="D1840" s="16" t="s">
        <v>341</v>
      </c>
      <c r="E1840" s="16">
        <f>IF(Table13[[#This Row],[Quartile]]="TopQuartile", 1,
 IF(Table13[[#This Row],[Quartile]]="SecondQuartile", 2,
 IF(Table13[[#This Row],[Quartile]]="ThirdQuartile", 3,
 IF(Table13[[#This Row],[Quartile]]="FourthQuartile", 4, ""))))</f>
        <v>3</v>
      </c>
      <c r="F1840" s="15" t="s">
        <v>452</v>
      </c>
      <c r="G1840" s="15" t="str" cm="1">
        <f t="array" ref="G1840">IFERROR(
  INDEX(Table13[Quartile],
    MATCH(1,
      (Table13[[#This Row],[OrgName]]=Table13[OrgName]) *
      (Table13[[#This Row],[Month Number]]-1=Table13[Month Number]),
    0)
  ),
"")</f>
        <v/>
      </c>
      <c r="H1840" s="15" t="str">
        <f>IF(Table13[[#This Row],[Previous Quartile]]="TopQuartile", 1,
 IF(Table13[[#This Row],[Previous Quartile]]="SecondQuartile", 2,
 IF(Table13[[#This Row],[Previous Quartile]]="ThirdQuartile", 3,
 IF(Table13[[#This Row],[Previous Quartile]]="FourthQuartile", 4, ""))))</f>
        <v/>
      </c>
      <c r="I1840" s="15" t="s">
        <v>649</v>
      </c>
      <c r="J1840" s="15" t="s">
        <v>24</v>
      </c>
      <c r="K1840" s="7" t="str">
        <f>VLOOKUP(J1840,Introduction!$B$6:$C$14,2)</f>
        <v>North East and Yorkshire</v>
      </c>
      <c r="L1840" s="17">
        <v>377</v>
      </c>
      <c r="M1840" s="18" t="s">
        <v>425</v>
      </c>
    </row>
    <row r="1841" spans="1:13" ht="19.95" customHeight="1" x14ac:dyDescent="0.25">
      <c r="A1841" s="42">
        <v>45292</v>
      </c>
      <c r="B1841" s="48">
        <f>MONTH(Table13[[#This Row],[YearMonth]])</f>
        <v>1</v>
      </c>
      <c r="C1841" s="15" t="s">
        <v>241</v>
      </c>
      <c r="D1841" s="16" t="s">
        <v>341</v>
      </c>
      <c r="E1841" s="16">
        <f>IF(Table13[[#This Row],[Quartile]]="TopQuartile", 1,
 IF(Table13[[#This Row],[Quartile]]="SecondQuartile", 2,
 IF(Table13[[#This Row],[Quartile]]="ThirdQuartile", 3,
 IF(Table13[[#This Row],[Quartile]]="FourthQuartile", 4, ""))))</f>
        <v>3</v>
      </c>
      <c r="F1841" s="15" t="s">
        <v>462</v>
      </c>
      <c r="G1841" s="15" t="str" cm="1">
        <f t="array" ref="G1841">IFERROR(
  INDEX(Table13[Quartile],
    MATCH(1,
      (Table13[[#This Row],[OrgName]]=Table13[OrgName]) *
      (Table13[[#This Row],[Month Number]]-1=Table13[Month Number]),
    0)
  ),
"")</f>
        <v/>
      </c>
      <c r="H1841" s="15" t="str">
        <f>IF(Table13[[#This Row],[Previous Quartile]]="TopQuartile", 1,
 IF(Table13[[#This Row],[Previous Quartile]]="SecondQuartile", 2,
 IF(Table13[[#This Row],[Previous Quartile]]="ThirdQuartile", 3,
 IF(Table13[[#This Row],[Previous Quartile]]="FourthQuartile", 4, ""))))</f>
        <v/>
      </c>
      <c r="I1841" s="15" t="s">
        <v>649</v>
      </c>
      <c r="J1841" s="15" t="s">
        <v>22</v>
      </c>
      <c r="K1841" s="7" t="str">
        <f>VLOOKUP(J1841,Introduction!$B$6:$C$14,2)</f>
        <v>North West</v>
      </c>
      <c r="L1841" s="17">
        <v>287</v>
      </c>
      <c r="M1841" s="18" t="s">
        <v>425</v>
      </c>
    </row>
    <row r="1842" spans="1:13" ht="19.95" customHeight="1" x14ac:dyDescent="0.25">
      <c r="A1842" s="42">
        <v>45292</v>
      </c>
      <c r="B1842" s="48">
        <f>MONTH(Table13[[#This Row],[YearMonth]])</f>
        <v>1</v>
      </c>
      <c r="C1842" s="15" t="s">
        <v>251</v>
      </c>
      <c r="D1842" s="16" t="s">
        <v>350</v>
      </c>
      <c r="E1842" s="16">
        <f>IF(Table13[[#This Row],[Quartile]]="TopQuartile", 1,
 IF(Table13[[#This Row],[Quartile]]="SecondQuartile", 2,
 IF(Table13[[#This Row],[Quartile]]="ThirdQuartile", 3,
 IF(Table13[[#This Row],[Quartile]]="FourthQuartile", 4, ""))))</f>
        <v>4</v>
      </c>
      <c r="F1842" s="15" t="s">
        <v>463</v>
      </c>
      <c r="G1842" s="15" t="str" cm="1">
        <f t="array" ref="G1842">IFERROR(
  INDEX(Table13[Quartile],
    MATCH(1,
      (Table13[[#This Row],[OrgName]]=Table13[OrgName]) *
      (Table13[[#This Row],[Month Number]]-1=Table13[Month Number]),
    0)
  ),
"")</f>
        <v/>
      </c>
      <c r="H1842" s="15" t="str">
        <f>IF(Table13[[#This Row],[Previous Quartile]]="TopQuartile", 1,
 IF(Table13[[#This Row],[Previous Quartile]]="SecondQuartile", 2,
 IF(Table13[[#This Row],[Previous Quartile]]="ThirdQuartile", 3,
 IF(Table13[[#This Row],[Previous Quartile]]="FourthQuartile", 4, ""))))</f>
        <v/>
      </c>
      <c r="I1842" s="15" t="s">
        <v>649</v>
      </c>
      <c r="J1842" s="15" t="s">
        <v>22</v>
      </c>
      <c r="K1842" s="7" t="str">
        <f>VLOOKUP(J1842,Introduction!$B$6:$C$14,2)</f>
        <v>North West</v>
      </c>
      <c r="L1842" s="17">
        <v>349</v>
      </c>
      <c r="M1842" s="18" t="s">
        <v>425</v>
      </c>
    </row>
    <row r="1843" spans="1:13" ht="19.95" customHeight="1" x14ac:dyDescent="0.25">
      <c r="A1843" s="42">
        <v>45292</v>
      </c>
      <c r="B1843" s="48">
        <f>MONTH(Table13[[#This Row],[YearMonth]])</f>
        <v>1</v>
      </c>
      <c r="C1843" s="15" t="s">
        <v>253</v>
      </c>
      <c r="D1843" s="16" t="s">
        <v>350</v>
      </c>
      <c r="E1843" s="16">
        <f>IF(Table13[[#This Row],[Quartile]]="TopQuartile", 1,
 IF(Table13[[#This Row],[Quartile]]="SecondQuartile", 2,
 IF(Table13[[#This Row],[Quartile]]="ThirdQuartile", 3,
 IF(Table13[[#This Row],[Quartile]]="FourthQuartile", 4, ""))))</f>
        <v>4</v>
      </c>
      <c r="F1843" s="15" t="s">
        <v>464</v>
      </c>
      <c r="G1843" s="15" t="str" cm="1">
        <f t="array" ref="G1843">IFERROR(
  INDEX(Table13[Quartile],
    MATCH(1,
      (Table13[[#This Row],[OrgName]]=Table13[OrgName]) *
      (Table13[[#This Row],[Month Number]]-1=Table13[Month Number]),
    0)
  ),
"")</f>
        <v/>
      </c>
      <c r="H1843" s="15" t="str">
        <f>IF(Table13[[#This Row],[Previous Quartile]]="TopQuartile", 1,
 IF(Table13[[#This Row],[Previous Quartile]]="SecondQuartile", 2,
 IF(Table13[[#This Row],[Previous Quartile]]="ThirdQuartile", 3,
 IF(Table13[[#This Row],[Previous Quartile]]="FourthQuartile", 4, ""))))</f>
        <v/>
      </c>
      <c r="I1843" s="15" t="s">
        <v>649</v>
      </c>
      <c r="J1843" s="15" t="s">
        <v>12</v>
      </c>
      <c r="K1843" s="7" t="str">
        <f>VLOOKUP(J1843,Introduction!$B$6:$C$14,2)</f>
        <v>London</v>
      </c>
      <c r="L1843" s="17">
        <v>196</v>
      </c>
      <c r="M1843" s="18" t="s">
        <v>425</v>
      </c>
    </row>
    <row r="1844" spans="1:13" ht="19.95" customHeight="1" x14ac:dyDescent="0.25">
      <c r="A1844" s="42">
        <v>45292</v>
      </c>
      <c r="B1844" s="48">
        <f>MONTH(Table13[[#This Row],[YearMonth]])</f>
        <v>1</v>
      </c>
      <c r="C1844" s="15" t="s">
        <v>258</v>
      </c>
      <c r="D1844" s="16" t="s">
        <v>350</v>
      </c>
      <c r="E1844" s="16">
        <f>IF(Table13[[#This Row],[Quartile]]="TopQuartile", 1,
 IF(Table13[[#This Row],[Quartile]]="SecondQuartile", 2,
 IF(Table13[[#This Row],[Quartile]]="ThirdQuartile", 3,
 IF(Table13[[#This Row],[Quartile]]="FourthQuartile", 4, ""))))</f>
        <v>4</v>
      </c>
      <c r="F1844" s="15" t="s">
        <v>465</v>
      </c>
      <c r="G1844" s="15" t="str" cm="1">
        <f t="array" ref="G1844">IFERROR(
  INDEX(Table13[Quartile],
    MATCH(1,
      (Table13[[#This Row],[OrgName]]=Table13[OrgName]) *
      (Table13[[#This Row],[Month Number]]-1=Table13[Month Number]),
    0)
  ),
"")</f>
        <v/>
      </c>
      <c r="H1844" s="15" t="str">
        <f>IF(Table13[[#This Row],[Previous Quartile]]="TopQuartile", 1,
 IF(Table13[[#This Row],[Previous Quartile]]="SecondQuartile", 2,
 IF(Table13[[#This Row],[Previous Quartile]]="ThirdQuartile", 3,
 IF(Table13[[#This Row],[Previous Quartile]]="FourthQuartile", 4, ""))))</f>
        <v/>
      </c>
      <c r="I1844" s="15" t="s">
        <v>649</v>
      </c>
      <c r="J1844" s="15" t="s">
        <v>16</v>
      </c>
      <c r="K1844" s="7" t="str">
        <f>VLOOKUP(J1844,Introduction!$B$6:$C$14,2)</f>
        <v>South East</v>
      </c>
      <c r="L1844" s="17">
        <v>321</v>
      </c>
      <c r="M1844" s="18" t="s">
        <v>425</v>
      </c>
    </row>
    <row r="1845" spans="1:13" ht="19.95" customHeight="1" x14ac:dyDescent="0.25">
      <c r="A1845" s="42">
        <v>45292</v>
      </c>
      <c r="B1845" s="48">
        <f>MONTH(Table13[[#This Row],[YearMonth]])</f>
        <v>1</v>
      </c>
      <c r="C1845" s="15" t="s">
        <v>267</v>
      </c>
      <c r="D1845" s="16" t="s">
        <v>350</v>
      </c>
      <c r="E1845" s="16">
        <f>IF(Table13[[#This Row],[Quartile]]="TopQuartile", 1,
 IF(Table13[[#This Row],[Quartile]]="SecondQuartile", 2,
 IF(Table13[[#This Row],[Quartile]]="ThirdQuartile", 3,
 IF(Table13[[#This Row],[Quartile]]="FourthQuartile", 4, ""))))</f>
        <v>4</v>
      </c>
      <c r="F1845" s="15" t="s">
        <v>466</v>
      </c>
      <c r="G1845" s="15" t="str" cm="1">
        <f t="array" ref="G1845">IFERROR(
  INDEX(Table13[Quartile],
    MATCH(1,
      (Table13[[#This Row],[OrgName]]=Table13[OrgName]) *
      (Table13[[#This Row],[Month Number]]-1=Table13[Month Number]),
    0)
  ),
"")</f>
        <v/>
      </c>
      <c r="H1845" s="15" t="str">
        <f>IF(Table13[[#This Row],[Previous Quartile]]="TopQuartile", 1,
 IF(Table13[[#This Row],[Previous Quartile]]="SecondQuartile", 2,
 IF(Table13[[#This Row],[Previous Quartile]]="ThirdQuartile", 3,
 IF(Table13[[#This Row],[Previous Quartile]]="FourthQuartile", 4, ""))))</f>
        <v/>
      </c>
      <c r="I1845" s="15" t="s">
        <v>649</v>
      </c>
      <c r="J1845" s="15" t="s">
        <v>18</v>
      </c>
      <c r="K1845" s="7" t="str">
        <f>VLOOKUP(J1845,Introduction!$B$6:$C$14,2)</f>
        <v>Midlands</v>
      </c>
      <c r="L1845" s="17">
        <v>304</v>
      </c>
      <c r="M1845" s="18" t="s">
        <v>425</v>
      </c>
    </row>
    <row r="1846" spans="1:13" ht="19.95" customHeight="1" x14ac:dyDescent="0.25">
      <c r="A1846" s="42">
        <v>45292</v>
      </c>
      <c r="B1846" s="48">
        <f>MONTH(Table13[[#This Row],[YearMonth]])</f>
        <v>1</v>
      </c>
      <c r="C1846" s="15" t="s">
        <v>269</v>
      </c>
      <c r="D1846" s="16" t="s">
        <v>350</v>
      </c>
      <c r="E1846" s="16">
        <f>IF(Table13[[#This Row],[Quartile]]="TopQuartile", 1,
 IF(Table13[[#This Row],[Quartile]]="SecondQuartile", 2,
 IF(Table13[[#This Row],[Quartile]]="ThirdQuartile", 3,
 IF(Table13[[#This Row],[Quartile]]="FourthQuartile", 4, ""))))</f>
        <v>4</v>
      </c>
      <c r="F1846" s="15" t="s">
        <v>467</v>
      </c>
      <c r="G1846" s="15" t="str" cm="1">
        <f t="array" ref="G1846">IFERROR(
  INDEX(Table13[Quartile],
    MATCH(1,
      (Table13[[#This Row],[OrgName]]=Table13[OrgName]) *
      (Table13[[#This Row],[Month Number]]-1=Table13[Month Number]),
    0)
  ),
"")</f>
        <v/>
      </c>
      <c r="H1846" s="15" t="str">
        <f>IF(Table13[[#This Row],[Previous Quartile]]="TopQuartile", 1,
 IF(Table13[[#This Row],[Previous Quartile]]="SecondQuartile", 2,
 IF(Table13[[#This Row],[Previous Quartile]]="ThirdQuartile", 3,
 IF(Table13[[#This Row],[Previous Quartile]]="FourthQuartile", 4, ""))))</f>
        <v/>
      </c>
      <c r="I1846" s="15" t="s">
        <v>649</v>
      </c>
      <c r="J1846" s="15" t="s">
        <v>14</v>
      </c>
      <c r="K1846" s="7" t="str">
        <f>VLOOKUP(J1846,Introduction!$B$6:$C$14,2)</f>
        <v>South West</v>
      </c>
      <c r="L1846" s="17">
        <v>387</v>
      </c>
      <c r="M1846" s="18" t="s">
        <v>425</v>
      </c>
    </row>
    <row r="1847" spans="1:13" ht="19.95" customHeight="1" x14ac:dyDescent="0.25">
      <c r="A1847" s="42">
        <v>45292</v>
      </c>
      <c r="B1847" s="48">
        <f>MONTH(Table13[[#This Row],[YearMonth]])</f>
        <v>1</v>
      </c>
      <c r="C1847" s="15" t="s">
        <v>211</v>
      </c>
      <c r="D1847" s="16" t="s">
        <v>350</v>
      </c>
      <c r="E1847" s="16">
        <f>IF(Table13[[#This Row],[Quartile]]="TopQuartile", 1,
 IF(Table13[[#This Row],[Quartile]]="SecondQuartile", 2,
 IF(Table13[[#This Row],[Quartile]]="ThirdQuartile", 3,
 IF(Table13[[#This Row],[Quartile]]="FourthQuartile", 4, ""))))</f>
        <v>4</v>
      </c>
      <c r="F1847" s="15" t="s">
        <v>457</v>
      </c>
      <c r="G1847" s="15" t="str" cm="1">
        <f t="array" ref="G1847">IFERROR(
  INDEX(Table13[Quartile],
    MATCH(1,
      (Table13[[#This Row],[OrgName]]=Table13[OrgName]) *
      (Table13[[#This Row],[Month Number]]-1=Table13[Month Number]),
    0)
  ),
"")</f>
        <v/>
      </c>
      <c r="H1847" s="15" t="str">
        <f>IF(Table13[[#This Row],[Previous Quartile]]="TopQuartile", 1,
 IF(Table13[[#This Row],[Previous Quartile]]="SecondQuartile", 2,
 IF(Table13[[#This Row],[Previous Quartile]]="ThirdQuartile", 3,
 IF(Table13[[#This Row],[Previous Quartile]]="FourthQuartile", 4, ""))))</f>
        <v/>
      </c>
      <c r="I1847" s="15" t="s">
        <v>649</v>
      </c>
      <c r="J1847" s="15" t="s">
        <v>12</v>
      </c>
      <c r="K1847" s="7" t="str">
        <f>VLOOKUP(J1847,Introduction!$B$6:$C$14,2)</f>
        <v>London</v>
      </c>
      <c r="L1847" s="17">
        <v>213</v>
      </c>
      <c r="M1847" s="18" t="s">
        <v>425</v>
      </c>
    </row>
    <row r="1848" spans="1:13" ht="19.95" customHeight="1" x14ac:dyDescent="0.25">
      <c r="A1848" s="42">
        <v>45292</v>
      </c>
      <c r="B1848" s="48">
        <f>MONTH(Table13[[#This Row],[YearMonth]])</f>
        <v>1</v>
      </c>
      <c r="C1848" s="15" t="s">
        <v>281</v>
      </c>
      <c r="D1848" s="16" t="s">
        <v>350</v>
      </c>
      <c r="E1848" s="16">
        <f>IF(Table13[[#This Row],[Quartile]]="TopQuartile", 1,
 IF(Table13[[#This Row],[Quartile]]="SecondQuartile", 2,
 IF(Table13[[#This Row],[Quartile]]="ThirdQuartile", 3,
 IF(Table13[[#This Row],[Quartile]]="FourthQuartile", 4, ""))))</f>
        <v>4</v>
      </c>
      <c r="F1848" s="15" t="s">
        <v>469</v>
      </c>
      <c r="G1848" s="15" t="str" cm="1">
        <f t="array" ref="G1848">IFERROR(
  INDEX(Table13[Quartile],
    MATCH(1,
      (Table13[[#This Row],[OrgName]]=Table13[OrgName]) *
      (Table13[[#This Row],[Month Number]]-1=Table13[Month Number]),
    0)
  ),
"")</f>
        <v/>
      </c>
      <c r="H1848" s="15" t="str">
        <f>IF(Table13[[#This Row],[Previous Quartile]]="TopQuartile", 1,
 IF(Table13[[#This Row],[Previous Quartile]]="SecondQuartile", 2,
 IF(Table13[[#This Row],[Previous Quartile]]="ThirdQuartile", 3,
 IF(Table13[[#This Row],[Previous Quartile]]="FourthQuartile", 4, ""))))</f>
        <v/>
      </c>
      <c r="I1848" s="15" t="s">
        <v>649</v>
      </c>
      <c r="J1848" s="15" t="s">
        <v>18</v>
      </c>
      <c r="K1848" s="7" t="str">
        <f>VLOOKUP(J1848,Introduction!$B$6:$C$14,2)</f>
        <v>Midlands</v>
      </c>
      <c r="L1848" s="17">
        <v>205</v>
      </c>
      <c r="M1848" s="18" t="s">
        <v>425</v>
      </c>
    </row>
    <row r="1849" spans="1:13" ht="19.95" customHeight="1" x14ac:dyDescent="0.25">
      <c r="A1849" s="42">
        <v>45292</v>
      </c>
      <c r="B1849" s="48">
        <f>MONTH(Table13[[#This Row],[YearMonth]])</f>
        <v>1</v>
      </c>
      <c r="C1849" s="15" t="s">
        <v>160</v>
      </c>
      <c r="D1849" s="16" t="s">
        <v>350</v>
      </c>
      <c r="E1849" s="16">
        <f>IF(Table13[[#This Row],[Quartile]]="TopQuartile", 1,
 IF(Table13[[#This Row],[Quartile]]="SecondQuartile", 2,
 IF(Table13[[#This Row],[Quartile]]="ThirdQuartile", 3,
 IF(Table13[[#This Row],[Quartile]]="FourthQuartile", 4, ""))))</f>
        <v>4</v>
      </c>
      <c r="F1849" s="15" t="s">
        <v>441</v>
      </c>
      <c r="G1849" s="15" t="str" cm="1">
        <f t="array" ref="G1849">IFERROR(
  INDEX(Table13[Quartile],
    MATCH(1,
      (Table13[[#This Row],[OrgName]]=Table13[OrgName]) *
      (Table13[[#This Row],[Month Number]]-1=Table13[Month Number]),
    0)
  ),
"")</f>
        <v/>
      </c>
      <c r="H1849" s="15" t="str">
        <f>IF(Table13[[#This Row],[Previous Quartile]]="TopQuartile", 1,
 IF(Table13[[#This Row],[Previous Quartile]]="SecondQuartile", 2,
 IF(Table13[[#This Row],[Previous Quartile]]="ThirdQuartile", 3,
 IF(Table13[[#This Row],[Previous Quartile]]="FourthQuartile", 4, ""))))</f>
        <v/>
      </c>
      <c r="I1849" s="15" t="s">
        <v>649</v>
      </c>
      <c r="J1849" s="15" t="s">
        <v>24</v>
      </c>
      <c r="K1849" s="7" t="str">
        <f>VLOOKUP(J1849,Introduction!$B$6:$C$14,2)</f>
        <v>North East and Yorkshire</v>
      </c>
      <c r="L1849" s="17">
        <v>272</v>
      </c>
      <c r="M1849" s="18" t="s">
        <v>425</v>
      </c>
    </row>
    <row r="1850" spans="1:13" ht="19.95" customHeight="1" x14ac:dyDescent="0.25">
      <c r="A1850" s="42">
        <v>45292</v>
      </c>
      <c r="B1850" s="48">
        <f>MONTH(Table13[[#This Row],[YearMonth]])</f>
        <v>1</v>
      </c>
      <c r="C1850" s="15" t="s">
        <v>277</v>
      </c>
      <c r="D1850" s="16" t="s">
        <v>350</v>
      </c>
      <c r="E1850" s="16">
        <f>IF(Table13[[#This Row],[Quartile]]="TopQuartile", 1,
 IF(Table13[[#This Row],[Quartile]]="SecondQuartile", 2,
 IF(Table13[[#This Row],[Quartile]]="ThirdQuartile", 3,
 IF(Table13[[#This Row],[Quartile]]="FourthQuartile", 4, ""))))</f>
        <v>4</v>
      </c>
      <c r="F1850" s="15" t="s">
        <v>468</v>
      </c>
      <c r="G1850" s="15" t="str" cm="1">
        <f t="array" ref="G1850">IFERROR(
  INDEX(Table13[Quartile],
    MATCH(1,
      (Table13[[#This Row],[OrgName]]=Table13[OrgName]) *
      (Table13[[#This Row],[Month Number]]-1=Table13[Month Number]),
    0)
  ),
"")</f>
        <v/>
      </c>
      <c r="H1850" s="15" t="str">
        <f>IF(Table13[[#This Row],[Previous Quartile]]="TopQuartile", 1,
 IF(Table13[[#This Row],[Previous Quartile]]="SecondQuartile", 2,
 IF(Table13[[#This Row],[Previous Quartile]]="ThirdQuartile", 3,
 IF(Table13[[#This Row],[Previous Quartile]]="FourthQuartile", 4, ""))))</f>
        <v/>
      </c>
      <c r="I1850" s="15" t="s">
        <v>649</v>
      </c>
      <c r="J1850" s="15" t="s">
        <v>24</v>
      </c>
      <c r="K1850" s="7" t="str">
        <f>VLOOKUP(J1850,Introduction!$B$6:$C$14,2)</f>
        <v>North East and Yorkshire</v>
      </c>
      <c r="L1850" s="17">
        <v>419</v>
      </c>
      <c r="M1850" s="18" t="s">
        <v>425</v>
      </c>
    </row>
    <row r="1851" spans="1:13" ht="19.95" customHeight="1" x14ac:dyDescent="0.25">
      <c r="A1851" s="42">
        <v>45292</v>
      </c>
      <c r="B1851" s="48">
        <f>MONTH(Table13[[#This Row],[YearMonth]])</f>
        <v>1</v>
      </c>
      <c r="C1851" s="15" t="s">
        <v>282</v>
      </c>
      <c r="D1851" s="16" t="s">
        <v>350</v>
      </c>
      <c r="E1851" s="16">
        <f>IF(Table13[[#This Row],[Quartile]]="TopQuartile", 1,
 IF(Table13[[#This Row],[Quartile]]="SecondQuartile", 2,
 IF(Table13[[#This Row],[Quartile]]="ThirdQuartile", 3,
 IF(Table13[[#This Row],[Quartile]]="FourthQuartile", 4, ""))))</f>
        <v>4</v>
      </c>
      <c r="F1851" s="15" t="s">
        <v>470</v>
      </c>
      <c r="G1851" s="15" t="str" cm="1">
        <f t="array" ref="G1851">IFERROR(
  INDEX(Table13[Quartile],
    MATCH(1,
      (Table13[[#This Row],[OrgName]]=Table13[OrgName]) *
      (Table13[[#This Row],[Month Number]]-1=Table13[Month Number]),
    0)
  ),
"")</f>
        <v/>
      </c>
      <c r="H1851" s="15" t="str">
        <f>IF(Table13[[#This Row],[Previous Quartile]]="TopQuartile", 1,
 IF(Table13[[#This Row],[Previous Quartile]]="SecondQuartile", 2,
 IF(Table13[[#This Row],[Previous Quartile]]="ThirdQuartile", 3,
 IF(Table13[[#This Row],[Previous Quartile]]="FourthQuartile", 4, ""))))</f>
        <v/>
      </c>
      <c r="I1851" s="15" t="s">
        <v>649</v>
      </c>
      <c r="J1851" s="15" t="s">
        <v>12</v>
      </c>
      <c r="K1851" s="7" t="str">
        <f>VLOOKUP(J1851,Introduction!$B$6:$C$14,2)</f>
        <v>London</v>
      </c>
      <c r="L1851" s="17">
        <v>290</v>
      </c>
      <c r="M1851" s="18" t="s">
        <v>425</v>
      </c>
    </row>
    <row r="1852" spans="1:13" ht="19.95" customHeight="1" x14ac:dyDescent="0.25">
      <c r="A1852" s="42">
        <v>45292</v>
      </c>
      <c r="B1852" s="48">
        <f>MONTH(Table13[[#This Row],[YearMonth]])</f>
        <v>1</v>
      </c>
      <c r="C1852" s="15" t="s">
        <v>287</v>
      </c>
      <c r="D1852" s="16" t="s">
        <v>350</v>
      </c>
      <c r="E1852" s="16">
        <f>IF(Table13[[#This Row],[Quartile]]="TopQuartile", 1,
 IF(Table13[[#This Row],[Quartile]]="SecondQuartile", 2,
 IF(Table13[[#This Row],[Quartile]]="ThirdQuartile", 3,
 IF(Table13[[#This Row],[Quartile]]="FourthQuartile", 4, ""))))</f>
        <v>4</v>
      </c>
      <c r="F1852" s="15" t="s">
        <v>471</v>
      </c>
      <c r="G1852" s="15" t="str" cm="1">
        <f t="array" ref="G1852">IFERROR(
  INDEX(Table13[Quartile],
    MATCH(1,
      (Table13[[#This Row],[OrgName]]=Table13[OrgName]) *
      (Table13[[#This Row],[Month Number]]-1=Table13[Month Number]),
    0)
  ),
"")</f>
        <v/>
      </c>
      <c r="H1852" s="15" t="str">
        <f>IF(Table13[[#This Row],[Previous Quartile]]="TopQuartile", 1,
 IF(Table13[[#This Row],[Previous Quartile]]="SecondQuartile", 2,
 IF(Table13[[#This Row],[Previous Quartile]]="ThirdQuartile", 3,
 IF(Table13[[#This Row],[Previous Quartile]]="FourthQuartile", 4, ""))))</f>
        <v/>
      </c>
      <c r="I1852" s="15" t="s">
        <v>649</v>
      </c>
      <c r="J1852" s="15" t="s">
        <v>12</v>
      </c>
      <c r="K1852" s="7" t="str">
        <f>VLOOKUP(J1852,Introduction!$B$6:$C$14,2)</f>
        <v>London</v>
      </c>
      <c r="L1852" s="17">
        <v>289</v>
      </c>
      <c r="M1852" s="18" t="s">
        <v>425</v>
      </c>
    </row>
    <row r="1853" spans="1:13" ht="19.95" customHeight="1" x14ac:dyDescent="0.25">
      <c r="A1853" s="42">
        <v>45292</v>
      </c>
      <c r="B1853" s="48">
        <f>MONTH(Table13[[#This Row],[YearMonth]])</f>
        <v>1</v>
      </c>
      <c r="C1853" s="15" t="s">
        <v>301</v>
      </c>
      <c r="D1853" s="16" t="s">
        <v>350</v>
      </c>
      <c r="E1853" s="16">
        <f>IF(Table13[[#This Row],[Quartile]]="TopQuartile", 1,
 IF(Table13[[#This Row],[Quartile]]="SecondQuartile", 2,
 IF(Table13[[#This Row],[Quartile]]="ThirdQuartile", 3,
 IF(Table13[[#This Row],[Quartile]]="FourthQuartile", 4, ""))))</f>
        <v>4</v>
      </c>
      <c r="F1853" s="15" t="s">
        <v>472</v>
      </c>
      <c r="G1853" s="15" t="str" cm="1">
        <f t="array" ref="G1853">IFERROR(
  INDEX(Table13[Quartile],
    MATCH(1,
      (Table13[[#This Row],[OrgName]]=Table13[OrgName]) *
      (Table13[[#This Row],[Month Number]]-1=Table13[Month Number]),
    0)
  ),
"")</f>
        <v/>
      </c>
      <c r="H1853" s="15" t="str">
        <f>IF(Table13[[#This Row],[Previous Quartile]]="TopQuartile", 1,
 IF(Table13[[#This Row],[Previous Quartile]]="SecondQuartile", 2,
 IF(Table13[[#This Row],[Previous Quartile]]="ThirdQuartile", 3,
 IF(Table13[[#This Row],[Previous Quartile]]="FourthQuartile", 4, ""))))</f>
        <v/>
      </c>
      <c r="I1853" s="15" t="s">
        <v>649</v>
      </c>
      <c r="J1853" s="15" t="s">
        <v>14</v>
      </c>
      <c r="K1853" s="7" t="str">
        <f>VLOOKUP(J1853,Introduction!$B$6:$C$14,2)</f>
        <v>South West</v>
      </c>
      <c r="L1853" s="17">
        <v>153</v>
      </c>
      <c r="M1853" s="18" t="s">
        <v>425</v>
      </c>
    </row>
    <row r="1854" spans="1:13" ht="19.95" customHeight="1" x14ac:dyDescent="0.25">
      <c r="A1854" s="42">
        <v>45292</v>
      </c>
      <c r="B1854" s="48">
        <f>MONTH(Table13[[#This Row],[YearMonth]])</f>
        <v>1</v>
      </c>
      <c r="C1854" s="15" t="s">
        <v>309</v>
      </c>
      <c r="D1854" s="16" t="s">
        <v>350</v>
      </c>
      <c r="E1854" s="16">
        <f>IF(Table13[[#This Row],[Quartile]]="TopQuartile", 1,
 IF(Table13[[#This Row],[Quartile]]="SecondQuartile", 2,
 IF(Table13[[#This Row],[Quartile]]="ThirdQuartile", 3,
 IF(Table13[[#This Row],[Quartile]]="FourthQuartile", 4, ""))))</f>
        <v>4</v>
      </c>
      <c r="F1854" s="15" t="s">
        <v>474</v>
      </c>
      <c r="G1854" s="15" t="str" cm="1">
        <f t="array" ref="G1854">IFERROR(
  INDEX(Table13[Quartile],
    MATCH(1,
      (Table13[[#This Row],[OrgName]]=Table13[OrgName]) *
      (Table13[[#This Row],[Month Number]]-1=Table13[Month Number]),
    0)
  ),
"")</f>
        <v/>
      </c>
      <c r="H1854" s="15" t="str">
        <f>IF(Table13[[#This Row],[Previous Quartile]]="TopQuartile", 1,
 IF(Table13[[#This Row],[Previous Quartile]]="SecondQuartile", 2,
 IF(Table13[[#This Row],[Previous Quartile]]="ThirdQuartile", 3,
 IF(Table13[[#This Row],[Previous Quartile]]="FourthQuartile", 4, ""))))</f>
        <v/>
      </c>
      <c r="I1854" s="15" t="s">
        <v>649</v>
      </c>
      <c r="J1854" s="15" t="s">
        <v>20</v>
      </c>
      <c r="K1854" s="7" t="str">
        <f>VLOOKUP(J1854,Introduction!$B$6:$C$14,2)</f>
        <v>East of England</v>
      </c>
      <c r="L1854" s="17">
        <v>234</v>
      </c>
      <c r="M1854" s="18" t="s">
        <v>425</v>
      </c>
    </row>
    <row r="1855" spans="1:13" ht="19.95" customHeight="1" x14ac:dyDescent="0.25">
      <c r="A1855" s="42">
        <v>45292</v>
      </c>
      <c r="B1855" s="48">
        <f>MONTH(Table13[[#This Row],[YearMonth]])</f>
        <v>1</v>
      </c>
      <c r="C1855" s="15" t="s">
        <v>307</v>
      </c>
      <c r="D1855" s="16" t="s">
        <v>350</v>
      </c>
      <c r="E1855" s="16">
        <f>IF(Table13[[#This Row],[Quartile]]="TopQuartile", 1,
 IF(Table13[[#This Row],[Quartile]]="SecondQuartile", 2,
 IF(Table13[[#This Row],[Quartile]]="ThirdQuartile", 3,
 IF(Table13[[#This Row],[Quartile]]="FourthQuartile", 4, ""))))</f>
        <v>4</v>
      </c>
      <c r="F1855" s="15" t="s">
        <v>473</v>
      </c>
      <c r="G1855" s="15" t="str" cm="1">
        <f t="array" ref="G1855">IFERROR(
  INDEX(Table13[Quartile],
    MATCH(1,
      (Table13[[#This Row],[OrgName]]=Table13[OrgName]) *
      (Table13[[#This Row],[Month Number]]-1=Table13[Month Number]),
    0)
  ),
"")</f>
        <v/>
      </c>
      <c r="H1855" s="15" t="str">
        <f>IF(Table13[[#This Row],[Previous Quartile]]="TopQuartile", 1,
 IF(Table13[[#This Row],[Previous Quartile]]="SecondQuartile", 2,
 IF(Table13[[#This Row],[Previous Quartile]]="ThirdQuartile", 3,
 IF(Table13[[#This Row],[Previous Quartile]]="FourthQuartile", 4, ""))))</f>
        <v/>
      </c>
      <c r="I1855" s="15" t="s">
        <v>649</v>
      </c>
      <c r="J1855" s="15" t="s">
        <v>18</v>
      </c>
      <c r="K1855" s="7" t="str">
        <f>VLOOKUP(J1855,Introduction!$B$6:$C$14,2)</f>
        <v>Midlands</v>
      </c>
      <c r="L1855" s="17">
        <v>164</v>
      </c>
      <c r="M1855" s="18" t="s">
        <v>425</v>
      </c>
    </row>
    <row r="1856" spans="1:13" ht="19.95" customHeight="1" x14ac:dyDescent="0.25">
      <c r="A1856" s="42">
        <v>45292</v>
      </c>
      <c r="B1856" s="48">
        <f>MONTH(Table13[[#This Row],[YearMonth]])</f>
        <v>1</v>
      </c>
      <c r="C1856" s="15" t="s">
        <v>183</v>
      </c>
      <c r="D1856" s="16" t="s">
        <v>338</v>
      </c>
      <c r="E1856" s="16">
        <f>IF(Table13[[#This Row],[Quartile]]="TopQuartile", 1,
 IF(Table13[[#This Row],[Quartile]]="SecondQuartile", 2,
 IF(Table13[[#This Row],[Quartile]]="ThirdQuartile", 3,
 IF(Table13[[#This Row],[Quartile]]="FourthQuartile", 4, ""))))</f>
        <v>2</v>
      </c>
      <c r="F1856" s="15" t="s">
        <v>477</v>
      </c>
      <c r="G1856" s="15" t="str" cm="1">
        <f t="array" ref="G1856">IFERROR(
  INDEX(Table13[Quartile],
    MATCH(1,
      (Table13[[#This Row],[OrgName]]=Table13[OrgName]) *
      (Table13[[#This Row],[Month Number]]-1=Table13[Month Number]),
    0)
  ),
"")</f>
        <v/>
      </c>
      <c r="H1856" s="15" t="str">
        <f>IF(Table13[[#This Row],[Previous Quartile]]="TopQuartile", 1,
 IF(Table13[[#This Row],[Previous Quartile]]="SecondQuartile", 2,
 IF(Table13[[#This Row],[Previous Quartile]]="ThirdQuartile", 3,
 IF(Table13[[#This Row],[Previous Quartile]]="FourthQuartile", 4, ""))))</f>
        <v/>
      </c>
      <c r="I1856" s="15" t="s">
        <v>649</v>
      </c>
      <c r="J1856" s="15" t="s">
        <v>18</v>
      </c>
      <c r="K1856" s="7" t="str">
        <f>VLOOKUP(J1856,Introduction!$B$6:$C$14,2)</f>
        <v>Midlands</v>
      </c>
      <c r="L1856" s="17">
        <v>217</v>
      </c>
      <c r="M1856" s="18" t="s">
        <v>476</v>
      </c>
    </row>
    <row r="1857" spans="1:13" ht="19.95" customHeight="1" x14ac:dyDescent="0.25">
      <c r="A1857" s="42">
        <v>45292</v>
      </c>
      <c r="B1857" s="48">
        <f>MONTH(Table13[[#This Row],[YearMonth]])</f>
        <v>1</v>
      </c>
      <c r="C1857" s="15" t="s">
        <v>201</v>
      </c>
      <c r="D1857" s="16" t="s">
        <v>341</v>
      </c>
      <c r="E1857" s="16">
        <f>IF(Table13[[#This Row],[Quartile]]="TopQuartile", 1,
 IF(Table13[[#This Row],[Quartile]]="SecondQuartile", 2,
 IF(Table13[[#This Row],[Quartile]]="ThirdQuartile", 3,
 IF(Table13[[#This Row],[Quartile]]="FourthQuartile", 4, ""))))</f>
        <v>3</v>
      </c>
      <c r="F1857" s="15" t="s">
        <v>478</v>
      </c>
      <c r="G1857" s="15" t="str" cm="1">
        <f t="array" ref="G1857">IFERROR(
  INDEX(Table13[Quartile],
    MATCH(1,
      (Table13[[#This Row],[OrgName]]=Table13[OrgName]) *
      (Table13[[#This Row],[Month Number]]-1=Table13[Month Number]),
    0)
  ),
"")</f>
        <v/>
      </c>
      <c r="H1857" s="15" t="str">
        <f>IF(Table13[[#This Row],[Previous Quartile]]="TopQuartile", 1,
 IF(Table13[[#This Row],[Previous Quartile]]="SecondQuartile", 2,
 IF(Table13[[#This Row],[Previous Quartile]]="ThirdQuartile", 3,
 IF(Table13[[#This Row],[Previous Quartile]]="FourthQuartile", 4, ""))))</f>
        <v/>
      </c>
      <c r="I1857" s="15" t="s">
        <v>649</v>
      </c>
      <c r="J1857" s="15" t="s">
        <v>16</v>
      </c>
      <c r="K1857" s="7" t="str">
        <f>VLOOKUP(J1857,Introduction!$B$6:$C$14,2)</f>
        <v>South East</v>
      </c>
      <c r="L1857" s="17">
        <v>195</v>
      </c>
      <c r="M1857" s="18" t="s">
        <v>476</v>
      </c>
    </row>
    <row r="1858" spans="1:13" ht="19.95" customHeight="1" x14ac:dyDescent="0.25">
      <c r="A1858" s="42">
        <v>45292</v>
      </c>
      <c r="B1858" s="48">
        <f>MONTH(Table13[[#This Row],[YearMonth]])</f>
        <v>1</v>
      </c>
      <c r="C1858" s="15" t="s">
        <v>180</v>
      </c>
      <c r="D1858" s="16" t="s">
        <v>341</v>
      </c>
      <c r="E1858" s="16">
        <f>IF(Table13[[#This Row],[Quartile]]="TopQuartile", 1,
 IF(Table13[[#This Row],[Quartile]]="SecondQuartile", 2,
 IF(Table13[[#This Row],[Quartile]]="ThirdQuartile", 3,
 IF(Table13[[#This Row],[Quartile]]="FourthQuartile", 4, ""))))</f>
        <v>3</v>
      </c>
      <c r="F1858" s="15" t="s">
        <v>475</v>
      </c>
      <c r="G1858" s="15" t="str" cm="1">
        <f t="array" ref="G1858">IFERROR(
  INDEX(Table13[Quartile],
    MATCH(1,
      (Table13[[#This Row],[OrgName]]=Table13[OrgName]) *
      (Table13[[#This Row],[Month Number]]-1=Table13[Month Number]),
    0)
  ),
"")</f>
        <v/>
      </c>
      <c r="H1858" s="15" t="str">
        <f>IF(Table13[[#This Row],[Previous Quartile]]="TopQuartile", 1,
 IF(Table13[[#This Row],[Previous Quartile]]="SecondQuartile", 2,
 IF(Table13[[#This Row],[Previous Quartile]]="ThirdQuartile", 3,
 IF(Table13[[#This Row],[Previous Quartile]]="FourthQuartile", 4, ""))))</f>
        <v/>
      </c>
      <c r="I1858" s="15" t="s">
        <v>649</v>
      </c>
      <c r="J1858" s="15" t="s">
        <v>16</v>
      </c>
      <c r="K1858" s="7" t="str">
        <f>VLOOKUP(J1858,Introduction!$B$6:$C$14,2)</f>
        <v>South East</v>
      </c>
      <c r="L1858" s="17">
        <v>278</v>
      </c>
      <c r="M1858" s="18" t="s">
        <v>476</v>
      </c>
    </row>
    <row r="1859" spans="1:13" ht="19.95" customHeight="1" x14ac:dyDescent="0.25">
      <c r="A1859" s="42">
        <v>45292</v>
      </c>
      <c r="B1859" s="48">
        <f>MONTH(Table13[[#This Row],[YearMonth]])</f>
        <v>1</v>
      </c>
      <c r="C1859" s="15" t="s">
        <v>285</v>
      </c>
      <c r="D1859" s="16" t="s">
        <v>341</v>
      </c>
      <c r="E1859" s="16">
        <f>IF(Table13[[#This Row],[Quartile]]="TopQuartile", 1,
 IF(Table13[[#This Row],[Quartile]]="SecondQuartile", 2,
 IF(Table13[[#This Row],[Quartile]]="ThirdQuartile", 3,
 IF(Table13[[#This Row],[Quartile]]="FourthQuartile", 4, ""))))</f>
        <v>3</v>
      </c>
      <c r="F1859" s="15" t="s">
        <v>483</v>
      </c>
      <c r="G1859" s="15" t="str" cm="1">
        <f t="array" ref="G1859">IFERROR(
  INDEX(Table13[Quartile],
    MATCH(1,
      (Table13[[#This Row],[OrgName]]=Table13[OrgName]) *
      (Table13[[#This Row],[Month Number]]-1=Table13[Month Number]),
    0)
  ),
"")</f>
        <v/>
      </c>
      <c r="H1859" s="15" t="str">
        <f>IF(Table13[[#This Row],[Previous Quartile]]="TopQuartile", 1,
 IF(Table13[[#This Row],[Previous Quartile]]="SecondQuartile", 2,
 IF(Table13[[#This Row],[Previous Quartile]]="ThirdQuartile", 3,
 IF(Table13[[#This Row],[Previous Quartile]]="FourthQuartile", 4, ""))))</f>
        <v/>
      </c>
      <c r="I1859" s="15" t="s">
        <v>649</v>
      </c>
      <c r="J1859" s="15" t="s">
        <v>22</v>
      </c>
      <c r="K1859" s="7" t="str">
        <f>VLOOKUP(J1859,Introduction!$B$6:$C$14,2)</f>
        <v>North West</v>
      </c>
      <c r="L1859" s="17">
        <v>242</v>
      </c>
      <c r="M1859" s="18" t="s">
        <v>476</v>
      </c>
    </row>
    <row r="1860" spans="1:13" ht="19.95" customHeight="1" x14ac:dyDescent="0.25">
      <c r="A1860" s="42">
        <v>45292</v>
      </c>
      <c r="B1860" s="48">
        <f>MONTH(Table13[[#This Row],[YearMonth]])</f>
        <v>1</v>
      </c>
      <c r="C1860" s="15" t="s">
        <v>263</v>
      </c>
      <c r="D1860" s="16" t="s">
        <v>341</v>
      </c>
      <c r="E1860" s="16">
        <f>IF(Table13[[#This Row],[Quartile]]="TopQuartile", 1,
 IF(Table13[[#This Row],[Quartile]]="SecondQuartile", 2,
 IF(Table13[[#This Row],[Quartile]]="ThirdQuartile", 3,
 IF(Table13[[#This Row],[Quartile]]="FourthQuartile", 4, ""))))</f>
        <v>3</v>
      </c>
      <c r="F1860" s="15" t="s">
        <v>479</v>
      </c>
      <c r="G1860" s="15" t="str" cm="1">
        <f t="array" ref="G1860">IFERROR(
  INDEX(Table13[Quartile],
    MATCH(1,
      (Table13[[#This Row],[OrgName]]=Table13[OrgName]) *
      (Table13[[#This Row],[Month Number]]-1=Table13[Month Number]),
    0)
  ),
"")</f>
        <v/>
      </c>
      <c r="H1860" s="15" t="str">
        <f>IF(Table13[[#This Row],[Previous Quartile]]="TopQuartile", 1,
 IF(Table13[[#This Row],[Previous Quartile]]="SecondQuartile", 2,
 IF(Table13[[#This Row],[Previous Quartile]]="ThirdQuartile", 3,
 IF(Table13[[#This Row],[Previous Quartile]]="FourthQuartile", 4, ""))))</f>
        <v/>
      </c>
      <c r="I1860" s="15" t="s">
        <v>649</v>
      </c>
      <c r="J1860" s="15" t="s">
        <v>24</v>
      </c>
      <c r="K1860" s="7" t="str">
        <f>VLOOKUP(J1860,Introduction!$B$6:$C$14,2)</f>
        <v>North East and Yorkshire</v>
      </c>
      <c r="L1860" s="17">
        <v>340</v>
      </c>
      <c r="M1860" s="18" t="s">
        <v>476</v>
      </c>
    </row>
    <row r="1861" spans="1:13" ht="19.95" customHeight="1" x14ac:dyDescent="0.25">
      <c r="A1861" s="42">
        <v>45292</v>
      </c>
      <c r="B1861" s="48">
        <f>MONTH(Table13[[#This Row],[YearMonth]])</f>
        <v>1</v>
      </c>
      <c r="C1861" s="15" t="s">
        <v>274</v>
      </c>
      <c r="D1861" s="16" t="s">
        <v>350</v>
      </c>
      <c r="E1861" s="16">
        <f>IF(Table13[[#This Row],[Quartile]]="TopQuartile", 1,
 IF(Table13[[#This Row],[Quartile]]="SecondQuartile", 2,
 IF(Table13[[#This Row],[Quartile]]="ThirdQuartile", 3,
 IF(Table13[[#This Row],[Quartile]]="FourthQuartile", 4, ""))))</f>
        <v>4</v>
      </c>
      <c r="F1861" s="15" t="s">
        <v>480</v>
      </c>
      <c r="G1861" s="15" t="str" cm="1">
        <f t="array" ref="G1861">IFERROR(
  INDEX(Table13[Quartile],
    MATCH(1,
      (Table13[[#This Row],[OrgName]]=Table13[OrgName]) *
      (Table13[[#This Row],[Month Number]]-1=Table13[Month Number]),
    0)
  ),
"")</f>
        <v/>
      </c>
      <c r="H1861" s="15" t="str">
        <f>IF(Table13[[#This Row],[Previous Quartile]]="TopQuartile", 1,
 IF(Table13[[#This Row],[Previous Quartile]]="SecondQuartile", 2,
 IF(Table13[[#This Row],[Previous Quartile]]="ThirdQuartile", 3,
 IF(Table13[[#This Row],[Previous Quartile]]="FourthQuartile", 4, ""))))</f>
        <v/>
      </c>
      <c r="I1861" s="15" t="s">
        <v>649</v>
      </c>
      <c r="J1861" s="15" t="s">
        <v>24</v>
      </c>
      <c r="K1861" s="7" t="str">
        <f>VLOOKUP(J1861,Introduction!$B$6:$C$14,2)</f>
        <v>North East and Yorkshire</v>
      </c>
      <c r="L1861" s="17">
        <v>174</v>
      </c>
      <c r="M1861" s="18" t="s">
        <v>476</v>
      </c>
    </row>
    <row r="1862" spans="1:13" ht="19.95" customHeight="1" x14ac:dyDescent="0.25">
      <c r="A1862" s="42">
        <v>45292</v>
      </c>
      <c r="B1862" s="48">
        <f>MONTH(Table13[[#This Row],[YearMonth]])</f>
        <v>1</v>
      </c>
      <c r="C1862" s="15" t="s">
        <v>278</v>
      </c>
      <c r="D1862" s="16" t="s">
        <v>350</v>
      </c>
      <c r="E1862" s="16">
        <f>IF(Table13[[#This Row],[Quartile]]="TopQuartile", 1,
 IF(Table13[[#This Row],[Quartile]]="SecondQuartile", 2,
 IF(Table13[[#This Row],[Quartile]]="ThirdQuartile", 3,
 IF(Table13[[#This Row],[Quartile]]="FourthQuartile", 4, ""))))</f>
        <v>4</v>
      </c>
      <c r="F1862" s="15" t="s">
        <v>481</v>
      </c>
      <c r="G1862" s="15" t="str" cm="1">
        <f t="array" ref="G1862">IFERROR(
  INDEX(Table13[Quartile],
    MATCH(1,
      (Table13[[#This Row],[OrgName]]=Table13[OrgName]) *
      (Table13[[#This Row],[Month Number]]-1=Table13[Month Number]),
    0)
  ),
"")</f>
        <v/>
      </c>
      <c r="H1862" s="15" t="str">
        <f>IF(Table13[[#This Row],[Previous Quartile]]="TopQuartile", 1,
 IF(Table13[[#This Row],[Previous Quartile]]="SecondQuartile", 2,
 IF(Table13[[#This Row],[Previous Quartile]]="ThirdQuartile", 3,
 IF(Table13[[#This Row],[Previous Quartile]]="FourthQuartile", 4, ""))))</f>
        <v/>
      </c>
      <c r="I1862" s="15" t="s">
        <v>649</v>
      </c>
      <c r="J1862" s="15" t="s">
        <v>20</v>
      </c>
      <c r="K1862" s="7" t="str">
        <f>VLOOKUP(J1862,Introduction!$B$6:$C$14,2)</f>
        <v>East of England</v>
      </c>
      <c r="L1862" s="17">
        <v>247</v>
      </c>
      <c r="M1862" s="18" t="s">
        <v>476</v>
      </c>
    </row>
    <row r="1863" spans="1:13" ht="19.95" customHeight="1" x14ac:dyDescent="0.25">
      <c r="A1863" s="42">
        <v>45292</v>
      </c>
      <c r="B1863" s="48">
        <f>MONTH(Table13[[#This Row],[YearMonth]])</f>
        <v>1</v>
      </c>
      <c r="C1863" s="15" t="s">
        <v>298</v>
      </c>
      <c r="D1863" s="16" t="s">
        <v>350</v>
      </c>
      <c r="E1863" s="16">
        <f>IF(Table13[[#This Row],[Quartile]]="TopQuartile", 1,
 IF(Table13[[#This Row],[Quartile]]="SecondQuartile", 2,
 IF(Table13[[#This Row],[Quartile]]="ThirdQuartile", 3,
 IF(Table13[[#This Row],[Quartile]]="FourthQuartile", 4, ""))))</f>
        <v>4</v>
      </c>
      <c r="F1863" s="15" t="s">
        <v>484</v>
      </c>
      <c r="G1863" s="15" t="str" cm="1">
        <f t="array" ref="G1863">IFERROR(
  INDEX(Table13[Quartile],
    MATCH(1,
      (Table13[[#This Row],[OrgName]]=Table13[OrgName]) *
      (Table13[[#This Row],[Month Number]]-1=Table13[Month Number]),
    0)
  ),
"")</f>
        <v/>
      </c>
      <c r="H1863" s="15" t="str">
        <f>IF(Table13[[#This Row],[Previous Quartile]]="TopQuartile", 1,
 IF(Table13[[#This Row],[Previous Quartile]]="SecondQuartile", 2,
 IF(Table13[[#This Row],[Previous Quartile]]="ThirdQuartile", 3,
 IF(Table13[[#This Row],[Previous Quartile]]="FourthQuartile", 4, ""))))</f>
        <v/>
      </c>
      <c r="I1863" s="15" t="s">
        <v>649</v>
      </c>
      <c r="J1863" s="15" t="s">
        <v>14</v>
      </c>
      <c r="K1863" s="7" t="str">
        <f>VLOOKUP(J1863,Introduction!$B$6:$C$14,2)</f>
        <v>South West</v>
      </c>
      <c r="L1863" s="17">
        <v>202</v>
      </c>
      <c r="M1863" s="18" t="s">
        <v>476</v>
      </c>
    </row>
    <row r="1864" spans="1:13" ht="19.95" customHeight="1" x14ac:dyDescent="0.25">
      <c r="A1864" s="42">
        <v>45292</v>
      </c>
      <c r="B1864" s="48">
        <f>MONTH(Table13[[#This Row],[YearMonth]])</f>
        <v>1</v>
      </c>
      <c r="C1864" s="15" t="s">
        <v>279</v>
      </c>
      <c r="D1864" s="16" t="s">
        <v>350</v>
      </c>
      <c r="E1864" s="16">
        <f>IF(Table13[[#This Row],[Quartile]]="TopQuartile", 1,
 IF(Table13[[#This Row],[Quartile]]="SecondQuartile", 2,
 IF(Table13[[#This Row],[Quartile]]="ThirdQuartile", 3,
 IF(Table13[[#This Row],[Quartile]]="FourthQuartile", 4, ""))))</f>
        <v>4</v>
      </c>
      <c r="F1864" s="15" t="s">
        <v>482</v>
      </c>
      <c r="G1864" s="15" t="str" cm="1">
        <f t="array" ref="G1864">IFERROR(
  INDEX(Table13[Quartile],
    MATCH(1,
      (Table13[[#This Row],[OrgName]]=Table13[OrgName]) *
      (Table13[[#This Row],[Month Number]]-1=Table13[Month Number]),
    0)
  ),
"")</f>
        <v/>
      </c>
      <c r="H1864" s="15" t="str">
        <f>IF(Table13[[#This Row],[Previous Quartile]]="TopQuartile", 1,
 IF(Table13[[#This Row],[Previous Quartile]]="SecondQuartile", 2,
 IF(Table13[[#This Row],[Previous Quartile]]="ThirdQuartile", 3,
 IF(Table13[[#This Row],[Previous Quartile]]="FourthQuartile", 4, ""))))</f>
        <v/>
      </c>
      <c r="I1864" s="15" t="s">
        <v>649</v>
      </c>
      <c r="J1864" s="15" t="s">
        <v>12</v>
      </c>
      <c r="K1864" s="7" t="str">
        <f>VLOOKUP(J1864,Introduction!$B$6:$C$14,2)</f>
        <v>London</v>
      </c>
      <c r="L1864" s="17">
        <v>308</v>
      </c>
      <c r="M1864" s="18" t="s">
        <v>476</v>
      </c>
    </row>
    <row r="1865" spans="1:13" ht="19.95" customHeight="1" x14ac:dyDescent="0.25">
      <c r="A1865" s="42">
        <v>45292</v>
      </c>
      <c r="B1865" s="48">
        <f>MONTH(Table13[[#This Row],[YearMonth]])</f>
        <v>1</v>
      </c>
      <c r="C1865" s="15" t="s">
        <v>308</v>
      </c>
      <c r="D1865" s="16" t="s">
        <v>350</v>
      </c>
      <c r="E1865" s="16">
        <f>IF(Table13[[#This Row],[Quartile]]="TopQuartile", 1,
 IF(Table13[[#This Row],[Quartile]]="SecondQuartile", 2,
 IF(Table13[[#This Row],[Quartile]]="ThirdQuartile", 3,
 IF(Table13[[#This Row],[Quartile]]="FourthQuartile", 4, ""))))</f>
        <v>4</v>
      </c>
      <c r="F1865" s="15" t="s">
        <v>485</v>
      </c>
      <c r="G1865" s="15" t="str" cm="1">
        <f t="array" ref="G1865">IFERROR(
  INDEX(Table13[Quartile],
    MATCH(1,
      (Table13[[#This Row],[OrgName]]=Table13[OrgName]) *
      (Table13[[#This Row],[Month Number]]-1=Table13[Month Number]),
    0)
  ),
"")</f>
        <v/>
      </c>
      <c r="H1865" s="15" t="str">
        <f>IF(Table13[[#This Row],[Previous Quartile]]="TopQuartile", 1,
 IF(Table13[[#This Row],[Previous Quartile]]="SecondQuartile", 2,
 IF(Table13[[#This Row],[Previous Quartile]]="ThirdQuartile", 3,
 IF(Table13[[#This Row],[Previous Quartile]]="FourthQuartile", 4, ""))))</f>
        <v/>
      </c>
      <c r="I1865" s="15" t="s">
        <v>649</v>
      </c>
      <c r="J1865" s="15" t="s">
        <v>18</v>
      </c>
      <c r="K1865" s="7" t="str">
        <f>VLOOKUP(J1865,Introduction!$B$6:$C$14,2)</f>
        <v>Midlands</v>
      </c>
      <c r="L1865" s="17">
        <v>335</v>
      </c>
      <c r="M1865" s="18" t="s">
        <v>476</v>
      </c>
    </row>
    <row r="1866" spans="1:13" ht="19.95" customHeight="1" x14ac:dyDescent="0.25">
      <c r="A1866" s="42">
        <v>45292</v>
      </c>
      <c r="B1866" s="48">
        <f>MONTH(Table13[[#This Row],[YearMonth]])</f>
        <v>1</v>
      </c>
      <c r="C1866" s="15" t="s">
        <v>132</v>
      </c>
      <c r="D1866" s="16" t="s">
        <v>338</v>
      </c>
      <c r="E1866" s="16">
        <f>IF(Table13[[#This Row],[Quartile]]="TopQuartile", 1,
 IF(Table13[[#This Row],[Quartile]]="SecondQuartile", 2,
 IF(Table13[[#This Row],[Quartile]]="ThirdQuartile", 3,
 IF(Table13[[#This Row],[Quartile]]="FourthQuartile", 4, ""))))</f>
        <v>2</v>
      </c>
      <c r="F1866" s="15" t="s">
        <v>488</v>
      </c>
      <c r="G1866" s="15" t="str" cm="1">
        <f t="array" ref="G1866">IFERROR(
  INDEX(Table13[Quartile],
    MATCH(1,
      (Table13[[#This Row],[OrgName]]=Table13[OrgName]) *
      (Table13[[#This Row],[Month Number]]-1=Table13[Month Number]),
    0)
  ),
"")</f>
        <v/>
      </c>
      <c r="H1866" s="15" t="str">
        <f>IF(Table13[[#This Row],[Previous Quartile]]="TopQuartile", 1,
 IF(Table13[[#This Row],[Previous Quartile]]="SecondQuartile", 2,
 IF(Table13[[#This Row],[Previous Quartile]]="ThirdQuartile", 3,
 IF(Table13[[#This Row],[Previous Quartile]]="FourthQuartile", 4, ""))))</f>
        <v/>
      </c>
      <c r="I1866" s="15" t="s">
        <v>649</v>
      </c>
      <c r="J1866" s="15" t="s">
        <v>24</v>
      </c>
      <c r="K1866" s="7" t="str">
        <f>VLOOKUP(J1866,Introduction!$B$6:$C$14,2)</f>
        <v>North East and Yorkshire</v>
      </c>
      <c r="L1866" s="17">
        <v>457</v>
      </c>
      <c r="M1866" s="18" t="s">
        <v>487</v>
      </c>
    </row>
    <row r="1867" spans="1:13" ht="19.95" customHeight="1" x14ac:dyDescent="0.25">
      <c r="A1867" s="42">
        <v>45292</v>
      </c>
      <c r="B1867" s="48">
        <f>MONTH(Table13[[#This Row],[YearMonth]])</f>
        <v>1</v>
      </c>
      <c r="C1867" s="15" t="s">
        <v>90</v>
      </c>
      <c r="D1867" s="16" t="s">
        <v>341</v>
      </c>
      <c r="E1867" s="16">
        <f>IF(Table13[[#This Row],[Quartile]]="TopQuartile", 1,
 IF(Table13[[#This Row],[Quartile]]="SecondQuartile", 2,
 IF(Table13[[#This Row],[Quartile]]="ThirdQuartile", 3,
 IF(Table13[[#This Row],[Quartile]]="FourthQuartile", 4, ""))))</f>
        <v>3</v>
      </c>
      <c r="F1867" s="15" t="s">
        <v>486</v>
      </c>
      <c r="G1867" s="15" t="str" cm="1">
        <f t="array" ref="G1867">IFERROR(
  INDEX(Table13[Quartile],
    MATCH(1,
      (Table13[[#This Row],[OrgName]]=Table13[OrgName]) *
      (Table13[[#This Row],[Month Number]]-1=Table13[Month Number]),
    0)
  ),
"")</f>
        <v/>
      </c>
      <c r="H1867" s="15" t="str">
        <f>IF(Table13[[#This Row],[Previous Quartile]]="TopQuartile", 1,
 IF(Table13[[#This Row],[Previous Quartile]]="SecondQuartile", 2,
 IF(Table13[[#This Row],[Previous Quartile]]="ThirdQuartile", 3,
 IF(Table13[[#This Row],[Previous Quartile]]="FourthQuartile", 4, ""))))</f>
        <v/>
      </c>
      <c r="I1867" s="15" t="s">
        <v>649</v>
      </c>
      <c r="J1867" s="15" t="s">
        <v>24</v>
      </c>
      <c r="K1867" s="7" t="str">
        <f>VLOOKUP(J1867,Introduction!$B$6:$C$14,2)</f>
        <v>North East and Yorkshire</v>
      </c>
      <c r="L1867" s="17">
        <v>453</v>
      </c>
      <c r="M1867" s="18" t="s">
        <v>487</v>
      </c>
    </row>
    <row r="1868" spans="1:13" ht="19.95" customHeight="1" x14ac:dyDescent="0.25">
      <c r="A1868" s="42">
        <v>45292</v>
      </c>
      <c r="B1868" s="48">
        <f>MONTH(Table13[[#This Row],[YearMonth]])</f>
        <v>1</v>
      </c>
      <c r="C1868" s="15" t="s">
        <v>181</v>
      </c>
      <c r="D1868" s="16" t="s">
        <v>341</v>
      </c>
      <c r="E1868" s="16">
        <f>IF(Table13[[#This Row],[Quartile]]="TopQuartile", 1,
 IF(Table13[[#This Row],[Quartile]]="SecondQuartile", 2,
 IF(Table13[[#This Row],[Quartile]]="ThirdQuartile", 3,
 IF(Table13[[#This Row],[Quartile]]="FourthQuartile", 4, ""))))</f>
        <v>3</v>
      </c>
      <c r="F1868" s="15" t="s">
        <v>489</v>
      </c>
      <c r="G1868" s="15" t="str" cm="1">
        <f t="array" ref="G1868">IFERROR(
  INDEX(Table13[Quartile],
    MATCH(1,
      (Table13[[#This Row],[OrgName]]=Table13[OrgName]) *
      (Table13[[#This Row],[Month Number]]-1=Table13[Month Number]),
    0)
  ),
"")</f>
        <v/>
      </c>
      <c r="H1868" s="15" t="str">
        <f>IF(Table13[[#This Row],[Previous Quartile]]="TopQuartile", 1,
 IF(Table13[[#This Row],[Previous Quartile]]="SecondQuartile", 2,
 IF(Table13[[#This Row],[Previous Quartile]]="ThirdQuartile", 3,
 IF(Table13[[#This Row],[Previous Quartile]]="FourthQuartile", 4, ""))))</f>
        <v/>
      </c>
      <c r="I1868" s="15" t="s">
        <v>649</v>
      </c>
      <c r="J1868" s="15" t="s">
        <v>12</v>
      </c>
      <c r="K1868" s="7" t="str">
        <f>VLOOKUP(J1868,Introduction!$B$6:$C$14,2)</f>
        <v>London</v>
      </c>
      <c r="L1868" s="17">
        <v>455</v>
      </c>
      <c r="M1868" s="18" t="s">
        <v>487</v>
      </c>
    </row>
    <row r="1869" spans="1:13" ht="19.95" customHeight="1" x14ac:dyDescent="0.25">
      <c r="A1869" s="42">
        <v>45292</v>
      </c>
      <c r="B1869" s="48">
        <f>MONTH(Table13[[#This Row],[YearMonth]])</f>
        <v>1</v>
      </c>
      <c r="C1869" s="15" t="s">
        <v>35</v>
      </c>
      <c r="D1869" s="16" t="s">
        <v>330</v>
      </c>
      <c r="E1869" s="16">
        <f>IF(Table13[[#This Row],[Quartile]]="TopQuartile", 1,
 IF(Table13[[#This Row],[Quartile]]="SecondQuartile", 2,
 IF(Table13[[#This Row],[Quartile]]="ThirdQuartile", 3,
 IF(Table13[[#This Row],[Quartile]]="FourthQuartile", 4, ""))))</f>
        <v>1</v>
      </c>
      <c r="F1869" s="15" t="s">
        <v>492</v>
      </c>
      <c r="G1869" s="15" t="str" cm="1">
        <f t="array" ref="G1869">IFERROR(
  INDEX(Table13[Quartile],
    MATCH(1,
      (Table13[[#This Row],[OrgName]]=Table13[OrgName]) *
      (Table13[[#This Row],[Month Number]]-1=Table13[Month Number]),
    0)
  ),
"")</f>
        <v/>
      </c>
      <c r="H1869" s="15" t="str">
        <f>IF(Table13[[#This Row],[Previous Quartile]]="TopQuartile", 1,
 IF(Table13[[#This Row],[Previous Quartile]]="SecondQuartile", 2,
 IF(Table13[[#This Row],[Previous Quartile]]="ThirdQuartile", 3,
 IF(Table13[[#This Row],[Previous Quartile]]="FourthQuartile", 4, ""))))</f>
        <v/>
      </c>
      <c r="I1869" s="15" t="s">
        <v>649</v>
      </c>
      <c r="J1869" s="15" t="s">
        <v>10</v>
      </c>
      <c r="K1869" s="7" t="str">
        <f>VLOOKUP(J1869,Introduction!$B$6:$C$14,2)</f>
        <v>Special Health Authorities and other statutory bodies</v>
      </c>
      <c r="L1869" s="17">
        <v>891</v>
      </c>
      <c r="M1869" s="18" t="s">
        <v>491</v>
      </c>
    </row>
    <row r="1870" spans="1:13" ht="19.95" customHeight="1" x14ac:dyDescent="0.25">
      <c r="A1870" s="42">
        <v>45292</v>
      </c>
      <c r="B1870" s="48">
        <f>MONTH(Table13[[#This Row],[YearMonth]])</f>
        <v>1</v>
      </c>
      <c r="C1870" s="15" t="s">
        <v>45</v>
      </c>
      <c r="D1870" s="16" t="s">
        <v>330</v>
      </c>
      <c r="E1870" s="16">
        <f>IF(Table13[[#This Row],[Quartile]]="TopQuartile", 1,
 IF(Table13[[#This Row],[Quartile]]="SecondQuartile", 2,
 IF(Table13[[#This Row],[Quartile]]="ThirdQuartile", 3,
 IF(Table13[[#This Row],[Quartile]]="FourthQuartile", 4, ""))))</f>
        <v>1</v>
      </c>
      <c r="F1870" s="15" t="s">
        <v>493</v>
      </c>
      <c r="G1870" s="15" t="str" cm="1">
        <f t="array" ref="G1870">IFERROR(
  INDEX(Table13[Quartile],
    MATCH(1,
      (Table13[[#This Row],[OrgName]]=Table13[OrgName]) *
      (Table13[[#This Row],[Month Number]]-1=Table13[Month Number]),
    0)
  ),
"")</f>
        <v/>
      </c>
      <c r="H1870" s="15" t="str">
        <f>IF(Table13[[#This Row],[Previous Quartile]]="TopQuartile", 1,
 IF(Table13[[#This Row],[Previous Quartile]]="SecondQuartile", 2,
 IF(Table13[[#This Row],[Previous Quartile]]="ThirdQuartile", 3,
 IF(Table13[[#This Row],[Previous Quartile]]="FourthQuartile", 4, ""))))</f>
        <v/>
      </c>
      <c r="I1870" s="15" t="s">
        <v>649</v>
      </c>
      <c r="J1870" s="15" t="s">
        <v>10</v>
      </c>
      <c r="K1870" s="7" t="str">
        <f>VLOOKUP(J1870,Introduction!$B$6:$C$14,2)</f>
        <v>Special Health Authorities and other statutory bodies</v>
      </c>
      <c r="L1870" s="17">
        <v>877</v>
      </c>
      <c r="M1870" s="18" t="s">
        <v>491</v>
      </c>
    </row>
    <row r="1871" spans="1:13" ht="19.95" customHeight="1" x14ac:dyDescent="0.25">
      <c r="A1871" s="42">
        <v>45292</v>
      </c>
      <c r="B1871" s="48">
        <f>MONTH(Table13[[#This Row],[YearMonth]])</f>
        <v>1</v>
      </c>
      <c r="C1871" s="15" t="s">
        <v>130</v>
      </c>
      <c r="D1871" s="16" t="s">
        <v>338</v>
      </c>
      <c r="E1871" s="16">
        <f>IF(Table13[[#This Row],[Quartile]]="TopQuartile", 1,
 IF(Table13[[#This Row],[Quartile]]="SecondQuartile", 2,
 IF(Table13[[#This Row],[Quartile]]="ThirdQuartile", 3,
 IF(Table13[[#This Row],[Quartile]]="FourthQuartile", 4, ""))))</f>
        <v>2</v>
      </c>
      <c r="F1871" s="15" t="s">
        <v>494</v>
      </c>
      <c r="G1871" s="15" t="str" cm="1">
        <f t="array" ref="G1871">IFERROR(
  INDEX(Table13[Quartile],
    MATCH(1,
      (Table13[[#This Row],[OrgName]]=Table13[OrgName]) *
      (Table13[[#This Row],[Month Number]]-1=Table13[Month Number]),
    0)
  ),
"")</f>
        <v/>
      </c>
      <c r="H1871" s="15" t="str">
        <f>IF(Table13[[#This Row],[Previous Quartile]]="TopQuartile", 1,
 IF(Table13[[#This Row],[Previous Quartile]]="SecondQuartile", 2,
 IF(Table13[[#This Row],[Previous Quartile]]="ThirdQuartile", 3,
 IF(Table13[[#This Row],[Previous Quartile]]="FourthQuartile", 4, ""))))</f>
        <v/>
      </c>
      <c r="I1871" s="15" t="s">
        <v>649</v>
      </c>
      <c r="J1871" s="15" t="s">
        <v>10</v>
      </c>
      <c r="K1871" s="7" t="str">
        <f>VLOOKUP(J1871,Introduction!$B$6:$C$14,2)</f>
        <v>Special Health Authorities and other statutory bodies</v>
      </c>
      <c r="L1871" s="17">
        <v>880</v>
      </c>
      <c r="M1871" s="18" t="s">
        <v>491</v>
      </c>
    </row>
    <row r="1872" spans="1:13" ht="19.95" customHeight="1" x14ac:dyDescent="0.25">
      <c r="A1872" s="42">
        <v>45292</v>
      </c>
      <c r="B1872" s="48">
        <f>MONTH(Table13[[#This Row],[YearMonth]])</f>
        <v>1</v>
      </c>
      <c r="C1872" s="15" t="s">
        <v>27</v>
      </c>
      <c r="D1872" s="16" t="s">
        <v>350</v>
      </c>
      <c r="E1872" s="16">
        <f>IF(Table13[[#This Row],[Quartile]]="TopQuartile", 1,
 IF(Table13[[#This Row],[Quartile]]="SecondQuartile", 2,
 IF(Table13[[#This Row],[Quartile]]="ThirdQuartile", 3,
 IF(Table13[[#This Row],[Quartile]]="FourthQuartile", 4, ""))))</f>
        <v>4</v>
      </c>
      <c r="F1872" s="15" t="s">
        <v>490</v>
      </c>
      <c r="G1872" s="15" t="str" cm="1">
        <f t="array" ref="G1872">IFERROR(
  INDEX(Table13[Quartile],
    MATCH(1,
      (Table13[[#This Row],[OrgName]]=Table13[OrgName]) *
      (Table13[[#This Row],[Month Number]]-1=Table13[Month Number]),
    0)
  ),
"")</f>
        <v/>
      </c>
      <c r="H1872" s="15" t="str">
        <f>IF(Table13[[#This Row],[Previous Quartile]]="TopQuartile", 1,
 IF(Table13[[#This Row],[Previous Quartile]]="SecondQuartile", 2,
 IF(Table13[[#This Row],[Previous Quartile]]="ThirdQuartile", 3,
 IF(Table13[[#This Row],[Previous Quartile]]="FourthQuartile", 4, ""))))</f>
        <v/>
      </c>
      <c r="I1872" s="15" t="s">
        <v>649</v>
      </c>
      <c r="J1872" s="15" t="s">
        <v>10</v>
      </c>
      <c r="K1872" s="7" t="str">
        <f>VLOOKUP(J1872,Introduction!$B$6:$C$14,2)</f>
        <v>Special Health Authorities and other statutory bodies</v>
      </c>
      <c r="L1872" s="17">
        <v>869</v>
      </c>
      <c r="M1872" s="18" t="s">
        <v>491</v>
      </c>
    </row>
    <row r="1873" spans="1:13" ht="19.95" customHeight="1" x14ac:dyDescent="0.25">
      <c r="A1873" s="42">
        <v>45292</v>
      </c>
      <c r="B1873" s="48">
        <f>MONTH(Table13[[#This Row],[YearMonth]])</f>
        <v>1</v>
      </c>
      <c r="C1873" s="15" t="s">
        <v>98</v>
      </c>
      <c r="D1873" s="16" t="s">
        <v>330</v>
      </c>
      <c r="E1873" s="16">
        <f>IF(Table13[[#This Row],[Quartile]]="TopQuartile", 1,
 IF(Table13[[#This Row],[Quartile]]="SecondQuartile", 2,
 IF(Table13[[#This Row],[Quartile]]="ThirdQuartile", 3,
 IF(Table13[[#This Row],[Quartile]]="FourthQuartile", 4, ""))))</f>
        <v>1</v>
      </c>
      <c r="F1873" s="15" t="s">
        <v>503</v>
      </c>
      <c r="G1873" s="15" t="str" cm="1">
        <f t="array" ref="G1873">IFERROR(
  INDEX(Table13[Quartile],
    MATCH(1,
      (Table13[[#This Row],[OrgName]]=Table13[OrgName]) *
      (Table13[[#This Row],[Month Number]]-1=Table13[Month Number]),
    0)
  ),
"")</f>
        <v/>
      </c>
      <c r="H1873" s="15" t="str">
        <f>IF(Table13[[#This Row],[Previous Quartile]]="TopQuartile", 1,
 IF(Table13[[#This Row],[Previous Quartile]]="SecondQuartile", 2,
 IF(Table13[[#This Row],[Previous Quartile]]="ThirdQuartile", 3,
 IF(Table13[[#This Row],[Previous Quartile]]="FourthQuartile", 4, ""))))</f>
        <v/>
      </c>
      <c r="I1873" s="15" t="s">
        <v>649</v>
      </c>
      <c r="J1873" s="15" t="s">
        <v>18</v>
      </c>
      <c r="K1873" s="7" t="str">
        <f>VLOOKUP(J1873,Introduction!$B$6:$C$14,2)</f>
        <v>Midlands</v>
      </c>
      <c r="L1873" s="17">
        <v>825</v>
      </c>
      <c r="M1873" s="18" t="s">
        <v>496</v>
      </c>
    </row>
    <row r="1874" spans="1:13" ht="19.95" customHeight="1" x14ac:dyDescent="0.25">
      <c r="A1874" s="42">
        <v>45292</v>
      </c>
      <c r="B1874" s="48">
        <f>MONTH(Table13[[#This Row],[YearMonth]])</f>
        <v>1</v>
      </c>
      <c r="C1874" s="15" t="s">
        <v>46</v>
      </c>
      <c r="D1874" s="16" t="s">
        <v>330</v>
      </c>
      <c r="E1874" s="16">
        <f>IF(Table13[[#This Row],[Quartile]]="TopQuartile", 1,
 IF(Table13[[#This Row],[Quartile]]="SecondQuartile", 2,
 IF(Table13[[#This Row],[Quartile]]="ThirdQuartile", 3,
 IF(Table13[[#This Row],[Quartile]]="FourthQuartile", 4, ""))))</f>
        <v>1</v>
      </c>
      <c r="F1874" s="15" t="s">
        <v>497</v>
      </c>
      <c r="G1874" s="15" t="str" cm="1">
        <f t="array" ref="G1874">IFERROR(
  INDEX(Table13[Quartile],
    MATCH(1,
      (Table13[[#This Row],[OrgName]]=Table13[OrgName]) *
      (Table13[[#This Row],[Month Number]]-1=Table13[Month Number]),
    0)
  ),
"")</f>
        <v/>
      </c>
      <c r="H1874" s="15" t="str">
        <f>IF(Table13[[#This Row],[Previous Quartile]]="TopQuartile", 1,
 IF(Table13[[#This Row],[Previous Quartile]]="SecondQuartile", 2,
 IF(Table13[[#This Row],[Previous Quartile]]="ThirdQuartile", 3,
 IF(Table13[[#This Row],[Previous Quartile]]="FourthQuartile", 4, ""))))</f>
        <v/>
      </c>
      <c r="I1874" s="15" t="s">
        <v>649</v>
      </c>
      <c r="J1874" s="15" t="s">
        <v>16</v>
      </c>
      <c r="K1874" s="7" t="str">
        <f>VLOOKUP(J1874,Introduction!$B$6:$C$14,2)</f>
        <v>South East</v>
      </c>
      <c r="L1874" s="17">
        <v>813</v>
      </c>
      <c r="M1874" s="18" t="s">
        <v>496</v>
      </c>
    </row>
    <row r="1875" spans="1:13" ht="19.95" customHeight="1" x14ac:dyDescent="0.25">
      <c r="A1875" s="42">
        <v>45292</v>
      </c>
      <c r="B1875" s="48">
        <f>MONTH(Table13[[#This Row],[YearMonth]])</f>
        <v>1</v>
      </c>
      <c r="C1875" s="15" t="s">
        <v>31</v>
      </c>
      <c r="D1875" s="16" t="s">
        <v>330</v>
      </c>
      <c r="E1875" s="16">
        <f>IF(Table13[[#This Row],[Quartile]]="TopQuartile", 1,
 IF(Table13[[#This Row],[Quartile]]="SecondQuartile", 2,
 IF(Table13[[#This Row],[Quartile]]="ThirdQuartile", 3,
 IF(Table13[[#This Row],[Quartile]]="FourthQuartile", 4, ""))))</f>
        <v>1</v>
      </c>
      <c r="F1875" s="15" t="s">
        <v>495</v>
      </c>
      <c r="G1875" s="15" t="str" cm="1">
        <f t="array" ref="G1875">IFERROR(
  INDEX(Table13[Quartile],
    MATCH(1,
      (Table13[[#This Row],[OrgName]]=Table13[OrgName]) *
      (Table13[[#This Row],[Month Number]]-1=Table13[Month Number]),
    0)
  ),
"")</f>
        <v/>
      </c>
      <c r="H1875" s="15" t="str">
        <f>IF(Table13[[#This Row],[Previous Quartile]]="TopQuartile", 1,
 IF(Table13[[#This Row],[Previous Quartile]]="SecondQuartile", 2,
 IF(Table13[[#This Row],[Previous Quartile]]="ThirdQuartile", 3,
 IF(Table13[[#This Row],[Previous Quartile]]="FourthQuartile", 4, ""))))</f>
        <v/>
      </c>
      <c r="I1875" s="15" t="s">
        <v>649</v>
      </c>
      <c r="J1875" s="15" t="s">
        <v>16</v>
      </c>
      <c r="K1875" s="7" t="str">
        <f>VLOOKUP(J1875,Introduction!$B$6:$C$14,2)</f>
        <v>South East</v>
      </c>
      <c r="L1875" s="17">
        <v>449</v>
      </c>
      <c r="M1875" s="18" t="s">
        <v>496</v>
      </c>
    </row>
    <row r="1876" spans="1:13" ht="19.95" customHeight="1" x14ac:dyDescent="0.25">
      <c r="A1876" s="42">
        <v>45292</v>
      </c>
      <c r="B1876" s="48">
        <f>MONTH(Table13[[#This Row],[YearMonth]])</f>
        <v>1</v>
      </c>
      <c r="C1876" s="15" t="s">
        <v>112</v>
      </c>
      <c r="D1876" s="16" t="s">
        <v>330</v>
      </c>
      <c r="E1876" s="16">
        <f>IF(Table13[[#This Row],[Quartile]]="TopQuartile", 1,
 IF(Table13[[#This Row],[Quartile]]="SecondQuartile", 2,
 IF(Table13[[#This Row],[Quartile]]="ThirdQuartile", 3,
 IF(Table13[[#This Row],[Quartile]]="FourthQuartile", 4, ""))))</f>
        <v>1</v>
      </c>
      <c r="F1876" s="15" t="s">
        <v>113</v>
      </c>
      <c r="G1876" s="15" t="str" cm="1">
        <f t="array" ref="G1876">IFERROR(
  INDEX(Table13[Quartile],
    MATCH(1,
      (Table13[[#This Row],[OrgName]]=Table13[OrgName]) *
      (Table13[[#This Row],[Month Number]]-1=Table13[Month Number]),
    0)
  ),
"")</f>
        <v/>
      </c>
      <c r="H1876" s="15" t="str">
        <f>IF(Table13[[#This Row],[Previous Quartile]]="TopQuartile", 1,
 IF(Table13[[#This Row],[Previous Quartile]]="SecondQuartile", 2,
 IF(Table13[[#This Row],[Previous Quartile]]="ThirdQuartile", 3,
 IF(Table13[[#This Row],[Previous Quartile]]="FourthQuartile", 4, ""))))</f>
        <v/>
      </c>
      <c r="I1876" s="15" t="s">
        <v>649</v>
      </c>
      <c r="J1876" s="15" t="s">
        <v>20</v>
      </c>
      <c r="K1876" s="7" t="str">
        <f>VLOOKUP(J1876,Introduction!$B$6:$C$14,2)</f>
        <v>East of England</v>
      </c>
      <c r="L1876" s="17">
        <v>828</v>
      </c>
      <c r="M1876" s="18" t="s">
        <v>496</v>
      </c>
    </row>
    <row r="1877" spans="1:13" ht="19.95" customHeight="1" x14ac:dyDescent="0.25">
      <c r="A1877" s="42">
        <v>45292</v>
      </c>
      <c r="B1877" s="48">
        <f>MONTH(Table13[[#This Row],[YearMonth]])</f>
        <v>1</v>
      </c>
      <c r="C1877" s="15" t="s">
        <v>79</v>
      </c>
      <c r="D1877" s="16" t="s">
        <v>330</v>
      </c>
      <c r="E1877" s="16">
        <f>IF(Table13[[#This Row],[Quartile]]="TopQuartile", 1,
 IF(Table13[[#This Row],[Quartile]]="SecondQuartile", 2,
 IF(Table13[[#This Row],[Quartile]]="ThirdQuartile", 3,
 IF(Table13[[#This Row],[Quartile]]="FourthQuartile", 4, ""))))</f>
        <v>1</v>
      </c>
      <c r="F1877" s="15" t="s">
        <v>80</v>
      </c>
      <c r="G1877" s="15" t="str" cm="1">
        <f t="array" ref="G1877">IFERROR(
  INDEX(Table13[Quartile],
    MATCH(1,
      (Table13[[#This Row],[OrgName]]=Table13[OrgName]) *
      (Table13[[#This Row],[Month Number]]-1=Table13[Month Number]),
    0)
  ),
"")</f>
        <v/>
      </c>
      <c r="H1877" s="15" t="str">
        <f>IF(Table13[[#This Row],[Previous Quartile]]="TopQuartile", 1,
 IF(Table13[[#This Row],[Previous Quartile]]="SecondQuartile", 2,
 IF(Table13[[#This Row],[Previous Quartile]]="ThirdQuartile", 3,
 IF(Table13[[#This Row],[Previous Quartile]]="FourthQuartile", 4, ""))))</f>
        <v/>
      </c>
      <c r="I1877" s="15" t="s">
        <v>649</v>
      </c>
      <c r="J1877" s="15" t="s">
        <v>24</v>
      </c>
      <c r="K1877" s="7" t="str">
        <f>VLOOKUP(J1877,Introduction!$B$6:$C$14,2)</f>
        <v>North East and Yorkshire</v>
      </c>
      <c r="L1877" s="17">
        <v>98</v>
      </c>
      <c r="M1877" s="18" t="s">
        <v>496</v>
      </c>
    </row>
    <row r="1878" spans="1:13" ht="19.95" customHeight="1" x14ac:dyDescent="0.25">
      <c r="A1878" s="42">
        <v>45292</v>
      </c>
      <c r="B1878" s="48">
        <f>MONTH(Table13[[#This Row],[YearMonth]])</f>
        <v>1</v>
      </c>
      <c r="C1878" s="15" t="s">
        <v>57</v>
      </c>
      <c r="D1878" s="16" t="s">
        <v>330</v>
      </c>
      <c r="E1878" s="16">
        <f>IF(Table13[[#This Row],[Quartile]]="TopQuartile", 1,
 IF(Table13[[#This Row],[Quartile]]="SecondQuartile", 2,
 IF(Table13[[#This Row],[Quartile]]="ThirdQuartile", 3,
 IF(Table13[[#This Row],[Quartile]]="FourthQuartile", 4, ""))))</f>
        <v>1</v>
      </c>
      <c r="F1878" s="15" t="s">
        <v>499</v>
      </c>
      <c r="G1878" s="15" t="str" cm="1">
        <f t="array" ref="G1878">IFERROR(
  INDEX(Table13[Quartile],
    MATCH(1,
      (Table13[[#This Row],[OrgName]]=Table13[OrgName]) *
      (Table13[[#This Row],[Month Number]]-1=Table13[Month Number]),
    0)
  ),
"")</f>
        <v/>
      </c>
      <c r="H1878" s="15" t="str">
        <f>IF(Table13[[#This Row],[Previous Quartile]]="TopQuartile", 1,
 IF(Table13[[#This Row],[Previous Quartile]]="SecondQuartile", 2,
 IF(Table13[[#This Row],[Previous Quartile]]="ThirdQuartile", 3,
 IF(Table13[[#This Row],[Previous Quartile]]="FourthQuartile", 4, ""))))</f>
        <v/>
      </c>
      <c r="I1878" s="15" t="s">
        <v>649</v>
      </c>
      <c r="J1878" s="15" t="s">
        <v>14</v>
      </c>
      <c r="K1878" s="7" t="str">
        <f>VLOOKUP(J1878,Introduction!$B$6:$C$14,2)</f>
        <v>South West</v>
      </c>
      <c r="L1878" s="17">
        <v>85</v>
      </c>
      <c r="M1878" s="18" t="s">
        <v>496</v>
      </c>
    </row>
    <row r="1879" spans="1:13" ht="19.95" customHeight="1" x14ac:dyDescent="0.25">
      <c r="A1879" s="42">
        <v>45292</v>
      </c>
      <c r="B1879" s="48">
        <f>MONTH(Table13[[#This Row],[YearMonth]])</f>
        <v>1</v>
      </c>
      <c r="C1879" s="15" t="s">
        <v>47</v>
      </c>
      <c r="D1879" s="16" t="s">
        <v>330</v>
      </c>
      <c r="E1879" s="16">
        <f>IF(Table13[[#This Row],[Quartile]]="TopQuartile", 1,
 IF(Table13[[#This Row],[Quartile]]="SecondQuartile", 2,
 IF(Table13[[#This Row],[Quartile]]="ThirdQuartile", 3,
 IF(Table13[[#This Row],[Quartile]]="FourthQuartile", 4, ""))))</f>
        <v>1</v>
      </c>
      <c r="F1879" s="15" t="s">
        <v>498</v>
      </c>
      <c r="G1879" s="15" t="str" cm="1">
        <f t="array" ref="G1879">IFERROR(
  INDEX(Table13[Quartile],
    MATCH(1,
      (Table13[[#This Row],[OrgName]]=Table13[OrgName]) *
      (Table13[[#This Row],[Month Number]]-1=Table13[Month Number]),
    0)
  ),
"")</f>
        <v/>
      </c>
      <c r="H1879" s="15" t="str">
        <f>IF(Table13[[#This Row],[Previous Quartile]]="TopQuartile", 1,
 IF(Table13[[#This Row],[Previous Quartile]]="SecondQuartile", 2,
 IF(Table13[[#This Row],[Previous Quartile]]="ThirdQuartile", 3,
 IF(Table13[[#This Row],[Previous Quartile]]="FourthQuartile", 4, ""))))</f>
        <v/>
      </c>
      <c r="I1879" s="15" t="s">
        <v>649</v>
      </c>
      <c r="J1879" s="15" t="s">
        <v>16</v>
      </c>
      <c r="K1879" s="7" t="str">
        <f>VLOOKUP(J1879,Introduction!$B$6:$C$14,2)</f>
        <v>South East</v>
      </c>
      <c r="L1879" s="17">
        <v>846</v>
      </c>
      <c r="M1879" s="18" t="s">
        <v>496</v>
      </c>
    </row>
    <row r="1880" spans="1:13" ht="19.95" customHeight="1" x14ac:dyDescent="0.25">
      <c r="A1880" s="42">
        <v>45292</v>
      </c>
      <c r="B1880" s="48">
        <f>MONTH(Table13[[#This Row],[YearMonth]])</f>
        <v>1</v>
      </c>
      <c r="C1880" s="15" t="s">
        <v>145</v>
      </c>
      <c r="D1880" s="16" t="s">
        <v>330</v>
      </c>
      <c r="E1880" s="16">
        <f>IF(Table13[[#This Row],[Quartile]]="TopQuartile", 1,
 IF(Table13[[#This Row],[Quartile]]="SecondQuartile", 2,
 IF(Table13[[#This Row],[Quartile]]="ThirdQuartile", 3,
 IF(Table13[[#This Row],[Quartile]]="FourthQuartile", 4, ""))))</f>
        <v>1</v>
      </c>
      <c r="F1880" s="15" t="s">
        <v>507</v>
      </c>
      <c r="G1880" s="15" t="str" cm="1">
        <f t="array" ref="G1880">IFERROR(
  INDEX(Table13[Quartile],
    MATCH(1,
      (Table13[[#This Row],[OrgName]]=Table13[OrgName]) *
      (Table13[[#This Row],[Month Number]]-1=Table13[Month Number]),
    0)
  ),
"")</f>
        <v/>
      </c>
      <c r="H1880" s="15" t="str">
        <f>IF(Table13[[#This Row],[Previous Quartile]]="TopQuartile", 1,
 IF(Table13[[#This Row],[Previous Quartile]]="SecondQuartile", 2,
 IF(Table13[[#This Row],[Previous Quartile]]="ThirdQuartile", 3,
 IF(Table13[[#This Row],[Previous Quartile]]="FourthQuartile", 4, ""))))</f>
        <v/>
      </c>
      <c r="I1880" s="15" t="s">
        <v>649</v>
      </c>
      <c r="J1880" s="15" t="s">
        <v>12</v>
      </c>
      <c r="K1880" s="7" t="str">
        <f>VLOOKUP(J1880,Introduction!$B$6:$C$14,2)</f>
        <v>London</v>
      </c>
      <c r="L1880" s="17">
        <v>811</v>
      </c>
      <c r="M1880" s="18" t="s">
        <v>496</v>
      </c>
    </row>
    <row r="1881" spans="1:13" ht="19.95" customHeight="1" x14ac:dyDescent="0.25">
      <c r="A1881" s="42">
        <v>45292</v>
      </c>
      <c r="B1881" s="48">
        <f>MONTH(Table13[[#This Row],[YearMonth]])</f>
        <v>1</v>
      </c>
      <c r="C1881" s="15" t="s">
        <v>66</v>
      </c>
      <c r="D1881" s="16" t="s">
        <v>338</v>
      </c>
      <c r="E1881" s="16">
        <f>IF(Table13[[#This Row],[Quartile]]="TopQuartile", 1,
 IF(Table13[[#This Row],[Quartile]]="SecondQuartile", 2,
 IF(Table13[[#This Row],[Quartile]]="ThirdQuartile", 3,
 IF(Table13[[#This Row],[Quartile]]="FourthQuartile", 4, ""))))</f>
        <v>2</v>
      </c>
      <c r="F1881" s="15" t="s">
        <v>500</v>
      </c>
      <c r="G1881" s="15" t="str" cm="1">
        <f t="array" ref="G1881">IFERROR(
  INDEX(Table13[Quartile],
    MATCH(1,
      (Table13[[#This Row],[OrgName]]=Table13[OrgName]) *
      (Table13[[#This Row],[Month Number]]-1=Table13[Month Number]),
    0)
  ),
"")</f>
        <v/>
      </c>
      <c r="H1881" s="15" t="str">
        <f>IF(Table13[[#This Row],[Previous Quartile]]="TopQuartile", 1,
 IF(Table13[[#This Row],[Previous Quartile]]="SecondQuartile", 2,
 IF(Table13[[#This Row],[Previous Quartile]]="ThirdQuartile", 3,
 IF(Table13[[#This Row],[Previous Quartile]]="FourthQuartile", 4, ""))))</f>
        <v/>
      </c>
      <c r="I1881" s="15" t="s">
        <v>649</v>
      </c>
      <c r="J1881" s="15" t="s">
        <v>18</v>
      </c>
      <c r="K1881" s="7" t="str">
        <f>VLOOKUP(J1881,Introduction!$B$6:$C$14,2)</f>
        <v>Midlands</v>
      </c>
      <c r="L1881" s="17">
        <v>818</v>
      </c>
      <c r="M1881" s="18" t="s">
        <v>496</v>
      </c>
    </row>
    <row r="1882" spans="1:13" ht="19.95" customHeight="1" x14ac:dyDescent="0.25">
      <c r="A1882" s="42">
        <v>45292</v>
      </c>
      <c r="B1882" s="48">
        <f>MONTH(Table13[[#This Row],[YearMonth]])</f>
        <v>1</v>
      </c>
      <c r="C1882" s="15" t="s">
        <v>86</v>
      </c>
      <c r="D1882" s="16" t="s">
        <v>338</v>
      </c>
      <c r="E1882" s="16">
        <f>IF(Table13[[#This Row],[Quartile]]="TopQuartile", 1,
 IF(Table13[[#This Row],[Quartile]]="SecondQuartile", 2,
 IF(Table13[[#This Row],[Quartile]]="ThirdQuartile", 3,
 IF(Table13[[#This Row],[Quartile]]="FourthQuartile", 4, ""))))</f>
        <v>2</v>
      </c>
      <c r="F1882" s="15" t="s">
        <v>501</v>
      </c>
      <c r="G1882" s="15" t="str" cm="1">
        <f t="array" ref="G1882">IFERROR(
  INDEX(Table13[Quartile],
    MATCH(1,
      (Table13[[#This Row],[OrgName]]=Table13[OrgName]) *
      (Table13[[#This Row],[Month Number]]-1=Table13[Month Number]),
    0)
  ),
"")</f>
        <v/>
      </c>
      <c r="H1882" s="15" t="str">
        <f>IF(Table13[[#This Row],[Previous Quartile]]="TopQuartile", 1,
 IF(Table13[[#This Row],[Previous Quartile]]="SecondQuartile", 2,
 IF(Table13[[#This Row],[Previous Quartile]]="ThirdQuartile", 3,
 IF(Table13[[#This Row],[Previous Quartile]]="FourthQuartile", 4, ""))))</f>
        <v/>
      </c>
      <c r="I1882" s="15" t="s">
        <v>649</v>
      </c>
      <c r="J1882" s="15" t="s">
        <v>16</v>
      </c>
      <c r="K1882" s="7" t="str">
        <f>VLOOKUP(J1882,Introduction!$B$6:$C$14,2)</f>
        <v>South East</v>
      </c>
      <c r="L1882" s="17">
        <v>150</v>
      </c>
      <c r="M1882" s="18" t="s">
        <v>496</v>
      </c>
    </row>
    <row r="1883" spans="1:13" ht="19.95" customHeight="1" x14ac:dyDescent="0.25">
      <c r="A1883" s="42">
        <v>45292</v>
      </c>
      <c r="B1883" s="48">
        <f>MONTH(Table13[[#This Row],[YearMonth]])</f>
        <v>1</v>
      </c>
      <c r="C1883" s="15" t="s">
        <v>133</v>
      </c>
      <c r="D1883" s="16" t="s">
        <v>338</v>
      </c>
      <c r="E1883" s="16">
        <f>IF(Table13[[#This Row],[Quartile]]="TopQuartile", 1,
 IF(Table13[[#This Row],[Quartile]]="SecondQuartile", 2,
 IF(Table13[[#This Row],[Quartile]]="ThirdQuartile", 3,
 IF(Table13[[#This Row],[Quartile]]="FourthQuartile", 4, ""))))</f>
        <v>2</v>
      </c>
      <c r="F1883" s="15" t="s">
        <v>505</v>
      </c>
      <c r="G1883" s="15" t="str" cm="1">
        <f t="array" ref="G1883">IFERROR(
  INDEX(Table13[Quartile],
    MATCH(1,
      (Table13[[#This Row],[OrgName]]=Table13[OrgName]) *
      (Table13[[#This Row],[Month Number]]-1=Table13[Month Number]),
    0)
  ),
"")</f>
        <v/>
      </c>
      <c r="H1883" s="15" t="str">
        <f>IF(Table13[[#This Row],[Previous Quartile]]="TopQuartile", 1,
 IF(Table13[[#This Row],[Previous Quartile]]="SecondQuartile", 2,
 IF(Table13[[#This Row],[Previous Quartile]]="ThirdQuartile", 3,
 IF(Table13[[#This Row],[Previous Quartile]]="FourthQuartile", 4, ""))))</f>
        <v/>
      </c>
      <c r="I1883" s="15" t="s">
        <v>649</v>
      </c>
      <c r="J1883" s="15" t="s">
        <v>20</v>
      </c>
      <c r="K1883" s="7" t="str">
        <f>VLOOKUP(J1883,Introduction!$B$6:$C$14,2)</f>
        <v>East of England</v>
      </c>
      <c r="L1883" s="17">
        <v>849</v>
      </c>
      <c r="M1883" s="18" t="s">
        <v>496</v>
      </c>
    </row>
    <row r="1884" spans="1:13" ht="19.95" customHeight="1" x14ac:dyDescent="0.25">
      <c r="A1884" s="42">
        <v>45292</v>
      </c>
      <c r="B1884" s="48">
        <f>MONTH(Table13[[#This Row],[YearMonth]])</f>
        <v>1</v>
      </c>
      <c r="C1884" s="15" t="s">
        <v>134</v>
      </c>
      <c r="D1884" s="16" t="s">
        <v>338</v>
      </c>
      <c r="E1884" s="16">
        <f>IF(Table13[[#This Row],[Quartile]]="TopQuartile", 1,
 IF(Table13[[#This Row],[Quartile]]="SecondQuartile", 2,
 IF(Table13[[#This Row],[Quartile]]="ThirdQuartile", 3,
 IF(Table13[[#This Row],[Quartile]]="FourthQuartile", 4, ""))))</f>
        <v>2</v>
      </c>
      <c r="F1884" s="15" t="s">
        <v>506</v>
      </c>
      <c r="G1884" s="15" t="str" cm="1">
        <f t="array" ref="G1884">IFERROR(
  INDEX(Table13[Quartile],
    MATCH(1,
      (Table13[[#This Row],[OrgName]]=Table13[OrgName]) *
      (Table13[[#This Row],[Month Number]]-1=Table13[Month Number]),
    0)
  ),
"")</f>
        <v/>
      </c>
      <c r="H1884" s="15" t="str">
        <f>IF(Table13[[#This Row],[Previous Quartile]]="TopQuartile", 1,
 IF(Table13[[#This Row],[Previous Quartile]]="SecondQuartile", 2,
 IF(Table13[[#This Row],[Previous Quartile]]="ThirdQuartile", 3,
 IF(Table13[[#This Row],[Previous Quartile]]="FourthQuartile", 4, ""))))</f>
        <v/>
      </c>
      <c r="I1884" s="15" t="s">
        <v>649</v>
      </c>
      <c r="J1884" s="15" t="s">
        <v>24</v>
      </c>
      <c r="K1884" s="7" t="str">
        <f>VLOOKUP(J1884,Introduction!$B$6:$C$14,2)</f>
        <v>North East and Yorkshire</v>
      </c>
      <c r="L1884" s="17">
        <v>814</v>
      </c>
      <c r="M1884" s="18" t="s">
        <v>496</v>
      </c>
    </row>
    <row r="1885" spans="1:13" ht="19.95" customHeight="1" x14ac:dyDescent="0.25">
      <c r="A1885" s="42">
        <v>45292</v>
      </c>
      <c r="B1885" s="48">
        <f>MONTH(Table13[[#This Row],[YearMonth]])</f>
        <v>1</v>
      </c>
      <c r="C1885" s="15" t="s">
        <v>87</v>
      </c>
      <c r="D1885" s="16" t="s">
        <v>338</v>
      </c>
      <c r="E1885" s="16">
        <f>IF(Table13[[#This Row],[Quartile]]="TopQuartile", 1,
 IF(Table13[[#This Row],[Quartile]]="SecondQuartile", 2,
 IF(Table13[[#This Row],[Quartile]]="ThirdQuartile", 3,
 IF(Table13[[#This Row],[Quartile]]="FourthQuartile", 4, ""))))</f>
        <v>2</v>
      </c>
      <c r="F1885" s="15" t="s">
        <v>502</v>
      </c>
      <c r="G1885" s="15" t="str" cm="1">
        <f t="array" ref="G1885">IFERROR(
  INDEX(Table13[Quartile],
    MATCH(1,
      (Table13[[#This Row],[OrgName]]=Table13[OrgName]) *
      (Table13[[#This Row],[Month Number]]-1=Table13[Month Number]),
    0)
  ),
"")</f>
        <v/>
      </c>
      <c r="H1885" s="15" t="str">
        <f>IF(Table13[[#This Row],[Previous Quartile]]="TopQuartile", 1,
 IF(Table13[[#This Row],[Previous Quartile]]="SecondQuartile", 2,
 IF(Table13[[#This Row],[Previous Quartile]]="ThirdQuartile", 3,
 IF(Table13[[#This Row],[Previous Quartile]]="FourthQuartile", 4, ""))))</f>
        <v/>
      </c>
      <c r="I1885" s="15" t="s">
        <v>649</v>
      </c>
      <c r="J1885" s="15" t="s">
        <v>22</v>
      </c>
      <c r="K1885" s="7" t="str">
        <f>VLOOKUP(J1885,Introduction!$B$6:$C$14,2)</f>
        <v>North West</v>
      </c>
      <c r="L1885" s="17">
        <v>844</v>
      </c>
      <c r="M1885" s="18" t="s">
        <v>496</v>
      </c>
    </row>
    <row r="1886" spans="1:13" ht="19.95" customHeight="1" x14ac:dyDescent="0.25">
      <c r="A1886" s="42">
        <v>45292</v>
      </c>
      <c r="B1886" s="48">
        <f>MONTH(Table13[[#This Row],[YearMonth]])</f>
        <v>1</v>
      </c>
      <c r="C1886" s="15" t="s">
        <v>158</v>
      </c>
      <c r="D1886" s="16" t="s">
        <v>338</v>
      </c>
      <c r="E1886" s="16">
        <f>IF(Table13[[#This Row],[Quartile]]="TopQuartile", 1,
 IF(Table13[[#This Row],[Quartile]]="SecondQuartile", 2,
 IF(Table13[[#This Row],[Quartile]]="ThirdQuartile", 3,
 IF(Table13[[#This Row],[Quartile]]="FourthQuartile", 4, ""))))</f>
        <v>2</v>
      </c>
      <c r="F1886" s="15" t="s">
        <v>510</v>
      </c>
      <c r="G1886" s="15" t="str" cm="1">
        <f t="array" ref="G1886">IFERROR(
  INDEX(Table13[Quartile],
    MATCH(1,
      (Table13[[#This Row],[OrgName]]=Table13[OrgName]) *
      (Table13[[#This Row],[Month Number]]-1=Table13[Month Number]),
    0)
  ),
"")</f>
        <v/>
      </c>
      <c r="H1886" s="15" t="str">
        <f>IF(Table13[[#This Row],[Previous Quartile]]="TopQuartile", 1,
 IF(Table13[[#This Row],[Previous Quartile]]="SecondQuartile", 2,
 IF(Table13[[#This Row],[Previous Quartile]]="ThirdQuartile", 3,
 IF(Table13[[#This Row],[Previous Quartile]]="FourthQuartile", 4, ""))))</f>
        <v/>
      </c>
      <c r="I1886" s="15" t="s">
        <v>649</v>
      </c>
      <c r="J1886" s="15" t="s">
        <v>12</v>
      </c>
      <c r="K1886" s="7" t="str">
        <f>VLOOKUP(J1886,Introduction!$B$6:$C$14,2)</f>
        <v>London</v>
      </c>
      <c r="L1886" s="17">
        <v>779</v>
      </c>
      <c r="M1886" s="18" t="s">
        <v>496</v>
      </c>
    </row>
    <row r="1887" spans="1:13" ht="19.95" customHeight="1" x14ac:dyDescent="0.25">
      <c r="A1887" s="42">
        <v>45292</v>
      </c>
      <c r="B1887" s="48">
        <f>MONTH(Table13[[#This Row],[YearMonth]])</f>
        <v>1</v>
      </c>
      <c r="C1887" s="15" t="s">
        <v>154</v>
      </c>
      <c r="D1887" s="16" t="s">
        <v>338</v>
      </c>
      <c r="E1887" s="16">
        <f>IF(Table13[[#This Row],[Quartile]]="TopQuartile", 1,
 IF(Table13[[#This Row],[Quartile]]="SecondQuartile", 2,
 IF(Table13[[#This Row],[Quartile]]="ThirdQuartile", 3,
 IF(Table13[[#This Row],[Quartile]]="FourthQuartile", 4, ""))))</f>
        <v>2</v>
      </c>
      <c r="F1887" s="15" t="s">
        <v>508</v>
      </c>
      <c r="G1887" s="15" t="str" cm="1">
        <f t="array" ref="G1887">IFERROR(
  INDEX(Table13[Quartile],
    MATCH(1,
      (Table13[[#This Row],[OrgName]]=Table13[OrgName]) *
      (Table13[[#This Row],[Month Number]]-1=Table13[Month Number]),
    0)
  ),
"")</f>
        <v/>
      </c>
      <c r="H1887" s="15" t="str">
        <f>IF(Table13[[#This Row],[Previous Quartile]]="TopQuartile", 1,
 IF(Table13[[#This Row],[Previous Quartile]]="SecondQuartile", 2,
 IF(Table13[[#This Row],[Previous Quartile]]="ThirdQuartile", 3,
 IF(Table13[[#This Row],[Previous Quartile]]="FourthQuartile", 4, ""))))</f>
        <v/>
      </c>
      <c r="I1887" s="15" t="s">
        <v>649</v>
      </c>
      <c r="J1887" s="15" t="s">
        <v>24</v>
      </c>
      <c r="K1887" s="7" t="str">
        <f>VLOOKUP(J1887,Introduction!$B$6:$C$14,2)</f>
        <v>North East and Yorkshire</v>
      </c>
      <c r="L1887" s="17">
        <v>816</v>
      </c>
      <c r="M1887" s="18" t="s">
        <v>496</v>
      </c>
    </row>
    <row r="1888" spans="1:13" ht="19.95" customHeight="1" x14ac:dyDescent="0.25">
      <c r="A1888" s="42">
        <v>45292</v>
      </c>
      <c r="B1888" s="48">
        <f>MONTH(Table13[[#This Row],[YearMonth]])</f>
        <v>1</v>
      </c>
      <c r="C1888" s="15" t="s">
        <v>171</v>
      </c>
      <c r="D1888" s="16" t="s">
        <v>338</v>
      </c>
      <c r="E1888" s="16">
        <f>IF(Table13[[#This Row],[Quartile]]="TopQuartile", 1,
 IF(Table13[[#This Row],[Quartile]]="SecondQuartile", 2,
 IF(Table13[[#This Row],[Quartile]]="ThirdQuartile", 3,
 IF(Table13[[#This Row],[Quartile]]="FourthQuartile", 4, ""))))</f>
        <v>2</v>
      </c>
      <c r="F1888" s="15" t="s">
        <v>511</v>
      </c>
      <c r="G1888" s="15" t="str" cm="1">
        <f t="array" ref="G1888">IFERROR(
  INDEX(Table13[Quartile],
    MATCH(1,
      (Table13[[#This Row],[OrgName]]=Table13[OrgName]) *
      (Table13[[#This Row],[Month Number]]-1=Table13[Month Number]),
    0)
  ),
"")</f>
        <v/>
      </c>
      <c r="H1888" s="15" t="str">
        <f>IF(Table13[[#This Row],[Previous Quartile]]="TopQuartile", 1,
 IF(Table13[[#This Row],[Previous Quartile]]="SecondQuartile", 2,
 IF(Table13[[#This Row],[Previous Quartile]]="ThirdQuartile", 3,
 IF(Table13[[#This Row],[Previous Quartile]]="FourthQuartile", 4, ""))))</f>
        <v/>
      </c>
      <c r="I1888" s="15" t="s">
        <v>649</v>
      </c>
      <c r="J1888" s="15" t="s">
        <v>20</v>
      </c>
      <c r="K1888" s="7" t="str">
        <f>VLOOKUP(J1888,Introduction!$B$6:$C$14,2)</f>
        <v>East of England</v>
      </c>
      <c r="L1888" s="17">
        <v>839</v>
      </c>
      <c r="M1888" s="18" t="s">
        <v>496</v>
      </c>
    </row>
    <row r="1889" spans="1:13" ht="19.95" customHeight="1" x14ac:dyDescent="0.25">
      <c r="A1889" s="42">
        <v>45292</v>
      </c>
      <c r="B1889" s="48">
        <f>MONTH(Table13[[#This Row],[YearMonth]])</f>
        <v>1</v>
      </c>
      <c r="C1889" s="15" t="s">
        <v>175</v>
      </c>
      <c r="D1889" s="16" t="s">
        <v>338</v>
      </c>
      <c r="E1889" s="16">
        <f>IF(Table13[[#This Row],[Quartile]]="TopQuartile", 1,
 IF(Table13[[#This Row],[Quartile]]="SecondQuartile", 2,
 IF(Table13[[#This Row],[Quartile]]="ThirdQuartile", 3,
 IF(Table13[[#This Row],[Quartile]]="FourthQuartile", 4, ""))))</f>
        <v>2</v>
      </c>
      <c r="F1889" s="15" t="s">
        <v>512</v>
      </c>
      <c r="G1889" s="15" t="str" cm="1">
        <f t="array" ref="G1889">IFERROR(
  INDEX(Table13[Quartile],
    MATCH(1,
      (Table13[[#This Row],[OrgName]]=Table13[OrgName]) *
      (Table13[[#This Row],[Month Number]]-1=Table13[Month Number]),
    0)
  ),
"")</f>
        <v/>
      </c>
      <c r="H1889" s="15" t="str">
        <f>IF(Table13[[#This Row],[Previous Quartile]]="TopQuartile", 1,
 IF(Table13[[#This Row],[Previous Quartile]]="SecondQuartile", 2,
 IF(Table13[[#This Row],[Previous Quartile]]="ThirdQuartile", 3,
 IF(Table13[[#This Row],[Previous Quartile]]="FourthQuartile", 4, ""))))</f>
        <v/>
      </c>
      <c r="I1889" s="15" t="s">
        <v>649</v>
      </c>
      <c r="J1889" s="15" t="s">
        <v>18</v>
      </c>
      <c r="K1889" s="7" t="str">
        <f>VLOOKUP(J1889,Introduction!$B$6:$C$14,2)</f>
        <v>Midlands</v>
      </c>
      <c r="L1889" s="17">
        <v>798</v>
      </c>
      <c r="M1889" s="18" t="s">
        <v>496</v>
      </c>
    </row>
    <row r="1890" spans="1:13" ht="19.95" customHeight="1" x14ac:dyDescent="0.25">
      <c r="A1890" s="42">
        <v>45292</v>
      </c>
      <c r="B1890" s="48">
        <f>MONTH(Table13[[#This Row],[YearMonth]])</f>
        <v>1</v>
      </c>
      <c r="C1890" s="15" t="s">
        <v>156</v>
      </c>
      <c r="D1890" s="16" t="s">
        <v>341</v>
      </c>
      <c r="E1890" s="16">
        <f>IF(Table13[[#This Row],[Quartile]]="TopQuartile", 1,
 IF(Table13[[#This Row],[Quartile]]="SecondQuartile", 2,
 IF(Table13[[#This Row],[Quartile]]="ThirdQuartile", 3,
 IF(Table13[[#This Row],[Quartile]]="FourthQuartile", 4, ""))))</f>
        <v>3</v>
      </c>
      <c r="F1890" s="15" t="s">
        <v>509</v>
      </c>
      <c r="G1890" s="15" t="str" cm="1">
        <f t="array" ref="G1890">IFERROR(
  INDEX(Table13[Quartile],
    MATCH(1,
      (Table13[[#This Row],[OrgName]]=Table13[OrgName]) *
      (Table13[[#This Row],[Month Number]]-1=Table13[Month Number]),
    0)
  ),
"")</f>
        <v/>
      </c>
      <c r="H1890" s="15" t="str">
        <f>IF(Table13[[#This Row],[Previous Quartile]]="TopQuartile", 1,
 IF(Table13[[#This Row],[Previous Quartile]]="SecondQuartile", 2,
 IF(Table13[[#This Row],[Previous Quartile]]="ThirdQuartile", 3,
 IF(Table13[[#This Row],[Previous Quartile]]="FourthQuartile", 4, ""))))</f>
        <v/>
      </c>
      <c r="I1890" s="15" t="s">
        <v>649</v>
      </c>
      <c r="J1890" s="15" t="s">
        <v>20</v>
      </c>
      <c r="K1890" s="7" t="str">
        <f>VLOOKUP(J1890,Introduction!$B$6:$C$14,2)</f>
        <v>East of England</v>
      </c>
      <c r="L1890" s="17">
        <v>812</v>
      </c>
      <c r="M1890" s="18" t="s">
        <v>496</v>
      </c>
    </row>
    <row r="1891" spans="1:13" ht="19.95" customHeight="1" x14ac:dyDescent="0.25">
      <c r="A1891" s="42">
        <v>45292</v>
      </c>
      <c r="B1891" s="48">
        <f>MONTH(Table13[[#This Row],[YearMonth]])</f>
        <v>1</v>
      </c>
      <c r="C1891" s="15" t="s">
        <v>193</v>
      </c>
      <c r="D1891" s="16" t="s">
        <v>341</v>
      </c>
      <c r="E1891" s="16">
        <f>IF(Table13[[#This Row],[Quartile]]="TopQuartile", 1,
 IF(Table13[[#This Row],[Quartile]]="SecondQuartile", 2,
 IF(Table13[[#This Row],[Quartile]]="ThirdQuartile", 3,
 IF(Table13[[#This Row],[Quartile]]="FourthQuartile", 4, ""))))</f>
        <v>3</v>
      </c>
      <c r="F1891" s="15" t="s">
        <v>513</v>
      </c>
      <c r="G1891" s="15" t="str" cm="1">
        <f t="array" ref="G1891">IFERROR(
  INDEX(Table13[Quartile],
    MATCH(1,
      (Table13[[#This Row],[OrgName]]=Table13[OrgName]) *
      (Table13[[#This Row],[Month Number]]-1=Table13[Month Number]),
    0)
  ),
"")</f>
        <v/>
      </c>
      <c r="H1891" s="15" t="str">
        <f>IF(Table13[[#This Row],[Previous Quartile]]="TopQuartile", 1,
 IF(Table13[[#This Row],[Previous Quartile]]="SecondQuartile", 2,
 IF(Table13[[#This Row],[Previous Quartile]]="ThirdQuartile", 3,
 IF(Table13[[#This Row],[Previous Quartile]]="FourthQuartile", 4, ""))))</f>
        <v/>
      </c>
      <c r="I1891" s="15" t="s">
        <v>649</v>
      </c>
      <c r="J1891" s="15" t="s">
        <v>20</v>
      </c>
      <c r="K1891" s="7" t="str">
        <f>VLOOKUP(J1891,Introduction!$B$6:$C$14,2)</f>
        <v>East of England</v>
      </c>
      <c r="L1891" s="17">
        <v>448</v>
      </c>
      <c r="M1891" s="18" t="s">
        <v>496</v>
      </c>
    </row>
    <row r="1892" spans="1:13" ht="19.95" customHeight="1" x14ac:dyDescent="0.25">
      <c r="A1892" s="42">
        <v>45292</v>
      </c>
      <c r="B1892" s="48">
        <f>MONTH(Table13[[#This Row],[YearMonth]])</f>
        <v>1</v>
      </c>
      <c r="C1892" s="15" t="s">
        <v>230</v>
      </c>
      <c r="D1892" s="16" t="s">
        <v>341</v>
      </c>
      <c r="E1892" s="16">
        <f>IF(Table13[[#This Row],[Quartile]]="TopQuartile", 1,
 IF(Table13[[#This Row],[Quartile]]="SecondQuartile", 2,
 IF(Table13[[#This Row],[Quartile]]="ThirdQuartile", 3,
 IF(Table13[[#This Row],[Quartile]]="FourthQuartile", 4, ""))))</f>
        <v>3</v>
      </c>
      <c r="F1892" s="15" t="s">
        <v>517</v>
      </c>
      <c r="G1892" s="15" t="str" cm="1">
        <f t="array" ref="G1892">IFERROR(
  INDEX(Table13[Quartile],
    MATCH(1,
      (Table13[[#This Row],[OrgName]]=Table13[OrgName]) *
      (Table13[[#This Row],[Month Number]]-1=Table13[Month Number]),
    0)
  ),
"")</f>
        <v/>
      </c>
      <c r="H1892" s="15" t="str">
        <f>IF(Table13[[#This Row],[Previous Quartile]]="TopQuartile", 1,
 IF(Table13[[#This Row],[Previous Quartile]]="SecondQuartile", 2,
 IF(Table13[[#This Row],[Previous Quartile]]="ThirdQuartile", 3,
 IF(Table13[[#This Row],[Previous Quartile]]="FourthQuartile", 4, ""))))</f>
        <v/>
      </c>
      <c r="I1892" s="15" t="s">
        <v>649</v>
      </c>
      <c r="J1892" s="15" t="s">
        <v>18</v>
      </c>
      <c r="K1892" s="7" t="str">
        <f>VLOOKUP(J1892,Introduction!$B$6:$C$14,2)</f>
        <v>Midlands</v>
      </c>
      <c r="L1892" s="17">
        <v>826</v>
      </c>
      <c r="M1892" s="18" t="s">
        <v>496</v>
      </c>
    </row>
    <row r="1893" spans="1:13" ht="19.95" customHeight="1" x14ac:dyDescent="0.25">
      <c r="A1893" s="42">
        <v>45292</v>
      </c>
      <c r="B1893" s="48">
        <f>MONTH(Table13[[#This Row],[YearMonth]])</f>
        <v>1</v>
      </c>
      <c r="C1893" s="15" t="s">
        <v>196</v>
      </c>
      <c r="D1893" s="16" t="s">
        <v>341</v>
      </c>
      <c r="E1893" s="16">
        <f>IF(Table13[[#This Row],[Quartile]]="TopQuartile", 1,
 IF(Table13[[#This Row],[Quartile]]="SecondQuartile", 2,
 IF(Table13[[#This Row],[Quartile]]="ThirdQuartile", 3,
 IF(Table13[[#This Row],[Quartile]]="FourthQuartile", 4, ""))))</f>
        <v>3</v>
      </c>
      <c r="F1893" s="15" t="s">
        <v>514</v>
      </c>
      <c r="G1893" s="15" t="str" cm="1">
        <f t="array" ref="G1893">IFERROR(
  INDEX(Table13[Quartile],
    MATCH(1,
      (Table13[[#This Row],[OrgName]]=Table13[OrgName]) *
      (Table13[[#This Row],[Month Number]]-1=Table13[Month Number]),
    0)
  ),
"")</f>
        <v/>
      </c>
      <c r="H1893" s="15" t="str">
        <f>IF(Table13[[#This Row],[Previous Quartile]]="TopQuartile", 1,
 IF(Table13[[#This Row],[Previous Quartile]]="SecondQuartile", 2,
 IF(Table13[[#This Row],[Previous Quartile]]="ThirdQuartile", 3,
 IF(Table13[[#This Row],[Previous Quartile]]="FourthQuartile", 4, ""))))</f>
        <v/>
      </c>
      <c r="I1893" s="15" t="s">
        <v>649</v>
      </c>
      <c r="J1893" s="15" t="s">
        <v>18</v>
      </c>
      <c r="K1893" s="7" t="str">
        <f>VLOOKUP(J1893,Introduction!$B$6:$C$14,2)</f>
        <v>Midlands</v>
      </c>
      <c r="L1893" s="17">
        <v>842</v>
      </c>
      <c r="M1893" s="18" t="s">
        <v>496</v>
      </c>
    </row>
    <row r="1894" spans="1:13" ht="19.95" customHeight="1" x14ac:dyDescent="0.25">
      <c r="A1894" s="42">
        <v>45292</v>
      </c>
      <c r="B1894" s="48">
        <f>MONTH(Table13[[#This Row],[YearMonth]])</f>
        <v>1</v>
      </c>
      <c r="C1894" s="15" t="s">
        <v>199</v>
      </c>
      <c r="D1894" s="16" t="s">
        <v>341</v>
      </c>
      <c r="E1894" s="16">
        <f>IF(Table13[[#This Row],[Quartile]]="TopQuartile", 1,
 IF(Table13[[#This Row],[Quartile]]="SecondQuartile", 2,
 IF(Table13[[#This Row],[Quartile]]="ThirdQuartile", 3,
 IF(Table13[[#This Row],[Quartile]]="FourthQuartile", 4, ""))))</f>
        <v>3</v>
      </c>
      <c r="F1894" s="15" t="s">
        <v>515</v>
      </c>
      <c r="G1894" s="15" t="str" cm="1">
        <f t="array" ref="G1894">IFERROR(
  INDEX(Table13[Quartile],
    MATCH(1,
      (Table13[[#This Row],[OrgName]]=Table13[OrgName]) *
      (Table13[[#This Row],[Month Number]]-1=Table13[Month Number]),
    0)
  ),
"")</f>
        <v/>
      </c>
      <c r="H1894" s="15" t="str">
        <f>IF(Table13[[#This Row],[Previous Quartile]]="TopQuartile", 1,
 IF(Table13[[#This Row],[Previous Quartile]]="SecondQuartile", 2,
 IF(Table13[[#This Row],[Previous Quartile]]="ThirdQuartile", 3,
 IF(Table13[[#This Row],[Previous Quartile]]="FourthQuartile", 4, ""))))</f>
        <v/>
      </c>
      <c r="I1894" s="15" t="s">
        <v>649</v>
      </c>
      <c r="J1894" s="15" t="s">
        <v>24</v>
      </c>
      <c r="K1894" s="7" t="str">
        <f>VLOOKUP(J1894,Introduction!$B$6:$C$14,2)</f>
        <v>North East and Yorkshire</v>
      </c>
      <c r="L1894" s="17">
        <v>810</v>
      </c>
      <c r="M1894" s="18" t="s">
        <v>496</v>
      </c>
    </row>
    <row r="1895" spans="1:13" ht="19.95" customHeight="1" x14ac:dyDescent="0.25">
      <c r="A1895" s="42">
        <v>45292</v>
      </c>
      <c r="B1895" s="48">
        <f>MONTH(Table13[[#This Row],[YearMonth]])</f>
        <v>1</v>
      </c>
      <c r="C1895" s="15" t="s">
        <v>238</v>
      </c>
      <c r="D1895" s="16" t="s">
        <v>341</v>
      </c>
      <c r="E1895" s="16">
        <f>IF(Table13[[#This Row],[Quartile]]="TopQuartile", 1,
 IF(Table13[[#This Row],[Quartile]]="SecondQuartile", 2,
 IF(Table13[[#This Row],[Quartile]]="ThirdQuartile", 3,
 IF(Table13[[#This Row],[Quartile]]="FourthQuartile", 4, ""))))</f>
        <v>3</v>
      </c>
      <c r="F1895" s="15" t="s">
        <v>519</v>
      </c>
      <c r="G1895" s="15" t="str" cm="1">
        <f t="array" ref="G1895">IFERROR(
  INDEX(Table13[Quartile],
    MATCH(1,
      (Table13[[#This Row],[OrgName]]=Table13[OrgName]) *
      (Table13[[#This Row],[Month Number]]-1=Table13[Month Number]),
    0)
  ),
"")</f>
        <v/>
      </c>
      <c r="H1895" s="15" t="str">
        <f>IF(Table13[[#This Row],[Previous Quartile]]="TopQuartile", 1,
 IF(Table13[[#This Row],[Previous Quartile]]="SecondQuartile", 2,
 IF(Table13[[#This Row],[Previous Quartile]]="ThirdQuartile", 3,
 IF(Table13[[#This Row],[Previous Quartile]]="FourthQuartile", 4, ""))))</f>
        <v/>
      </c>
      <c r="I1895" s="15" t="s">
        <v>649</v>
      </c>
      <c r="J1895" s="15" t="s">
        <v>24</v>
      </c>
      <c r="K1895" s="7" t="str">
        <f>VLOOKUP(J1895,Introduction!$B$6:$C$14,2)</f>
        <v>North East and Yorkshire</v>
      </c>
      <c r="L1895" s="17">
        <v>845</v>
      </c>
      <c r="M1895" s="18" t="s">
        <v>496</v>
      </c>
    </row>
    <row r="1896" spans="1:13" ht="19.95" customHeight="1" x14ac:dyDescent="0.25">
      <c r="A1896" s="42">
        <v>45292</v>
      </c>
      <c r="B1896" s="48">
        <f>MONTH(Table13[[#This Row],[YearMonth]])</f>
        <v>1</v>
      </c>
      <c r="C1896" s="15" t="s">
        <v>117</v>
      </c>
      <c r="D1896" s="16" t="s">
        <v>341</v>
      </c>
      <c r="E1896" s="16">
        <f>IF(Table13[[#This Row],[Quartile]]="TopQuartile", 1,
 IF(Table13[[#This Row],[Quartile]]="SecondQuartile", 2,
 IF(Table13[[#This Row],[Quartile]]="ThirdQuartile", 3,
 IF(Table13[[#This Row],[Quartile]]="FourthQuartile", 4, ""))))</f>
        <v>3</v>
      </c>
      <c r="F1896" s="15" t="s">
        <v>504</v>
      </c>
      <c r="G1896" s="15" t="str" cm="1">
        <f t="array" ref="G1896">IFERROR(
  INDEX(Table13[Quartile],
    MATCH(1,
      (Table13[[#This Row],[OrgName]]=Table13[OrgName]) *
      (Table13[[#This Row],[Month Number]]-1=Table13[Month Number]),
    0)
  ),
"")</f>
        <v/>
      </c>
      <c r="H1896" s="15" t="str">
        <f>IF(Table13[[#This Row],[Previous Quartile]]="TopQuartile", 1,
 IF(Table13[[#This Row],[Previous Quartile]]="SecondQuartile", 2,
 IF(Table13[[#This Row],[Previous Quartile]]="ThirdQuartile", 3,
 IF(Table13[[#This Row],[Previous Quartile]]="FourthQuartile", 4, ""))))</f>
        <v/>
      </c>
      <c r="I1896" s="15" t="s">
        <v>649</v>
      </c>
      <c r="J1896" s="15" t="s">
        <v>24</v>
      </c>
      <c r="K1896" s="7" t="str">
        <f>VLOOKUP(J1896,Introduction!$B$6:$C$14,2)</f>
        <v>North East and Yorkshire</v>
      </c>
      <c r="L1896" s="17">
        <v>847</v>
      </c>
      <c r="M1896" s="18" t="s">
        <v>496</v>
      </c>
    </row>
    <row r="1897" spans="1:13" ht="19.95" customHeight="1" x14ac:dyDescent="0.25">
      <c r="A1897" s="42">
        <v>45292</v>
      </c>
      <c r="B1897" s="48">
        <f>MONTH(Table13[[#This Row],[YearMonth]])</f>
        <v>1</v>
      </c>
      <c r="C1897" s="15" t="s">
        <v>219</v>
      </c>
      <c r="D1897" s="16" t="s">
        <v>341</v>
      </c>
      <c r="E1897" s="16">
        <f>IF(Table13[[#This Row],[Quartile]]="TopQuartile", 1,
 IF(Table13[[#This Row],[Quartile]]="SecondQuartile", 2,
 IF(Table13[[#This Row],[Quartile]]="ThirdQuartile", 3,
 IF(Table13[[#This Row],[Quartile]]="FourthQuartile", 4, ""))))</f>
        <v>3</v>
      </c>
      <c r="F1897" s="15" t="s">
        <v>516</v>
      </c>
      <c r="G1897" s="15" t="str" cm="1">
        <f t="array" ref="G1897">IFERROR(
  INDEX(Table13[Quartile],
    MATCH(1,
      (Table13[[#This Row],[OrgName]]=Table13[OrgName]) *
      (Table13[[#This Row],[Month Number]]-1=Table13[Month Number]),
    0)
  ),
"")</f>
        <v/>
      </c>
      <c r="H1897" s="15" t="str">
        <f>IF(Table13[[#This Row],[Previous Quartile]]="TopQuartile", 1,
 IF(Table13[[#This Row],[Previous Quartile]]="SecondQuartile", 2,
 IF(Table13[[#This Row],[Previous Quartile]]="ThirdQuartile", 3,
 IF(Table13[[#This Row],[Previous Quartile]]="FourthQuartile", 4, ""))))</f>
        <v/>
      </c>
      <c r="I1897" s="15" t="s">
        <v>649</v>
      </c>
      <c r="J1897" s="15" t="s">
        <v>22</v>
      </c>
      <c r="K1897" s="7" t="str">
        <f>VLOOKUP(J1897,Introduction!$B$6:$C$14,2)</f>
        <v>North West</v>
      </c>
      <c r="L1897" s="17">
        <v>835</v>
      </c>
      <c r="M1897" s="18" t="s">
        <v>496</v>
      </c>
    </row>
    <row r="1898" spans="1:13" ht="19.95" customHeight="1" x14ac:dyDescent="0.25">
      <c r="A1898" s="42">
        <v>45292</v>
      </c>
      <c r="B1898" s="48">
        <f>MONTH(Table13[[#This Row],[YearMonth]])</f>
        <v>1</v>
      </c>
      <c r="C1898" s="15" t="s">
        <v>233</v>
      </c>
      <c r="D1898" s="16" t="s">
        <v>341</v>
      </c>
      <c r="E1898" s="16">
        <f>IF(Table13[[#This Row],[Quartile]]="TopQuartile", 1,
 IF(Table13[[#This Row],[Quartile]]="SecondQuartile", 2,
 IF(Table13[[#This Row],[Quartile]]="ThirdQuartile", 3,
 IF(Table13[[#This Row],[Quartile]]="FourthQuartile", 4, ""))))</f>
        <v>3</v>
      </c>
      <c r="F1898" s="15" t="s">
        <v>518</v>
      </c>
      <c r="G1898" s="15" t="str" cm="1">
        <f t="array" ref="G1898">IFERROR(
  INDEX(Table13[Quartile],
    MATCH(1,
      (Table13[[#This Row],[OrgName]]=Table13[OrgName]) *
      (Table13[[#This Row],[Month Number]]-1=Table13[Month Number]),
    0)
  ),
"")</f>
        <v/>
      </c>
      <c r="H1898" s="15" t="str">
        <f>IF(Table13[[#This Row],[Previous Quartile]]="TopQuartile", 1,
 IF(Table13[[#This Row],[Previous Quartile]]="SecondQuartile", 2,
 IF(Table13[[#This Row],[Previous Quartile]]="ThirdQuartile", 3,
 IF(Table13[[#This Row],[Previous Quartile]]="FourthQuartile", 4, ""))))</f>
        <v/>
      </c>
      <c r="I1898" s="15" t="s">
        <v>649</v>
      </c>
      <c r="J1898" s="15" t="s">
        <v>18</v>
      </c>
      <c r="K1898" s="7" t="str">
        <f>VLOOKUP(J1898,Introduction!$B$6:$C$14,2)</f>
        <v>Midlands</v>
      </c>
      <c r="L1898" s="17">
        <v>820</v>
      </c>
      <c r="M1898" s="18" t="s">
        <v>496</v>
      </c>
    </row>
    <row r="1899" spans="1:13" ht="19.95" customHeight="1" x14ac:dyDescent="0.25">
      <c r="A1899" s="42">
        <v>45292</v>
      </c>
      <c r="B1899" s="48">
        <f>MONTH(Table13[[#This Row],[YearMonth]])</f>
        <v>1</v>
      </c>
      <c r="C1899" s="15" t="s">
        <v>248</v>
      </c>
      <c r="D1899" s="16" t="s">
        <v>350</v>
      </c>
      <c r="E1899" s="16">
        <f>IF(Table13[[#This Row],[Quartile]]="TopQuartile", 1,
 IF(Table13[[#This Row],[Quartile]]="SecondQuartile", 2,
 IF(Table13[[#This Row],[Quartile]]="ThirdQuartile", 3,
 IF(Table13[[#This Row],[Quartile]]="FourthQuartile", 4, ""))))</f>
        <v>4</v>
      </c>
      <c r="F1899" s="15" t="s">
        <v>520</v>
      </c>
      <c r="G1899" s="15" t="str" cm="1">
        <f t="array" ref="G1899">IFERROR(
  INDEX(Table13[Quartile],
    MATCH(1,
      (Table13[[#This Row],[OrgName]]=Table13[OrgName]) *
      (Table13[[#This Row],[Month Number]]-1=Table13[Month Number]),
    0)
  ),
"")</f>
        <v/>
      </c>
      <c r="H1899" s="15" t="str">
        <f>IF(Table13[[#This Row],[Previous Quartile]]="TopQuartile", 1,
 IF(Table13[[#This Row],[Previous Quartile]]="SecondQuartile", 2,
 IF(Table13[[#This Row],[Previous Quartile]]="ThirdQuartile", 3,
 IF(Table13[[#This Row],[Previous Quartile]]="FourthQuartile", 4, ""))))</f>
        <v/>
      </c>
      <c r="I1899" s="15" t="s">
        <v>649</v>
      </c>
      <c r="J1899" s="15" t="s">
        <v>12</v>
      </c>
      <c r="K1899" s="7" t="str">
        <f>VLOOKUP(J1899,Introduction!$B$6:$C$14,2)</f>
        <v>London</v>
      </c>
      <c r="L1899" s="17">
        <v>848</v>
      </c>
      <c r="M1899" s="18" t="s">
        <v>496</v>
      </c>
    </row>
    <row r="1900" spans="1:13" ht="19.95" customHeight="1" x14ac:dyDescent="0.25">
      <c r="A1900" s="42">
        <v>45292</v>
      </c>
      <c r="B1900" s="48">
        <f>MONTH(Table13[[#This Row],[YearMonth]])</f>
        <v>1</v>
      </c>
      <c r="C1900" s="15" t="s">
        <v>260</v>
      </c>
      <c r="D1900" s="16" t="s">
        <v>350</v>
      </c>
      <c r="E1900" s="16">
        <f>IF(Table13[[#This Row],[Quartile]]="TopQuartile", 1,
 IF(Table13[[#This Row],[Quartile]]="SecondQuartile", 2,
 IF(Table13[[#This Row],[Quartile]]="ThirdQuartile", 3,
 IF(Table13[[#This Row],[Quartile]]="FourthQuartile", 4, ""))))</f>
        <v>4</v>
      </c>
      <c r="F1900" s="15" t="s">
        <v>522</v>
      </c>
      <c r="G1900" s="15" t="str" cm="1">
        <f t="array" ref="G1900">IFERROR(
  INDEX(Table13[Quartile],
    MATCH(1,
      (Table13[[#This Row],[OrgName]]=Table13[OrgName]) *
      (Table13[[#This Row],[Month Number]]-1=Table13[Month Number]),
    0)
  ),
"")</f>
        <v/>
      </c>
      <c r="H1900" s="15" t="str">
        <f>IF(Table13[[#This Row],[Previous Quartile]]="TopQuartile", 1,
 IF(Table13[[#This Row],[Previous Quartile]]="SecondQuartile", 2,
 IF(Table13[[#This Row],[Previous Quartile]]="ThirdQuartile", 3,
 IF(Table13[[#This Row],[Previous Quartile]]="FourthQuartile", 4, ""))))</f>
        <v/>
      </c>
      <c r="I1900" s="15" t="s">
        <v>649</v>
      </c>
      <c r="J1900" s="15" t="s">
        <v>24</v>
      </c>
      <c r="K1900" s="7" t="str">
        <f>VLOOKUP(J1900,Introduction!$B$6:$C$14,2)</f>
        <v>North East and Yorkshire</v>
      </c>
      <c r="L1900" s="17">
        <v>833</v>
      </c>
      <c r="M1900" s="18" t="s">
        <v>496</v>
      </c>
    </row>
    <row r="1901" spans="1:13" ht="19.95" customHeight="1" x14ac:dyDescent="0.25">
      <c r="A1901" s="42">
        <v>45292</v>
      </c>
      <c r="B1901" s="48">
        <f>MONTH(Table13[[#This Row],[YearMonth]])</f>
        <v>1</v>
      </c>
      <c r="C1901" s="15" t="s">
        <v>297</v>
      </c>
      <c r="D1901" s="16" t="s">
        <v>350</v>
      </c>
      <c r="E1901" s="16">
        <f>IF(Table13[[#This Row],[Quartile]]="TopQuartile", 1,
 IF(Table13[[#This Row],[Quartile]]="SecondQuartile", 2,
 IF(Table13[[#This Row],[Quartile]]="ThirdQuartile", 3,
 IF(Table13[[#This Row],[Quartile]]="FourthQuartile", 4, ""))))</f>
        <v>4</v>
      </c>
      <c r="F1901" s="15" t="s">
        <v>527</v>
      </c>
      <c r="G1901" s="15" t="str" cm="1">
        <f t="array" ref="G1901">IFERROR(
  INDEX(Table13[Quartile],
    MATCH(1,
      (Table13[[#This Row],[OrgName]]=Table13[OrgName]) *
      (Table13[[#This Row],[Month Number]]-1=Table13[Month Number]),
    0)
  ),
"")</f>
        <v/>
      </c>
      <c r="H1901" s="15" t="str">
        <f>IF(Table13[[#This Row],[Previous Quartile]]="TopQuartile", 1,
 IF(Table13[[#This Row],[Previous Quartile]]="SecondQuartile", 2,
 IF(Table13[[#This Row],[Previous Quartile]]="ThirdQuartile", 3,
 IF(Table13[[#This Row],[Previous Quartile]]="FourthQuartile", 4, ""))))</f>
        <v/>
      </c>
      <c r="I1901" s="15" t="s">
        <v>649</v>
      </c>
      <c r="J1901" s="15" t="s">
        <v>16</v>
      </c>
      <c r="K1901" s="7" t="str">
        <f>VLOOKUP(J1901,Introduction!$B$6:$C$14,2)</f>
        <v>South East</v>
      </c>
      <c r="L1901" s="17">
        <v>78</v>
      </c>
      <c r="M1901" s="18" t="s">
        <v>496</v>
      </c>
    </row>
    <row r="1902" spans="1:13" ht="19.95" customHeight="1" x14ac:dyDescent="0.25">
      <c r="A1902" s="42">
        <v>45292</v>
      </c>
      <c r="B1902" s="48">
        <f>MONTH(Table13[[#This Row],[YearMonth]])</f>
        <v>1</v>
      </c>
      <c r="C1902" s="15" t="s">
        <v>261</v>
      </c>
      <c r="D1902" s="16" t="s">
        <v>350</v>
      </c>
      <c r="E1902" s="16">
        <f>IF(Table13[[#This Row],[Quartile]]="TopQuartile", 1,
 IF(Table13[[#This Row],[Quartile]]="SecondQuartile", 2,
 IF(Table13[[#This Row],[Quartile]]="ThirdQuartile", 3,
 IF(Table13[[#This Row],[Quartile]]="FourthQuartile", 4, ""))))</f>
        <v>4</v>
      </c>
      <c r="F1902" s="15" t="s">
        <v>523</v>
      </c>
      <c r="G1902" s="15" t="str" cm="1">
        <f t="array" ref="G1902">IFERROR(
  INDEX(Table13[Quartile],
    MATCH(1,
      (Table13[[#This Row],[OrgName]]=Table13[OrgName]) *
      (Table13[[#This Row],[Month Number]]-1=Table13[Month Number]),
    0)
  ),
"")</f>
        <v/>
      </c>
      <c r="H1902" s="15" t="str">
        <f>IF(Table13[[#This Row],[Previous Quartile]]="TopQuartile", 1,
 IF(Table13[[#This Row],[Previous Quartile]]="SecondQuartile", 2,
 IF(Table13[[#This Row],[Previous Quartile]]="ThirdQuartile", 3,
 IF(Table13[[#This Row],[Previous Quartile]]="FourthQuartile", 4, ""))))</f>
        <v/>
      </c>
      <c r="I1902" s="15" t="s">
        <v>649</v>
      </c>
      <c r="J1902" s="15" t="s">
        <v>14</v>
      </c>
      <c r="K1902" s="7" t="str">
        <f>VLOOKUP(J1902,Introduction!$B$6:$C$14,2)</f>
        <v>South West</v>
      </c>
      <c r="L1902" s="17">
        <v>83</v>
      </c>
      <c r="M1902" s="18" t="s">
        <v>496</v>
      </c>
    </row>
    <row r="1903" spans="1:13" ht="19.95" customHeight="1" x14ac:dyDescent="0.25">
      <c r="A1903" s="42">
        <v>45292</v>
      </c>
      <c r="B1903" s="48">
        <f>MONTH(Table13[[#This Row],[YearMonth]])</f>
        <v>1</v>
      </c>
      <c r="C1903" s="15" t="s">
        <v>259</v>
      </c>
      <c r="D1903" s="16" t="s">
        <v>350</v>
      </c>
      <c r="E1903" s="16">
        <f>IF(Table13[[#This Row],[Quartile]]="TopQuartile", 1,
 IF(Table13[[#This Row],[Quartile]]="SecondQuartile", 2,
 IF(Table13[[#This Row],[Quartile]]="ThirdQuartile", 3,
 IF(Table13[[#This Row],[Quartile]]="FourthQuartile", 4, ""))))</f>
        <v>4</v>
      </c>
      <c r="F1903" s="15" t="s">
        <v>521</v>
      </c>
      <c r="G1903" s="15" t="str" cm="1">
        <f t="array" ref="G1903">IFERROR(
  INDEX(Table13[Quartile],
    MATCH(1,
      (Table13[[#This Row],[OrgName]]=Table13[OrgName]) *
      (Table13[[#This Row],[Month Number]]-1=Table13[Month Number]),
    0)
  ),
"")</f>
        <v/>
      </c>
      <c r="H1903" s="15" t="str">
        <f>IF(Table13[[#This Row],[Previous Quartile]]="TopQuartile", 1,
 IF(Table13[[#This Row],[Previous Quartile]]="SecondQuartile", 2,
 IF(Table13[[#This Row],[Previous Quartile]]="ThirdQuartile", 3,
 IF(Table13[[#This Row],[Previous Quartile]]="FourthQuartile", 4, ""))))</f>
        <v/>
      </c>
      <c r="I1903" s="15" t="s">
        <v>649</v>
      </c>
      <c r="J1903" s="15" t="s">
        <v>12</v>
      </c>
      <c r="K1903" s="7" t="str">
        <f>VLOOKUP(J1903,Introduction!$B$6:$C$14,2)</f>
        <v>London</v>
      </c>
      <c r="L1903" s="17">
        <v>824</v>
      </c>
      <c r="M1903" s="18" t="s">
        <v>496</v>
      </c>
    </row>
    <row r="1904" spans="1:13" ht="19.95" customHeight="1" x14ac:dyDescent="0.25">
      <c r="A1904" s="42">
        <v>45292</v>
      </c>
      <c r="B1904" s="48">
        <f>MONTH(Table13[[#This Row],[YearMonth]])</f>
        <v>1</v>
      </c>
      <c r="C1904" s="15" t="s">
        <v>288</v>
      </c>
      <c r="D1904" s="16" t="s">
        <v>350</v>
      </c>
      <c r="E1904" s="16">
        <f>IF(Table13[[#This Row],[Quartile]]="TopQuartile", 1,
 IF(Table13[[#This Row],[Quartile]]="SecondQuartile", 2,
 IF(Table13[[#This Row],[Quartile]]="ThirdQuartile", 3,
 IF(Table13[[#This Row],[Quartile]]="FourthQuartile", 4, ""))))</f>
        <v>4</v>
      </c>
      <c r="F1904" s="15" t="s">
        <v>525</v>
      </c>
      <c r="G1904" s="15" t="str" cm="1">
        <f t="array" ref="G1904">IFERROR(
  INDEX(Table13[Quartile],
    MATCH(1,
      (Table13[[#This Row],[OrgName]]=Table13[OrgName]) *
      (Table13[[#This Row],[Month Number]]-1=Table13[Month Number]),
    0)
  ),
"")</f>
        <v/>
      </c>
      <c r="H1904" s="15" t="str">
        <f>IF(Table13[[#This Row],[Previous Quartile]]="TopQuartile", 1,
 IF(Table13[[#This Row],[Previous Quartile]]="SecondQuartile", 2,
 IF(Table13[[#This Row],[Previous Quartile]]="ThirdQuartile", 3,
 IF(Table13[[#This Row],[Previous Quartile]]="FourthQuartile", 4, ""))))</f>
        <v/>
      </c>
      <c r="I1904" s="15" t="s">
        <v>649</v>
      </c>
      <c r="J1904" s="15" t="s">
        <v>14</v>
      </c>
      <c r="K1904" s="7" t="str">
        <f>VLOOKUP(J1904,Introduction!$B$6:$C$14,2)</f>
        <v>South West</v>
      </c>
      <c r="L1904" s="17">
        <v>832</v>
      </c>
      <c r="M1904" s="18" t="s">
        <v>496</v>
      </c>
    </row>
    <row r="1905" spans="1:13" ht="19.95" customHeight="1" x14ac:dyDescent="0.25">
      <c r="A1905" s="42">
        <v>45292</v>
      </c>
      <c r="B1905" s="48">
        <f>MONTH(Table13[[#This Row],[YearMonth]])</f>
        <v>1</v>
      </c>
      <c r="C1905" s="15" t="s">
        <v>276</v>
      </c>
      <c r="D1905" s="16" t="s">
        <v>350</v>
      </c>
      <c r="E1905" s="16">
        <f>IF(Table13[[#This Row],[Quartile]]="TopQuartile", 1,
 IF(Table13[[#This Row],[Quartile]]="SecondQuartile", 2,
 IF(Table13[[#This Row],[Quartile]]="ThirdQuartile", 3,
 IF(Table13[[#This Row],[Quartile]]="FourthQuartile", 4, ""))))</f>
        <v>4</v>
      </c>
      <c r="F1905" s="15" t="s">
        <v>524</v>
      </c>
      <c r="G1905" s="15" t="str" cm="1">
        <f t="array" ref="G1905">IFERROR(
  INDEX(Table13[Quartile],
    MATCH(1,
      (Table13[[#This Row],[OrgName]]=Table13[OrgName]) *
      (Table13[[#This Row],[Month Number]]-1=Table13[Month Number]),
    0)
  ),
"")</f>
        <v/>
      </c>
      <c r="H1905" s="15" t="str">
        <f>IF(Table13[[#This Row],[Previous Quartile]]="TopQuartile", 1,
 IF(Table13[[#This Row],[Previous Quartile]]="SecondQuartile", 2,
 IF(Table13[[#This Row],[Previous Quartile]]="ThirdQuartile", 3,
 IF(Table13[[#This Row],[Previous Quartile]]="FourthQuartile", 4, ""))))</f>
        <v/>
      </c>
      <c r="I1905" s="15" t="s">
        <v>649</v>
      </c>
      <c r="J1905" s="15" t="s">
        <v>16</v>
      </c>
      <c r="K1905" s="7" t="str">
        <f>VLOOKUP(J1905,Introduction!$B$6:$C$14,2)</f>
        <v>South East</v>
      </c>
      <c r="L1905" s="17">
        <v>74</v>
      </c>
      <c r="M1905" s="18" t="s">
        <v>496</v>
      </c>
    </row>
    <row r="1906" spans="1:13" ht="19.95" customHeight="1" x14ac:dyDescent="0.25">
      <c r="A1906" s="42">
        <v>45292</v>
      </c>
      <c r="B1906" s="48">
        <f>MONTH(Table13[[#This Row],[YearMonth]])</f>
        <v>1</v>
      </c>
      <c r="C1906" s="15" t="s">
        <v>291</v>
      </c>
      <c r="D1906" s="16" t="s">
        <v>350</v>
      </c>
      <c r="E1906" s="16">
        <f>IF(Table13[[#This Row],[Quartile]]="TopQuartile", 1,
 IF(Table13[[#This Row],[Quartile]]="SecondQuartile", 2,
 IF(Table13[[#This Row],[Quartile]]="ThirdQuartile", 3,
 IF(Table13[[#This Row],[Quartile]]="FourthQuartile", 4, ""))))</f>
        <v>4</v>
      </c>
      <c r="F1906" s="15" t="s">
        <v>526</v>
      </c>
      <c r="G1906" s="15" t="str" cm="1">
        <f t="array" ref="G1906">IFERROR(
  INDEX(Table13[Quartile],
    MATCH(1,
      (Table13[[#This Row],[OrgName]]=Table13[OrgName]) *
      (Table13[[#This Row],[Month Number]]-1=Table13[Month Number]),
    0)
  ),
"")</f>
        <v/>
      </c>
      <c r="H1906" s="15" t="str">
        <f>IF(Table13[[#This Row],[Previous Quartile]]="TopQuartile", 1,
 IF(Table13[[#This Row],[Previous Quartile]]="SecondQuartile", 2,
 IF(Table13[[#This Row],[Previous Quartile]]="ThirdQuartile", 3,
 IF(Table13[[#This Row],[Previous Quartile]]="FourthQuartile", 4, ""))))</f>
        <v/>
      </c>
      <c r="I1906" s="15" t="s">
        <v>649</v>
      </c>
      <c r="J1906" s="15" t="s">
        <v>18</v>
      </c>
      <c r="K1906" s="7" t="str">
        <f>VLOOKUP(J1906,Introduction!$B$6:$C$14,2)</f>
        <v>Midlands</v>
      </c>
      <c r="L1906" s="17">
        <v>445</v>
      </c>
      <c r="M1906" s="18" t="s">
        <v>496</v>
      </c>
    </row>
    <row r="1907" spans="1:13" ht="19.95" customHeight="1" x14ac:dyDescent="0.25">
      <c r="A1907" s="42">
        <v>45292</v>
      </c>
      <c r="B1907" s="48">
        <f>MONTH(Table13[[#This Row],[YearMonth]])</f>
        <v>1</v>
      </c>
      <c r="C1907" s="15" t="s">
        <v>314</v>
      </c>
      <c r="D1907" s="16" t="s">
        <v>350</v>
      </c>
      <c r="E1907" s="16">
        <f>IF(Table13[[#This Row],[Quartile]]="TopQuartile", 1,
 IF(Table13[[#This Row],[Quartile]]="SecondQuartile", 2,
 IF(Table13[[#This Row],[Quartile]]="ThirdQuartile", 3,
 IF(Table13[[#This Row],[Quartile]]="FourthQuartile", 4, ""))))</f>
        <v>4</v>
      </c>
      <c r="F1907" s="15" t="s">
        <v>528</v>
      </c>
      <c r="G1907" s="15" t="str" cm="1">
        <f t="array" ref="G1907">IFERROR(
  INDEX(Table13[Quartile],
    MATCH(1,
      (Table13[[#This Row],[OrgName]]=Table13[OrgName]) *
      (Table13[[#This Row],[Month Number]]-1=Table13[Month Number]),
    0)
  ),
"")</f>
        <v/>
      </c>
      <c r="H1907" s="15" t="str">
        <f>IF(Table13[[#This Row],[Previous Quartile]]="TopQuartile", 1,
 IF(Table13[[#This Row],[Previous Quartile]]="SecondQuartile", 2,
 IF(Table13[[#This Row],[Previous Quartile]]="ThirdQuartile", 3,
 IF(Table13[[#This Row],[Previous Quartile]]="FourthQuartile", 4, ""))))</f>
        <v/>
      </c>
      <c r="I1907" s="15" t="s">
        <v>649</v>
      </c>
      <c r="J1907" s="15" t="s">
        <v>20</v>
      </c>
      <c r="K1907" s="7" t="str">
        <f>VLOOKUP(J1907,Introduction!$B$6:$C$14,2)</f>
        <v>East of England</v>
      </c>
      <c r="L1907" s="17">
        <v>829</v>
      </c>
      <c r="M1907" s="18" t="s">
        <v>496</v>
      </c>
    </row>
    <row r="1908" spans="1:13" ht="19.95" customHeight="1" x14ac:dyDescent="0.25">
      <c r="A1908" s="42">
        <v>45292</v>
      </c>
      <c r="B1908" s="48">
        <f>MONTH(Table13[[#This Row],[YearMonth]])</f>
        <v>1</v>
      </c>
      <c r="C1908" s="15" t="s">
        <v>83</v>
      </c>
      <c r="D1908" s="16" t="s">
        <v>330</v>
      </c>
      <c r="E1908" s="16">
        <f>IF(Table13[[#This Row],[Quartile]]="TopQuartile", 1,
 IF(Table13[[#This Row],[Quartile]]="SecondQuartile", 2,
 IF(Table13[[#This Row],[Quartile]]="ThirdQuartile", 3,
 IF(Table13[[#This Row],[Quartile]]="FourthQuartile", 4, ""))))</f>
        <v>1</v>
      </c>
      <c r="F1908" s="15" t="s">
        <v>542</v>
      </c>
      <c r="G1908" s="15" t="str" cm="1">
        <f t="array" ref="G1908">IFERROR(
  INDEX(Table13[Quartile],
    MATCH(1,
      (Table13[[#This Row],[OrgName]]=Table13[OrgName]) *
      (Table13[[#This Row],[Month Number]]-1=Table13[Month Number]),
    0)
  ),
"")</f>
        <v/>
      </c>
      <c r="H1908" s="15" t="str">
        <f>IF(Table13[[#This Row],[Previous Quartile]]="TopQuartile", 1,
 IF(Table13[[#This Row],[Previous Quartile]]="SecondQuartile", 2,
 IF(Table13[[#This Row],[Previous Quartile]]="ThirdQuartile", 3,
 IF(Table13[[#This Row],[Previous Quartile]]="FourthQuartile", 4, ""))))</f>
        <v/>
      </c>
      <c r="I1908" s="15" t="s">
        <v>649</v>
      </c>
      <c r="J1908" s="15" t="s">
        <v>18</v>
      </c>
      <c r="K1908" s="7" t="str">
        <f>VLOOKUP(J1908,Introduction!$B$6:$C$14,2)</f>
        <v>Midlands</v>
      </c>
      <c r="L1908" s="17">
        <v>116</v>
      </c>
      <c r="M1908" s="18" t="s">
        <v>530</v>
      </c>
    </row>
    <row r="1909" spans="1:13" ht="19.95" customHeight="1" x14ac:dyDescent="0.25">
      <c r="A1909" s="42">
        <v>45292</v>
      </c>
      <c r="B1909" s="48">
        <f>MONTH(Table13[[#This Row],[YearMonth]])</f>
        <v>1</v>
      </c>
      <c r="C1909" s="15" t="s">
        <v>63</v>
      </c>
      <c r="D1909" s="16" t="s">
        <v>330</v>
      </c>
      <c r="E1909" s="16">
        <f>IF(Table13[[#This Row],[Quartile]]="TopQuartile", 1,
 IF(Table13[[#This Row],[Quartile]]="SecondQuartile", 2,
 IF(Table13[[#This Row],[Quartile]]="ThirdQuartile", 3,
 IF(Table13[[#This Row],[Quartile]]="FourthQuartile", 4, ""))))</f>
        <v>1</v>
      </c>
      <c r="F1909" s="15" t="s">
        <v>536</v>
      </c>
      <c r="G1909" s="15" t="str" cm="1">
        <f t="array" ref="G1909">IFERROR(
  INDEX(Table13[Quartile],
    MATCH(1,
      (Table13[[#This Row],[OrgName]]=Table13[OrgName]) *
      (Table13[[#This Row],[Month Number]]-1=Table13[Month Number]),
    0)
  ),
"")</f>
        <v/>
      </c>
      <c r="H1909" s="15" t="str">
        <f>IF(Table13[[#This Row],[Previous Quartile]]="TopQuartile", 1,
 IF(Table13[[#This Row],[Previous Quartile]]="SecondQuartile", 2,
 IF(Table13[[#This Row],[Previous Quartile]]="ThirdQuartile", 3,
 IF(Table13[[#This Row],[Previous Quartile]]="FourthQuartile", 4, ""))))</f>
        <v/>
      </c>
      <c r="I1909" s="15" t="s">
        <v>649</v>
      </c>
      <c r="J1909" s="15" t="s">
        <v>14</v>
      </c>
      <c r="K1909" s="7" t="str">
        <f>VLOOKUP(J1909,Introduction!$B$6:$C$14,2)</f>
        <v>South West</v>
      </c>
      <c r="L1909" s="17">
        <v>983</v>
      </c>
      <c r="M1909" s="18" t="s">
        <v>530</v>
      </c>
    </row>
    <row r="1910" spans="1:13" ht="19.95" customHeight="1" x14ac:dyDescent="0.25">
      <c r="A1910" s="42">
        <v>45292</v>
      </c>
      <c r="B1910" s="48">
        <f>MONTH(Table13[[#This Row],[YearMonth]])</f>
        <v>1</v>
      </c>
      <c r="C1910" s="15" t="s">
        <v>51</v>
      </c>
      <c r="D1910" s="16" t="s">
        <v>330</v>
      </c>
      <c r="E1910" s="16">
        <f>IF(Table13[[#This Row],[Quartile]]="TopQuartile", 1,
 IF(Table13[[#This Row],[Quartile]]="SecondQuartile", 2,
 IF(Table13[[#This Row],[Quartile]]="ThirdQuartile", 3,
 IF(Table13[[#This Row],[Quartile]]="FourthQuartile", 4, ""))))</f>
        <v>1</v>
      </c>
      <c r="F1910" s="15" t="s">
        <v>535</v>
      </c>
      <c r="G1910" s="15" t="str" cm="1">
        <f t="array" ref="G1910">IFERROR(
  INDEX(Table13[Quartile],
    MATCH(1,
      (Table13[[#This Row],[OrgName]]=Table13[OrgName]) *
      (Table13[[#This Row],[Month Number]]-1=Table13[Month Number]),
    0)
  ),
"")</f>
        <v/>
      </c>
      <c r="H1910" s="15" t="str">
        <f>IF(Table13[[#This Row],[Previous Quartile]]="TopQuartile", 1,
 IF(Table13[[#This Row],[Previous Quartile]]="SecondQuartile", 2,
 IF(Table13[[#This Row],[Previous Quartile]]="ThirdQuartile", 3,
 IF(Table13[[#This Row],[Previous Quartile]]="FourthQuartile", 4, ""))))</f>
        <v/>
      </c>
      <c r="I1910" s="15" t="s">
        <v>649</v>
      </c>
      <c r="J1910" s="15" t="s">
        <v>16</v>
      </c>
      <c r="K1910" s="7" t="str">
        <f>VLOOKUP(J1910,Introduction!$B$6:$C$14,2)</f>
        <v>South East</v>
      </c>
      <c r="L1910" s="17">
        <v>482</v>
      </c>
      <c r="M1910" s="18" t="s">
        <v>530</v>
      </c>
    </row>
    <row r="1911" spans="1:13" ht="19.95" customHeight="1" x14ac:dyDescent="0.25">
      <c r="A1911" s="42">
        <v>45292</v>
      </c>
      <c r="B1911" s="48">
        <f>MONTH(Table13[[#This Row],[YearMonth]])</f>
        <v>1</v>
      </c>
      <c r="C1911" s="15" t="s">
        <v>65</v>
      </c>
      <c r="D1911" s="16" t="s">
        <v>330</v>
      </c>
      <c r="E1911" s="16">
        <f>IF(Table13[[#This Row],[Quartile]]="TopQuartile", 1,
 IF(Table13[[#This Row],[Quartile]]="SecondQuartile", 2,
 IF(Table13[[#This Row],[Quartile]]="ThirdQuartile", 3,
 IF(Table13[[#This Row],[Quartile]]="FourthQuartile", 4, ""))))</f>
        <v>1</v>
      </c>
      <c r="F1911" s="15" t="s">
        <v>538</v>
      </c>
      <c r="G1911" s="15" t="str" cm="1">
        <f t="array" ref="G1911">IFERROR(
  INDEX(Table13[Quartile],
    MATCH(1,
      (Table13[[#This Row],[OrgName]]=Table13[OrgName]) *
      (Table13[[#This Row],[Month Number]]-1=Table13[Month Number]),
    0)
  ),
"")</f>
        <v/>
      </c>
      <c r="H1911" s="15" t="str">
        <f>IF(Table13[[#This Row],[Previous Quartile]]="TopQuartile", 1,
 IF(Table13[[#This Row],[Previous Quartile]]="SecondQuartile", 2,
 IF(Table13[[#This Row],[Previous Quartile]]="ThirdQuartile", 3,
 IF(Table13[[#This Row],[Previous Quartile]]="FourthQuartile", 4, ""))))</f>
        <v/>
      </c>
      <c r="I1911" s="15" t="s">
        <v>649</v>
      </c>
      <c r="J1911" s="15" t="s">
        <v>18</v>
      </c>
      <c r="K1911" s="7" t="str">
        <f>VLOOKUP(J1911,Introduction!$B$6:$C$14,2)</f>
        <v>Midlands</v>
      </c>
      <c r="L1911" s="17">
        <v>86</v>
      </c>
      <c r="M1911" s="18" t="s">
        <v>530</v>
      </c>
    </row>
    <row r="1912" spans="1:13" ht="19.95" customHeight="1" x14ac:dyDescent="0.25">
      <c r="A1912" s="42">
        <v>45292</v>
      </c>
      <c r="B1912" s="48">
        <f>MONTH(Table13[[#This Row],[YearMonth]])</f>
        <v>1</v>
      </c>
      <c r="C1912" s="15" t="s">
        <v>72</v>
      </c>
      <c r="D1912" s="16" t="s">
        <v>330</v>
      </c>
      <c r="E1912" s="16">
        <f>IF(Table13[[#This Row],[Quartile]]="TopQuartile", 1,
 IF(Table13[[#This Row],[Quartile]]="SecondQuartile", 2,
 IF(Table13[[#This Row],[Quartile]]="ThirdQuartile", 3,
 IF(Table13[[#This Row],[Quartile]]="FourthQuartile", 4, ""))))</f>
        <v>1</v>
      </c>
      <c r="F1912" s="15" t="s">
        <v>539</v>
      </c>
      <c r="G1912" s="15" t="str" cm="1">
        <f t="array" ref="G1912">IFERROR(
  INDEX(Table13[Quartile],
    MATCH(1,
      (Table13[[#This Row],[OrgName]]=Table13[OrgName]) *
      (Table13[[#This Row],[Month Number]]-1=Table13[Month Number]),
    0)
  ),
"")</f>
        <v/>
      </c>
      <c r="H1912" s="15" t="str">
        <f>IF(Table13[[#This Row],[Previous Quartile]]="TopQuartile", 1,
 IF(Table13[[#This Row],[Previous Quartile]]="SecondQuartile", 2,
 IF(Table13[[#This Row],[Previous Quartile]]="ThirdQuartile", 3,
 IF(Table13[[#This Row],[Previous Quartile]]="FourthQuartile", 4, ""))))</f>
        <v/>
      </c>
      <c r="I1912" s="15" t="s">
        <v>649</v>
      </c>
      <c r="J1912" s="15" t="s">
        <v>18</v>
      </c>
      <c r="K1912" s="7" t="str">
        <f>VLOOKUP(J1912,Introduction!$B$6:$C$14,2)</f>
        <v>Midlands</v>
      </c>
      <c r="L1912" s="17">
        <v>66</v>
      </c>
      <c r="M1912" s="18" t="s">
        <v>530</v>
      </c>
    </row>
    <row r="1913" spans="1:13" ht="19.95" customHeight="1" x14ac:dyDescent="0.25">
      <c r="A1913" s="42">
        <v>45292</v>
      </c>
      <c r="B1913" s="48">
        <f>MONTH(Table13[[#This Row],[YearMonth]])</f>
        <v>1</v>
      </c>
      <c r="C1913" s="15" t="s">
        <v>42</v>
      </c>
      <c r="D1913" s="16" t="s">
        <v>330</v>
      </c>
      <c r="E1913" s="16">
        <f>IF(Table13[[#This Row],[Quartile]]="TopQuartile", 1,
 IF(Table13[[#This Row],[Quartile]]="SecondQuartile", 2,
 IF(Table13[[#This Row],[Quartile]]="ThirdQuartile", 3,
 IF(Table13[[#This Row],[Quartile]]="FourthQuartile", 4, ""))))</f>
        <v>1</v>
      </c>
      <c r="F1913" s="15" t="s">
        <v>533</v>
      </c>
      <c r="G1913" s="15" t="str" cm="1">
        <f t="array" ref="G1913">IFERROR(
  INDEX(Table13[Quartile],
    MATCH(1,
      (Table13[[#This Row],[OrgName]]=Table13[OrgName]) *
      (Table13[[#This Row],[Month Number]]-1=Table13[Month Number]),
    0)
  ),
"")</f>
        <v/>
      </c>
      <c r="H1913" s="15" t="str">
        <f>IF(Table13[[#This Row],[Previous Quartile]]="TopQuartile", 1,
 IF(Table13[[#This Row],[Previous Quartile]]="SecondQuartile", 2,
 IF(Table13[[#This Row],[Previous Quartile]]="ThirdQuartile", 3,
 IF(Table13[[#This Row],[Previous Quartile]]="FourthQuartile", 4, ""))))</f>
        <v/>
      </c>
      <c r="I1913" s="15" t="s">
        <v>649</v>
      </c>
      <c r="J1913" s="15" t="s">
        <v>18</v>
      </c>
      <c r="K1913" s="7" t="str">
        <f>VLOOKUP(J1913,Introduction!$B$6:$C$14,2)</f>
        <v>Midlands</v>
      </c>
      <c r="L1913" s="17">
        <v>106</v>
      </c>
      <c r="M1913" s="18" t="s">
        <v>530</v>
      </c>
    </row>
    <row r="1914" spans="1:13" ht="19.95" customHeight="1" x14ac:dyDescent="0.25">
      <c r="A1914" s="42">
        <v>45292</v>
      </c>
      <c r="B1914" s="48">
        <f>MONTH(Table13[[#This Row],[YearMonth]])</f>
        <v>1</v>
      </c>
      <c r="C1914" s="15" t="s">
        <v>28</v>
      </c>
      <c r="D1914" s="16" t="s">
        <v>330</v>
      </c>
      <c r="E1914" s="16">
        <f>IF(Table13[[#This Row],[Quartile]]="TopQuartile", 1,
 IF(Table13[[#This Row],[Quartile]]="SecondQuartile", 2,
 IF(Table13[[#This Row],[Quartile]]="ThirdQuartile", 3,
 IF(Table13[[#This Row],[Quartile]]="FourthQuartile", 4, ""))))</f>
        <v>1</v>
      </c>
      <c r="F1914" s="15" t="s">
        <v>529</v>
      </c>
      <c r="G1914" s="15" t="str" cm="1">
        <f t="array" ref="G1914">IFERROR(
  INDEX(Table13[Quartile],
    MATCH(1,
      (Table13[[#This Row],[OrgName]]=Table13[OrgName]) *
      (Table13[[#This Row],[Month Number]]-1=Table13[Month Number]),
    0)
  ),
"")</f>
        <v/>
      </c>
      <c r="H1914" s="15" t="str">
        <f>IF(Table13[[#This Row],[Previous Quartile]]="TopQuartile", 1,
 IF(Table13[[#This Row],[Previous Quartile]]="SecondQuartile", 2,
 IF(Table13[[#This Row],[Previous Quartile]]="ThirdQuartile", 3,
 IF(Table13[[#This Row],[Previous Quartile]]="FourthQuartile", 4, ""))))</f>
        <v/>
      </c>
      <c r="I1914" s="15" t="s">
        <v>649</v>
      </c>
      <c r="J1914" s="15" t="s">
        <v>16</v>
      </c>
      <c r="K1914" s="7" t="str">
        <f>VLOOKUP(J1914,Introduction!$B$6:$C$14,2)</f>
        <v>South East</v>
      </c>
      <c r="L1914" s="17">
        <v>146</v>
      </c>
      <c r="M1914" s="18" t="s">
        <v>530</v>
      </c>
    </row>
    <row r="1915" spans="1:13" ht="19.95" customHeight="1" x14ac:dyDescent="0.25">
      <c r="A1915" s="42">
        <v>45292</v>
      </c>
      <c r="B1915" s="48">
        <f>MONTH(Table13[[#This Row],[YearMonth]])</f>
        <v>1</v>
      </c>
      <c r="C1915" s="15" t="s">
        <v>110</v>
      </c>
      <c r="D1915" s="16" t="s">
        <v>330</v>
      </c>
      <c r="E1915" s="16">
        <f>IF(Table13[[#This Row],[Quartile]]="TopQuartile", 1,
 IF(Table13[[#This Row],[Quartile]]="SecondQuartile", 2,
 IF(Table13[[#This Row],[Quartile]]="ThirdQuartile", 3,
 IF(Table13[[#This Row],[Quartile]]="FourthQuartile", 4, ""))))</f>
        <v>1</v>
      </c>
      <c r="F1915" s="15" t="s">
        <v>545</v>
      </c>
      <c r="G1915" s="15" t="str" cm="1">
        <f t="array" ref="G1915">IFERROR(
  INDEX(Table13[Quartile],
    MATCH(1,
      (Table13[[#This Row],[OrgName]]=Table13[OrgName]) *
      (Table13[[#This Row],[Month Number]]-1=Table13[Month Number]),
    0)
  ),
"")</f>
        <v/>
      </c>
      <c r="H1915" s="15" t="str">
        <f>IF(Table13[[#This Row],[Previous Quartile]]="TopQuartile", 1,
 IF(Table13[[#This Row],[Previous Quartile]]="SecondQuartile", 2,
 IF(Table13[[#This Row],[Previous Quartile]]="ThirdQuartile", 3,
 IF(Table13[[#This Row],[Previous Quartile]]="FourthQuartile", 4, ""))))</f>
        <v/>
      </c>
      <c r="I1915" s="15" t="s">
        <v>649</v>
      </c>
      <c r="J1915" s="15" t="s">
        <v>16</v>
      </c>
      <c r="K1915" s="7" t="str">
        <f>VLOOKUP(J1915,Introduction!$B$6:$C$14,2)</f>
        <v>South East</v>
      </c>
      <c r="L1915" s="17">
        <v>104</v>
      </c>
      <c r="M1915" s="18" t="s">
        <v>530</v>
      </c>
    </row>
    <row r="1916" spans="1:13" ht="19.95" customHeight="1" x14ac:dyDescent="0.25">
      <c r="A1916" s="42">
        <v>45292</v>
      </c>
      <c r="B1916" s="48">
        <f>MONTH(Table13[[#This Row],[YearMonth]])</f>
        <v>1</v>
      </c>
      <c r="C1916" s="15" t="s">
        <v>76</v>
      </c>
      <c r="D1916" s="16" t="s">
        <v>330</v>
      </c>
      <c r="E1916" s="16">
        <f>IF(Table13[[#This Row],[Quartile]]="TopQuartile", 1,
 IF(Table13[[#This Row],[Quartile]]="SecondQuartile", 2,
 IF(Table13[[#This Row],[Quartile]]="ThirdQuartile", 3,
 IF(Table13[[#This Row],[Quartile]]="FourthQuartile", 4, ""))))</f>
        <v>1</v>
      </c>
      <c r="F1916" s="15" t="s">
        <v>541</v>
      </c>
      <c r="G1916" s="15" t="str" cm="1">
        <f t="array" ref="G1916">IFERROR(
  INDEX(Table13[Quartile],
    MATCH(1,
      (Table13[[#This Row],[OrgName]]=Table13[OrgName]) *
      (Table13[[#This Row],[Month Number]]-1=Table13[Month Number]),
    0)
  ),
"")</f>
        <v/>
      </c>
      <c r="H1916" s="15" t="str">
        <f>IF(Table13[[#This Row],[Previous Quartile]]="TopQuartile", 1,
 IF(Table13[[#This Row],[Previous Quartile]]="SecondQuartile", 2,
 IF(Table13[[#This Row],[Previous Quartile]]="ThirdQuartile", 3,
 IF(Table13[[#This Row],[Previous Quartile]]="FourthQuartile", 4, ""))))</f>
        <v/>
      </c>
      <c r="I1916" s="15" t="s">
        <v>649</v>
      </c>
      <c r="J1916" s="15" t="s">
        <v>14</v>
      </c>
      <c r="K1916" s="7" t="str">
        <f>VLOOKUP(J1916,Introduction!$B$6:$C$14,2)</f>
        <v>South West</v>
      </c>
      <c r="L1916" s="17">
        <v>144</v>
      </c>
      <c r="M1916" s="18" t="s">
        <v>530</v>
      </c>
    </row>
    <row r="1917" spans="1:13" ht="19.95" customHeight="1" x14ac:dyDescent="0.25">
      <c r="A1917" s="42">
        <v>45292</v>
      </c>
      <c r="B1917" s="48">
        <f>MONTH(Table13[[#This Row],[YearMonth]])</f>
        <v>1</v>
      </c>
      <c r="C1917" s="15" t="s">
        <v>30</v>
      </c>
      <c r="D1917" s="16" t="s">
        <v>330</v>
      </c>
      <c r="E1917" s="16">
        <f>IF(Table13[[#This Row],[Quartile]]="TopQuartile", 1,
 IF(Table13[[#This Row],[Quartile]]="SecondQuartile", 2,
 IF(Table13[[#This Row],[Quartile]]="ThirdQuartile", 3,
 IF(Table13[[#This Row],[Quartile]]="FourthQuartile", 4, ""))))</f>
        <v>1</v>
      </c>
      <c r="F1917" s="15" t="s">
        <v>532</v>
      </c>
      <c r="G1917" s="15" t="str" cm="1">
        <f t="array" ref="G1917">IFERROR(
  INDEX(Table13[Quartile],
    MATCH(1,
      (Table13[[#This Row],[OrgName]]=Table13[OrgName]) *
      (Table13[[#This Row],[Month Number]]-1=Table13[Month Number]),
    0)
  ),
"")</f>
        <v/>
      </c>
      <c r="H1917" s="15" t="str">
        <f>IF(Table13[[#This Row],[Previous Quartile]]="TopQuartile", 1,
 IF(Table13[[#This Row],[Previous Quartile]]="SecondQuartile", 2,
 IF(Table13[[#This Row],[Previous Quartile]]="ThirdQuartile", 3,
 IF(Table13[[#This Row],[Previous Quartile]]="FourthQuartile", 4, ""))))</f>
        <v/>
      </c>
      <c r="I1917" s="15" t="s">
        <v>649</v>
      </c>
      <c r="J1917" s="15" t="s">
        <v>14</v>
      </c>
      <c r="K1917" s="7" t="str">
        <f>VLOOKUP(J1917,Introduction!$B$6:$C$14,2)</f>
        <v>South West</v>
      </c>
      <c r="L1917" s="17">
        <v>461</v>
      </c>
      <c r="M1917" s="18" t="s">
        <v>530</v>
      </c>
    </row>
    <row r="1918" spans="1:13" ht="19.95" customHeight="1" x14ac:dyDescent="0.25">
      <c r="A1918" s="42">
        <v>45292</v>
      </c>
      <c r="B1918" s="48">
        <f>MONTH(Table13[[#This Row],[YearMonth]])</f>
        <v>1</v>
      </c>
      <c r="C1918" s="15" t="s">
        <v>159</v>
      </c>
      <c r="D1918" s="16" t="s">
        <v>330</v>
      </c>
      <c r="E1918" s="16">
        <f>IF(Table13[[#This Row],[Quartile]]="TopQuartile", 1,
 IF(Table13[[#This Row],[Quartile]]="SecondQuartile", 2,
 IF(Table13[[#This Row],[Quartile]]="ThirdQuartile", 3,
 IF(Table13[[#This Row],[Quartile]]="FourthQuartile", 4, ""))))</f>
        <v>1</v>
      </c>
      <c r="F1918" s="15" t="s">
        <v>552</v>
      </c>
      <c r="G1918" s="15" t="str" cm="1">
        <f t="array" ref="G1918">IFERROR(
  INDEX(Table13[Quartile],
    MATCH(1,
      (Table13[[#This Row],[OrgName]]=Table13[OrgName]) *
      (Table13[[#This Row],[Month Number]]-1=Table13[Month Number]),
    0)
  ),
"")</f>
        <v/>
      </c>
      <c r="H1918" s="15" t="str">
        <f>IF(Table13[[#This Row],[Previous Quartile]]="TopQuartile", 1,
 IF(Table13[[#This Row],[Previous Quartile]]="SecondQuartile", 2,
 IF(Table13[[#This Row],[Previous Quartile]]="ThirdQuartile", 3,
 IF(Table13[[#This Row],[Previous Quartile]]="FourthQuartile", 4, ""))))</f>
        <v/>
      </c>
      <c r="I1918" s="15" t="s">
        <v>649</v>
      </c>
      <c r="J1918" s="15" t="s">
        <v>20</v>
      </c>
      <c r="K1918" s="7" t="str">
        <f>VLOOKUP(J1918,Introduction!$B$6:$C$14,2)</f>
        <v>East of England</v>
      </c>
      <c r="L1918" s="17">
        <v>137</v>
      </c>
      <c r="M1918" s="18" t="s">
        <v>530</v>
      </c>
    </row>
    <row r="1919" spans="1:13" ht="19.95" customHeight="1" x14ac:dyDescent="0.25">
      <c r="A1919" s="42">
        <v>45292</v>
      </c>
      <c r="B1919" s="48">
        <f>MONTH(Table13[[#This Row],[YearMonth]])</f>
        <v>1</v>
      </c>
      <c r="C1919" s="15" t="s">
        <v>29</v>
      </c>
      <c r="D1919" s="16" t="s">
        <v>330</v>
      </c>
      <c r="E1919" s="16">
        <f>IF(Table13[[#This Row],[Quartile]]="TopQuartile", 1,
 IF(Table13[[#This Row],[Quartile]]="SecondQuartile", 2,
 IF(Table13[[#This Row],[Quartile]]="ThirdQuartile", 3,
 IF(Table13[[#This Row],[Quartile]]="FourthQuartile", 4, ""))))</f>
        <v>1</v>
      </c>
      <c r="F1919" s="15" t="s">
        <v>531</v>
      </c>
      <c r="G1919" s="15" t="str" cm="1">
        <f t="array" ref="G1919">IFERROR(
  INDEX(Table13[Quartile],
    MATCH(1,
      (Table13[[#This Row],[OrgName]]=Table13[OrgName]) *
      (Table13[[#This Row],[Month Number]]-1=Table13[Month Number]),
    0)
  ),
"")</f>
        <v/>
      </c>
      <c r="H1919" s="15" t="str">
        <f>IF(Table13[[#This Row],[Previous Quartile]]="TopQuartile", 1,
 IF(Table13[[#This Row],[Previous Quartile]]="SecondQuartile", 2,
 IF(Table13[[#This Row],[Previous Quartile]]="ThirdQuartile", 3,
 IF(Table13[[#This Row],[Previous Quartile]]="FourthQuartile", 4, ""))))</f>
        <v/>
      </c>
      <c r="I1919" s="15" t="s">
        <v>649</v>
      </c>
      <c r="J1919" s="15" t="s">
        <v>14</v>
      </c>
      <c r="K1919" s="7" t="str">
        <f>VLOOKUP(J1919,Introduction!$B$6:$C$14,2)</f>
        <v>South West</v>
      </c>
      <c r="L1919" s="17">
        <v>843</v>
      </c>
      <c r="M1919" s="18" t="s">
        <v>530</v>
      </c>
    </row>
    <row r="1920" spans="1:13" ht="19.95" customHeight="1" x14ac:dyDescent="0.25">
      <c r="A1920" s="42">
        <v>45292</v>
      </c>
      <c r="B1920" s="48">
        <f>MONTH(Table13[[#This Row],[YearMonth]])</f>
        <v>1</v>
      </c>
      <c r="C1920" s="15" t="s">
        <v>272</v>
      </c>
      <c r="D1920" s="16" t="s">
        <v>330</v>
      </c>
      <c r="E1920" s="16">
        <f>IF(Table13[[#This Row],[Quartile]]="TopQuartile", 1,
 IF(Table13[[#This Row],[Quartile]]="SecondQuartile", 2,
 IF(Table13[[#This Row],[Quartile]]="ThirdQuartile", 3,
 IF(Table13[[#This Row],[Quartile]]="FourthQuartile", 4, ""))))</f>
        <v>1</v>
      </c>
      <c r="F1920" s="15" t="s">
        <v>564</v>
      </c>
      <c r="G1920" s="15" t="str" cm="1">
        <f t="array" ref="G1920">IFERROR(
  INDEX(Table13[Quartile],
    MATCH(1,
      (Table13[[#This Row],[OrgName]]=Table13[OrgName]) *
      (Table13[[#This Row],[Month Number]]-1=Table13[Month Number]),
    0)
  ),
"")</f>
        <v/>
      </c>
      <c r="H1920" s="15" t="str">
        <f>IF(Table13[[#This Row],[Previous Quartile]]="TopQuartile", 1,
 IF(Table13[[#This Row],[Previous Quartile]]="SecondQuartile", 2,
 IF(Table13[[#This Row],[Previous Quartile]]="ThirdQuartile", 3,
 IF(Table13[[#This Row],[Previous Quartile]]="FourthQuartile", 4, ""))))</f>
        <v/>
      </c>
      <c r="I1920" s="15" t="s">
        <v>649</v>
      </c>
      <c r="J1920" s="15" t="s">
        <v>20</v>
      </c>
      <c r="K1920" s="7" t="str">
        <f>VLOOKUP(J1920,Introduction!$B$6:$C$14,2)</f>
        <v>East of England</v>
      </c>
      <c r="L1920" s="17">
        <v>708</v>
      </c>
      <c r="M1920" s="18" t="s">
        <v>530</v>
      </c>
    </row>
    <row r="1921" spans="1:13" ht="19.95" customHeight="1" x14ac:dyDescent="0.25">
      <c r="A1921" s="42">
        <v>45292</v>
      </c>
      <c r="B1921" s="48">
        <f>MONTH(Table13[[#This Row],[YearMonth]])</f>
        <v>1</v>
      </c>
      <c r="C1921" s="15" t="s">
        <v>48</v>
      </c>
      <c r="D1921" s="16" t="s">
        <v>338</v>
      </c>
      <c r="E1921" s="16">
        <f>IF(Table13[[#This Row],[Quartile]]="TopQuartile", 1,
 IF(Table13[[#This Row],[Quartile]]="SecondQuartile", 2,
 IF(Table13[[#This Row],[Quartile]]="ThirdQuartile", 3,
 IF(Table13[[#This Row],[Quartile]]="FourthQuartile", 4, ""))))</f>
        <v>2</v>
      </c>
      <c r="F1921" s="15" t="s">
        <v>534</v>
      </c>
      <c r="G1921" s="15" t="str" cm="1">
        <f t="array" ref="G1921">IFERROR(
  INDEX(Table13[Quartile],
    MATCH(1,
      (Table13[[#This Row],[OrgName]]=Table13[OrgName]) *
      (Table13[[#This Row],[Month Number]]-1=Table13[Month Number]),
    0)
  ),
"")</f>
        <v/>
      </c>
      <c r="H1921" s="15" t="str">
        <f>IF(Table13[[#This Row],[Previous Quartile]]="TopQuartile", 1,
 IF(Table13[[#This Row],[Previous Quartile]]="SecondQuartile", 2,
 IF(Table13[[#This Row],[Previous Quartile]]="ThirdQuartile", 3,
 IF(Table13[[#This Row],[Previous Quartile]]="FourthQuartile", 4, ""))))</f>
        <v/>
      </c>
      <c r="I1921" s="15" t="s">
        <v>649</v>
      </c>
      <c r="J1921" s="15" t="s">
        <v>22</v>
      </c>
      <c r="K1921" s="7" t="str">
        <f>VLOOKUP(J1921,Introduction!$B$6:$C$14,2)</f>
        <v>North West</v>
      </c>
      <c r="L1921" s="17">
        <v>493</v>
      </c>
      <c r="M1921" s="18" t="s">
        <v>530</v>
      </c>
    </row>
    <row r="1922" spans="1:13" ht="19.95" customHeight="1" x14ac:dyDescent="0.25">
      <c r="A1922" s="42">
        <v>45292</v>
      </c>
      <c r="B1922" s="48">
        <f>MONTH(Table13[[#This Row],[YearMonth]])</f>
        <v>1</v>
      </c>
      <c r="C1922" s="15" t="s">
        <v>64</v>
      </c>
      <c r="D1922" s="16" t="s">
        <v>338</v>
      </c>
      <c r="E1922" s="16">
        <f>IF(Table13[[#This Row],[Quartile]]="TopQuartile", 1,
 IF(Table13[[#This Row],[Quartile]]="SecondQuartile", 2,
 IF(Table13[[#This Row],[Quartile]]="ThirdQuartile", 3,
 IF(Table13[[#This Row],[Quartile]]="FourthQuartile", 4, ""))))</f>
        <v>2</v>
      </c>
      <c r="F1922" s="15" t="s">
        <v>537</v>
      </c>
      <c r="G1922" s="15" t="str" cm="1">
        <f t="array" ref="G1922">IFERROR(
  INDEX(Table13[Quartile],
    MATCH(1,
      (Table13[[#This Row],[OrgName]]=Table13[OrgName]) *
      (Table13[[#This Row],[Month Number]]-1=Table13[Month Number]),
    0)
  ),
"")</f>
        <v/>
      </c>
      <c r="H1922" s="15" t="str">
        <f>IF(Table13[[#This Row],[Previous Quartile]]="TopQuartile", 1,
 IF(Table13[[#This Row],[Previous Quartile]]="SecondQuartile", 2,
 IF(Table13[[#This Row],[Previous Quartile]]="ThirdQuartile", 3,
 IF(Table13[[#This Row],[Previous Quartile]]="FourthQuartile", 4, ""))))</f>
        <v/>
      </c>
      <c r="I1922" s="15" t="s">
        <v>649</v>
      </c>
      <c r="J1922" s="15" t="s">
        <v>20</v>
      </c>
      <c r="K1922" s="7" t="str">
        <f>VLOOKUP(J1922,Introduction!$B$6:$C$14,2)</f>
        <v>East of England</v>
      </c>
      <c r="L1922" s="17">
        <v>465</v>
      </c>
      <c r="M1922" s="18" t="s">
        <v>530</v>
      </c>
    </row>
    <row r="1923" spans="1:13" ht="19.95" customHeight="1" x14ac:dyDescent="0.25">
      <c r="A1923" s="42">
        <v>45292</v>
      </c>
      <c r="B1923" s="48">
        <f>MONTH(Table13[[#This Row],[YearMonth]])</f>
        <v>1</v>
      </c>
      <c r="C1923" s="15" t="s">
        <v>124</v>
      </c>
      <c r="D1923" s="16" t="s">
        <v>338</v>
      </c>
      <c r="E1923" s="16">
        <f>IF(Table13[[#This Row],[Quartile]]="TopQuartile", 1,
 IF(Table13[[#This Row],[Quartile]]="SecondQuartile", 2,
 IF(Table13[[#This Row],[Quartile]]="ThirdQuartile", 3,
 IF(Table13[[#This Row],[Quartile]]="FourthQuartile", 4, ""))))</f>
        <v>2</v>
      </c>
      <c r="F1923" s="15" t="s">
        <v>547</v>
      </c>
      <c r="G1923" s="15" t="str" cm="1">
        <f t="array" ref="G1923">IFERROR(
  INDEX(Table13[Quartile],
    MATCH(1,
      (Table13[[#This Row],[OrgName]]=Table13[OrgName]) *
      (Table13[[#This Row],[Month Number]]-1=Table13[Month Number]),
    0)
  ),
"")</f>
        <v/>
      </c>
      <c r="H1923" s="15" t="str">
        <f>IF(Table13[[#This Row],[Previous Quartile]]="TopQuartile", 1,
 IF(Table13[[#This Row],[Previous Quartile]]="SecondQuartile", 2,
 IF(Table13[[#This Row],[Previous Quartile]]="ThirdQuartile", 3,
 IF(Table13[[#This Row],[Previous Quartile]]="FourthQuartile", 4, ""))))</f>
        <v/>
      </c>
      <c r="I1923" s="15" t="s">
        <v>649</v>
      </c>
      <c r="J1923" s="15" t="s">
        <v>18</v>
      </c>
      <c r="K1923" s="7" t="str">
        <f>VLOOKUP(J1923,Introduction!$B$6:$C$14,2)</f>
        <v>Midlands</v>
      </c>
      <c r="L1923" s="17">
        <v>994</v>
      </c>
      <c r="M1923" s="18" t="s">
        <v>530</v>
      </c>
    </row>
    <row r="1924" spans="1:13" ht="19.95" customHeight="1" x14ac:dyDescent="0.25">
      <c r="A1924" s="42">
        <v>45292</v>
      </c>
      <c r="B1924" s="48">
        <f>MONTH(Table13[[#This Row],[YearMonth]])</f>
        <v>1</v>
      </c>
      <c r="C1924" s="15" t="s">
        <v>131</v>
      </c>
      <c r="D1924" s="16" t="s">
        <v>338</v>
      </c>
      <c r="E1924" s="16">
        <f>IF(Table13[[#This Row],[Quartile]]="TopQuartile", 1,
 IF(Table13[[#This Row],[Quartile]]="SecondQuartile", 2,
 IF(Table13[[#This Row],[Quartile]]="ThirdQuartile", 3,
 IF(Table13[[#This Row],[Quartile]]="FourthQuartile", 4, ""))))</f>
        <v>2</v>
      </c>
      <c r="F1924" s="15" t="s">
        <v>549</v>
      </c>
      <c r="G1924" s="15" t="str" cm="1">
        <f t="array" ref="G1924">IFERROR(
  INDEX(Table13[Quartile],
    MATCH(1,
      (Table13[[#This Row],[OrgName]]=Table13[OrgName]) *
      (Table13[[#This Row],[Month Number]]-1=Table13[Month Number]),
    0)
  ),
"")</f>
        <v/>
      </c>
      <c r="H1924" s="15" t="str">
        <f>IF(Table13[[#This Row],[Previous Quartile]]="TopQuartile", 1,
 IF(Table13[[#This Row],[Previous Quartile]]="SecondQuartile", 2,
 IF(Table13[[#This Row],[Previous Quartile]]="ThirdQuartile", 3,
 IF(Table13[[#This Row],[Previous Quartile]]="FourthQuartile", 4, ""))))</f>
        <v/>
      </c>
      <c r="I1924" s="15" t="s">
        <v>649</v>
      </c>
      <c r="J1924" s="15" t="s">
        <v>18</v>
      </c>
      <c r="K1924" s="7" t="str">
        <f>VLOOKUP(J1924,Introduction!$B$6:$C$14,2)</f>
        <v>Midlands</v>
      </c>
      <c r="L1924" s="17">
        <v>105</v>
      </c>
      <c r="M1924" s="18" t="s">
        <v>530</v>
      </c>
    </row>
    <row r="1925" spans="1:13" ht="19.95" customHeight="1" x14ac:dyDescent="0.25">
      <c r="A1925" s="42">
        <v>45292</v>
      </c>
      <c r="B1925" s="48">
        <f>MONTH(Table13[[#This Row],[YearMonth]])</f>
        <v>1</v>
      </c>
      <c r="C1925" s="15" t="s">
        <v>126</v>
      </c>
      <c r="D1925" s="16" t="s">
        <v>338</v>
      </c>
      <c r="E1925" s="16">
        <f>IF(Table13[[#This Row],[Quartile]]="TopQuartile", 1,
 IF(Table13[[#This Row],[Quartile]]="SecondQuartile", 2,
 IF(Table13[[#This Row],[Quartile]]="ThirdQuartile", 3,
 IF(Table13[[#This Row],[Quartile]]="FourthQuartile", 4, ""))))</f>
        <v>2</v>
      </c>
      <c r="F1925" s="15" t="s">
        <v>548</v>
      </c>
      <c r="G1925" s="15" t="str" cm="1">
        <f t="array" ref="G1925">IFERROR(
  INDEX(Table13[Quartile],
    MATCH(1,
      (Table13[[#This Row],[OrgName]]=Table13[OrgName]) *
      (Table13[[#This Row],[Month Number]]-1=Table13[Month Number]),
    0)
  ),
"")</f>
        <v/>
      </c>
      <c r="H1925" s="15" t="str">
        <f>IF(Table13[[#This Row],[Previous Quartile]]="TopQuartile", 1,
 IF(Table13[[#This Row],[Previous Quartile]]="SecondQuartile", 2,
 IF(Table13[[#This Row],[Previous Quartile]]="ThirdQuartile", 3,
 IF(Table13[[#This Row],[Previous Quartile]]="FourthQuartile", 4, ""))))</f>
        <v/>
      </c>
      <c r="I1925" s="15" t="s">
        <v>649</v>
      </c>
      <c r="J1925" s="15" t="s">
        <v>12</v>
      </c>
      <c r="K1925" s="7" t="str">
        <f>VLOOKUP(J1925,Introduction!$B$6:$C$14,2)</f>
        <v>London</v>
      </c>
      <c r="L1925" s="17">
        <v>487</v>
      </c>
      <c r="M1925" s="18" t="s">
        <v>530</v>
      </c>
    </row>
    <row r="1926" spans="1:13" ht="19.95" customHeight="1" x14ac:dyDescent="0.25">
      <c r="A1926" s="42">
        <v>45292</v>
      </c>
      <c r="B1926" s="48">
        <f>MONTH(Table13[[#This Row],[YearMonth]])</f>
        <v>1</v>
      </c>
      <c r="C1926" s="15" t="s">
        <v>162</v>
      </c>
      <c r="D1926" s="16" t="s">
        <v>338</v>
      </c>
      <c r="E1926" s="16">
        <f>IF(Table13[[#This Row],[Quartile]]="TopQuartile", 1,
 IF(Table13[[#This Row],[Quartile]]="SecondQuartile", 2,
 IF(Table13[[#This Row],[Quartile]]="ThirdQuartile", 3,
 IF(Table13[[#This Row],[Quartile]]="FourthQuartile", 4, ""))))</f>
        <v>2</v>
      </c>
      <c r="F1926" s="15" t="s">
        <v>553</v>
      </c>
      <c r="G1926" s="15" t="str" cm="1">
        <f t="array" ref="G1926">IFERROR(
  INDEX(Table13[Quartile],
    MATCH(1,
      (Table13[[#This Row],[OrgName]]=Table13[OrgName]) *
      (Table13[[#This Row],[Month Number]]-1=Table13[Month Number]),
    0)
  ),
"")</f>
        <v/>
      </c>
      <c r="H1926" s="15" t="str">
        <f>IF(Table13[[#This Row],[Previous Quartile]]="TopQuartile", 1,
 IF(Table13[[#This Row],[Previous Quartile]]="SecondQuartile", 2,
 IF(Table13[[#This Row],[Previous Quartile]]="ThirdQuartile", 3,
 IF(Table13[[#This Row],[Previous Quartile]]="FourthQuartile", 4, ""))))</f>
        <v/>
      </c>
      <c r="I1926" s="15" t="s">
        <v>649</v>
      </c>
      <c r="J1926" s="15" t="s">
        <v>14</v>
      </c>
      <c r="K1926" s="7" t="str">
        <f>VLOOKUP(J1926,Introduction!$B$6:$C$14,2)</f>
        <v>South West</v>
      </c>
      <c r="L1926" s="17">
        <v>471</v>
      </c>
      <c r="M1926" s="18" t="s">
        <v>530</v>
      </c>
    </row>
    <row r="1927" spans="1:13" ht="19.95" customHeight="1" x14ac:dyDescent="0.25">
      <c r="A1927" s="42">
        <v>45292</v>
      </c>
      <c r="B1927" s="48">
        <f>MONTH(Table13[[#This Row],[YearMonth]])</f>
        <v>1</v>
      </c>
      <c r="C1927" s="15" t="s">
        <v>139</v>
      </c>
      <c r="D1927" s="16" t="s">
        <v>338</v>
      </c>
      <c r="E1927" s="16">
        <f>IF(Table13[[#This Row],[Quartile]]="TopQuartile", 1,
 IF(Table13[[#This Row],[Quartile]]="SecondQuartile", 2,
 IF(Table13[[#This Row],[Quartile]]="ThirdQuartile", 3,
 IF(Table13[[#This Row],[Quartile]]="FourthQuartile", 4, ""))))</f>
        <v>2</v>
      </c>
      <c r="F1927" s="15" t="s">
        <v>550</v>
      </c>
      <c r="G1927" s="15" t="str" cm="1">
        <f t="array" ref="G1927">IFERROR(
  INDEX(Table13[Quartile],
    MATCH(1,
      (Table13[[#This Row],[OrgName]]=Table13[OrgName]) *
      (Table13[[#This Row],[Month Number]]-1=Table13[Month Number]),
    0)
  ),
"")</f>
        <v/>
      </c>
      <c r="H1927" s="15" t="str">
        <f>IF(Table13[[#This Row],[Previous Quartile]]="TopQuartile", 1,
 IF(Table13[[#This Row],[Previous Quartile]]="SecondQuartile", 2,
 IF(Table13[[#This Row],[Previous Quartile]]="ThirdQuartile", 3,
 IF(Table13[[#This Row],[Previous Quartile]]="FourthQuartile", 4, ""))))</f>
        <v/>
      </c>
      <c r="I1927" s="15" t="s">
        <v>649</v>
      </c>
      <c r="J1927" s="15" t="s">
        <v>18</v>
      </c>
      <c r="K1927" s="7" t="str">
        <f>VLOOKUP(J1927,Introduction!$B$6:$C$14,2)</f>
        <v>Midlands</v>
      </c>
      <c r="L1927" s="17">
        <v>529</v>
      </c>
      <c r="M1927" s="18" t="s">
        <v>530</v>
      </c>
    </row>
    <row r="1928" spans="1:13" ht="19.95" customHeight="1" x14ac:dyDescent="0.25">
      <c r="A1928" s="42">
        <v>45292</v>
      </c>
      <c r="B1928" s="48">
        <f>MONTH(Table13[[#This Row],[YearMonth]])</f>
        <v>1</v>
      </c>
      <c r="C1928" s="15" t="s">
        <v>100</v>
      </c>
      <c r="D1928" s="16" t="s">
        <v>338</v>
      </c>
      <c r="E1928" s="16">
        <f>IF(Table13[[#This Row],[Quartile]]="TopQuartile", 1,
 IF(Table13[[#This Row],[Quartile]]="SecondQuartile", 2,
 IF(Table13[[#This Row],[Quartile]]="ThirdQuartile", 3,
 IF(Table13[[#This Row],[Quartile]]="FourthQuartile", 4, ""))))</f>
        <v>2</v>
      </c>
      <c r="F1928" s="15" t="s">
        <v>544</v>
      </c>
      <c r="G1928" s="15" t="str" cm="1">
        <f t="array" ref="G1928">IFERROR(
  INDEX(Table13[Quartile],
    MATCH(1,
      (Table13[[#This Row],[OrgName]]=Table13[OrgName]) *
      (Table13[[#This Row],[Month Number]]-1=Table13[Month Number]),
    0)
  ),
"")</f>
        <v/>
      </c>
      <c r="H1928" s="15" t="str">
        <f>IF(Table13[[#This Row],[Previous Quartile]]="TopQuartile", 1,
 IF(Table13[[#This Row],[Previous Quartile]]="SecondQuartile", 2,
 IF(Table13[[#This Row],[Previous Quartile]]="ThirdQuartile", 3,
 IF(Table13[[#This Row],[Previous Quartile]]="FourthQuartile", 4, ""))))</f>
        <v/>
      </c>
      <c r="I1928" s="15" t="s">
        <v>649</v>
      </c>
      <c r="J1928" s="15" t="s">
        <v>24</v>
      </c>
      <c r="K1928" s="7" t="str">
        <f>VLOOKUP(J1928,Introduction!$B$6:$C$14,2)</f>
        <v>North East and Yorkshire</v>
      </c>
      <c r="L1928" s="17">
        <v>133</v>
      </c>
      <c r="M1928" s="18" t="s">
        <v>530</v>
      </c>
    </row>
    <row r="1929" spans="1:13" ht="19.95" customHeight="1" x14ac:dyDescent="0.25">
      <c r="A1929" s="42">
        <v>45292</v>
      </c>
      <c r="B1929" s="48">
        <f>MONTH(Table13[[#This Row],[YearMonth]])</f>
        <v>1</v>
      </c>
      <c r="C1929" s="15" t="s">
        <v>166</v>
      </c>
      <c r="D1929" s="16" t="s">
        <v>338</v>
      </c>
      <c r="E1929" s="16">
        <f>IF(Table13[[#This Row],[Quartile]]="TopQuartile", 1,
 IF(Table13[[#This Row],[Quartile]]="SecondQuartile", 2,
 IF(Table13[[#This Row],[Quartile]]="ThirdQuartile", 3,
 IF(Table13[[#This Row],[Quartile]]="FourthQuartile", 4, ""))))</f>
        <v>2</v>
      </c>
      <c r="F1929" s="15" t="s">
        <v>554</v>
      </c>
      <c r="G1929" s="15" t="str" cm="1">
        <f t="array" ref="G1929">IFERROR(
  INDEX(Table13[Quartile],
    MATCH(1,
      (Table13[[#This Row],[OrgName]]=Table13[OrgName]) *
      (Table13[[#This Row],[Month Number]]-1=Table13[Month Number]),
    0)
  ),
"")</f>
        <v/>
      </c>
      <c r="H1929" s="15" t="str">
        <f>IF(Table13[[#This Row],[Previous Quartile]]="TopQuartile", 1,
 IF(Table13[[#This Row],[Previous Quartile]]="SecondQuartile", 2,
 IF(Table13[[#This Row],[Previous Quartile]]="ThirdQuartile", 3,
 IF(Table13[[#This Row],[Previous Quartile]]="FourthQuartile", 4, ""))))</f>
        <v/>
      </c>
      <c r="I1929" s="15" t="s">
        <v>649</v>
      </c>
      <c r="J1929" s="15" t="s">
        <v>18</v>
      </c>
      <c r="K1929" s="7" t="str">
        <f>VLOOKUP(J1929,Introduction!$B$6:$C$14,2)</f>
        <v>Midlands</v>
      </c>
      <c r="L1929" s="17">
        <v>996</v>
      </c>
      <c r="M1929" s="18" t="s">
        <v>530</v>
      </c>
    </row>
    <row r="1930" spans="1:13" ht="19.95" customHeight="1" x14ac:dyDescent="0.25">
      <c r="A1930" s="42">
        <v>45292</v>
      </c>
      <c r="B1930" s="48">
        <f>MONTH(Table13[[#This Row],[YearMonth]])</f>
        <v>1</v>
      </c>
      <c r="C1930" s="15" t="s">
        <v>115</v>
      </c>
      <c r="D1930" s="16" t="s">
        <v>341</v>
      </c>
      <c r="E1930" s="16">
        <f>IF(Table13[[#This Row],[Quartile]]="TopQuartile", 1,
 IF(Table13[[#This Row],[Quartile]]="SecondQuartile", 2,
 IF(Table13[[#This Row],[Quartile]]="ThirdQuartile", 3,
 IF(Table13[[#This Row],[Quartile]]="FourthQuartile", 4, ""))))</f>
        <v>3</v>
      </c>
      <c r="F1930" s="15" t="s">
        <v>546</v>
      </c>
      <c r="G1930" s="15" t="str" cm="1">
        <f t="array" ref="G1930">IFERROR(
  INDEX(Table13[Quartile],
    MATCH(1,
      (Table13[[#This Row],[OrgName]]=Table13[OrgName]) *
      (Table13[[#This Row],[Month Number]]-1=Table13[Month Number]),
    0)
  ),
"")</f>
        <v/>
      </c>
      <c r="H1930" s="15" t="str">
        <f>IF(Table13[[#This Row],[Previous Quartile]]="TopQuartile", 1,
 IF(Table13[[#This Row],[Previous Quartile]]="SecondQuartile", 2,
 IF(Table13[[#This Row],[Previous Quartile]]="ThirdQuartile", 3,
 IF(Table13[[#This Row],[Previous Quartile]]="FourthQuartile", 4, ""))))</f>
        <v/>
      </c>
      <c r="I1930" s="15" t="s">
        <v>649</v>
      </c>
      <c r="J1930" s="15" t="s">
        <v>18</v>
      </c>
      <c r="K1930" s="7" t="str">
        <f>VLOOKUP(J1930,Introduction!$B$6:$C$14,2)</f>
        <v>Midlands</v>
      </c>
      <c r="L1930" s="17">
        <v>942</v>
      </c>
      <c r="M1930" s="18" t="s">
        <v>530</v>
      </c>
    </row>
    <row r="1931" spans="1:13" ht="19.95" customHeight="1" x14ac:dyDescent="0.25">
      <c r="A1931" s="42">
        <v>45292</v>
      </c>
      <c r="B1931" s="48">
        <f>MONTH(Table13[[#This Row],[YearMonth]])</f>
        <v>1</v>
      </c>
      <c r="C1931" s="15" t="s">
        <v>93</v>
      </c>
      <c r="D1931" s="16" t="s">
        <v>341</v>
      </c>
      <c r="E1931" s="16">
        <f>IF(Table13[[#This Row],[Quartile]]="TopQuartile", 1,
 IF(Table13[[#This Row],[Quartile]]="SecondQuartile", 2,
 IF(Table13[[#This Row],[Quartile]]="ThirdQuartile", 3,
 IF(Table13[[#This Row],[Quartile]]="FourthQuartile", 4, ""))))</f>
        <v>3</v>
      </c>
      <c r="F1931" s="15" t="s">
        <v>543</v>
      </c>
      <c r="G1931" s="15" t="str" cm="1">
        <f t="array" ref="G1931">IFERROR(
  INDEX(Table13[Quartile],
    MATCH(1,
      (Table13[[#This Row],[OrgName]]=Table13[OrgName]) *
      (Table13[[#This Row],[Month Number]]-1=Table13[Month Number]),
    0)
  ),
"")</f>
        <v/>
      </c>
      <c r="H1931" s="15" t="str">
        <f>IF(Table13[[#This Row],[Previous Quartile]]="TopQuartile", 1,
 IF(Table13[[#This Row],[Previous Quartile]]="SecondQuartile", 2,
 IF(Table13[[#This Row],[Previous Quartile]]="ThirdQuartile", 3,
 IF(Table13[[#This Row],[Previous Quartile]]="FourthQuartile", 4, ""))))</f>
        <v/>
      </c>
      <c r="I1931" s="15" t="s">
        <v>649</v>
      </c>
      <c r="J1931" s="15" t="s">
        <v>16</v>
      </c>
      <c r="K1931" s="7" t="str">
        <f>VLOOKUP(J1931,Introduction!$B$6:$C$14,2)</f>
        <v>South East</v>
      </c>
      <c r="L1931" s="17">
        <v>495</v>
      </c>
      <c r="M1931" s="18" t="s">
        <v>530</v>
      </c>
    </row>
    <row r="1932" spans="1:13" ht="19.95" customHeight="1" x14ac:dyDescent="0.25">
      <c r="A1932" s="42">
        <v>45292</v>
      </c>
      <c r="B1932" s="48">
        <f>MONTH(Table13[[#This Row],[YearMonth]])</f>
        <v>1</v>
      </c>
      <c r="C1932" s="15" t="s">
        <v>231</v>
      </c>
      <c r="D1932" s="16" t="s">
        <v>341</v>
      </c>
      <c r="E1932" s="16">
        <f>IF(Table13[[#This Row],[Quartile]]="TopQuartile", 1,
 IF(Table13[[#This Row],[Quartile]]="SecondQuartile", 2,
 IF(Table13[[#This Row],[Quartile]]="ThirdQuartile", 3,
 IF(Table13[[#This Row],[Quartile]]="FourthQuartile", 4, ""))))</f>
        <v>3</v>
      </c>
      <c r="F1932" s="15" t="s">
        <v>558</v>
      </c>
      <c r="G1932" s="15" t="str" cm="1">
        <f t="array" ref="G1932">IFERROR(
  INDEX(Table13[Quartile],
    MATCH(1,
      (Table13[[#This Row],[OrgName]]=Table13[OrgName]) *
      (Table13[[#This Row],[Month Number]]-1=Table13[Month Number]),
    0)
  ),
"")</f>
        <v/>
      </c>
      <c r="H1932" s="15" t="str">
        <f>IF(Table13[[#This Row],[Previous Quartile]]="TopQuartile", 1,
 IF(Table13[[#This Row],[Previous Quartile]]="SecondQuartile", 2,
 IF(Table13[[#This Row],[Previous Quartile]]="ThirdQuartile", 3,
 IF(Table13[[#This Row],[Previous Quartile]]="FourthQuartile", 4, ""))))</f>
        <v/>
      </c>
      <c r="I1932" s="15" t="s">
        <v>649</v>
      </c>
      <c r="J1932" s="15" t="s">
        <v>12</v>
      </c>
      <c r="K1932" s="7" t="str">
        <f>VLOOKUP(J1932,Introduction!$B$6:$C$14,2)</f>
        <v>London</v>
      </c>
      <c r="L1932" s="17">
        <v>491</v>
      </c>
      <c r="M1932" s="18" t="s">
        <v>530</v>
      </c>
    </row>
    <row r="1933" spans="1:13" ht="19.95" customHeight="1" x14ac:dyDescent="0.25">
      <c r="A1933" s="42">
        <v>45292</v>
      </c>
      <c r="B1933" s="48">
        <f>MONTH(Table13[[#This Row],[YearMonth]])</f>
        <v>1</v>
      </c>
      <c r="C1933" s="15" t="s">
        <v>216</v>
      </c>
      <c r="D1933" s="16" t="s">
        <v>341</v>
      </c>
      <c r="E1933" s="16">
        <f>IF(Table13[[#This Row],[Quartile]]="TopQuartile", 1,
 IF(Table13[[#This Row],[Quartile]]="SecondQuartile", 2,
 IF(Table13[[#This Row],[Quartile]]="ThirdQuartile", 3,
 IF(Table13[[#This Row],[Quartile]]="FourthQuartile", 4, ""))))</f>
        <v>3</v>
      </c>
      <c r="F1933" s="15" t="s">
        <v>556</v>
      </c>
      <c r="G1933" s="15" t="str" cm="1">
        <f t="array" ref="G1933">IFERROR(
  INDEX(Table13[Quartile],
    MATCH(1,
      (Table13[[#This Row],[OrgName]]=Table13[OrgName]) *
      (Table13[[#This Row],[Month Number]]-1=Table13[Month Number]),
    0)
  ),
"")</f>
        <v/>
      </c>
      <c r="H1933" s="15" t="str">
        <f>IF(Table13[[#This Row],[Previous Quartile]]="TopQuartile", 1,
 IF(Table13[[#This Row],[Previous Quartile]]="SecondQuartile", 2,
 IF(Table13[[#This Row],[Previous Quartile]]="ThirdQuartile", 3,
 IF(Table13[[#This Row],[Previous Quartile]]="FourthQuartile", 4, ""))))</f>
        <v/>
      </c>
      <c r="I1933" s="15" t="s">
        <v>649</v>
      </c>
      <c r="J1933" s="15" t="s">
        <v>12</v>
      </c>
      <c r="K1933" s="7" t="str">
        <f>VLOOKUP(J1933,Introduction!$B$6:$C$14,2)</f>
        <v>London</v>
      </c>
      <c r="L1933" s="17">
        <v>985</v>
      </c>
      <c r="M1933" s="18" t="s">
        <v>530</v>
      </c>
    </row>
    <row r="1934" spans="1:13" ht="19.95" customHeight="1" x14ac:dyDescent="0.25">
      <c r="A1934" s="42">
        <v>45292</v>
      </c>
      <c r="B1934" s="48">
        <f>MONTH(Table13[[#This Row],[YearMonth]])</f>
        <v>1</v>
      </c>
      <c r="C1934" s="15" t="s">
        <v>73</v>
      </c>
      <c r="D1934" s="16" t="s">
        <v>341</v>
      </c>
      <c r="E1934" s="16">
        <f>IF(Table13[[#This Row],[Quartile]]="TopQuartile", 1,
 IF(Table13[[#This Row],[Quartile]]="SecondQuartile", 2,
 IF(Table13[[#This Row],[Quartile]]="ThirdQuartile", 3,
 IF(Table13[[#This Row],[Quartile]]="FourthQuartile", 4, ""))))</f>
        <v>3</v>
      </c>
      <c r="F1934" s="15" t="s">
        <v>540</v>
      </c>
      <c r="G1934" s="15" t="str" cm="1">
        <f t="array" ref="G1934">IFERROR(
  INDEX(Table13[Quartile],
    MATCH(1,
      (Table13[[#This Row],[OrgName]]=Table13[OrgName]) *
      (Table13[[#This Row],[Month Number]]-1=Table13[Month Number]),
    0)
  ),
"")</f>
        <v/>
      </c>
      <c r="H1934" s="15" t="str">
        <f>IF(Table13[[#This Row],[Previous Quartile]]="TopQuartile", 1,
 IF(Table13[[#This Row],[Previous Quartile]]="SecondQuartile", 2,
 IF(Table13[[#This Row],[Previous Quartile]]="ThirdQuartile", 3,
 IF(Table13[[#This Row],[Previous Quartile]]="FourthQuartile", 4, ""))))</f>
        <v/>
      </c>
      <c r="I1934" s="15" t="s">
        <v>649</v>
      </c>
      <c r="J1934" s="15" t="s">
        <v>14</v>
      </c>
      <c r="K1934" s="7" t="str">
        <f>VLOOKUP(J1934,Introduction!$B$6:$C$14,2)</f>
        <v>South West</v>
      </c>
      <c r="L1934" s="17">
        <v>462</v>
      </c>
      <c r="M1934" s="18" t="s">
        <v>530</v>
      </c>
    </row>
    <row r="1935" spans="1:13" ht="19.95" customHeight="1" x14ac:dyDescent="0.25">
      <c r="A1935" s="42">
        <v>45292</v>
      </c>
      <c r="B1935" s="48">
        <f>MONTH(Table13[[#This Row],[YearMonth]])</f>
        <v>1</v>
      </c>
      <c r="C1935" s="15" t="s">
        <v>206</v>
      </c>
      <c r="D1935" s="16" t="s">
        <v>341</v>
      </c>
      <c r="E1935" s="16">
        <f>IF(Table13[[#This Row],[Quartile]]="TopQuartile", 1,
 IF(Table13[[#This Row],[Quartile]]="SecondQuartile", 2,
 IF(Table13[[#This Row],[Quartile]]="ThirdQuartile", 3,
 IF(Table13[[#This Row],[Quartile]]="FourthQuartile", 4, ""))))</f>
        <v>3</v>
      </c>
      <c r="F1935" s="15" t="s">
        <v>555</v>
      </c>
      <c r="G1935" s="15" t="str" cm="1">
        <f t="array" ref="G1935">IFERROR(
  INDEX(Table13[Quartile],
    MATCH(1,
      (Table13[[#This Row],[OrgName]]=Table13[OrgName]) *
      (Table13[[#This Row],[Month Number]]-1=Table13[Month Number]),
    0)
  ),
"")</f>
        <v/>
      </c>
      <c r="H1935" s="15" t="str">
        <f>IF(Table13[[#This Row],[Previous Quartile]]="TopQuartile", 1,
 IF(Table13[[#This Row],[Previous Quartile]]="SecondQuartile", 2,
 IF(Table13[[#This Row],[Previous Quartile]]="ThirdQuartile", 3,
 IF(Table13[[#This Row],[Previous Quartile]]="FourthQuartile", 4, ""))))</f>
        <v/>
      </c>
      <c r="I1935" s="15" t="s">
        <v>649</v>
      </c>
      <c r="J1935" s="15" t="s">
        <v>12</v>
      </c>
      <c r="K1935" s="7" t="str">
        <f>VLOOKUP(J1935,Introduction!$B$6:$C$14,2)</f>
        <v>London</v>
      </c>
      <c r="L1935" s="17">
        <v>807</v>
      </c>
      <c r="M1935" s="18" t="s">
        <v>530</v>
      </c>
    </row>
    <row r="1936" spans="1:13" ht="19.95" customHeight="1" x14ac:dyDescent="0.25">
      <c r="A1936" s="42">
        <v>45292</v>
      </c>
      <c r="B1936" s="48">
        <f>MONTH(Table13[[#This Row],[YearMonth]])</f>
        <v>1</v>
      </c>
      <c r="C1936" s="15" t="s">
        <v>151</v>
      </c>
      <c r="D1936" s="16" t="s">
        <v>341</v>
      </c>
      <c r="E1936" s="16">
        <f>IF(Table13[[#This Row],[Quartile]]="TopQuartile", 1,
 IF(Table13[[#This Row],[Quartile]]="SecondQuartile", 2,
 IF(Table13[[#This Row],[Quartile]]="ThirdQuartile", 3,
 IF(Table13[[#This Row],[Quartile]]="FourthQuartile", 4, ""))))</f>
        <v>3</v>
      </c>
      <c r="F1936" s="15" t="s">
        <v>551</v>
      </c>
      <c r="G1936" s="15" t="str" cm="1">
        <f t="array" ref="G1936">IFERROR(
  INDEX(Table13[Quartile],
    MATCH(1,
      (Table13[[#This Row],[OrgName]]=Table13[OrgName]) *
      (Table13[[#This Row],[Month Number]]-1=Table13[Month Number]),
    0)
  ),
"")</f>
        <v/>
      </c>
      <c r="H1936" s="15" t="str">
        <f>IF(Table13[[#This Row],[Previous Quartile]]="TopQuartile", 1,
 IF(Table13[[#This Row],[Previous Quartile]]="SecondQuartile", 2,
 IF(Table13[[#This Row],[Previous Quartile]]="ThirdQuartile", 3,
 IF(Table13[[#This Row],[Previous Quartile]]="FourthQuartile", 4, ""))))</f>
        <v/>
      </c>
      <c r="I1936" s="15" t="s">
        <v>649</v>
      </c>
      <c r="J1936" s="15" t="s">
        <v>18</v>
      </c>
      <c r="K1936" s="7" t="str">
        <f>VLOOKUP(J1936,Introduction!$B$6:$C$14,2)</f>
        <v>Midlands</v>
      </c>
      <c r="L1936" s="17">
        <v>111</v>
      </c>
      <c r="M1936" s="18" t="s">
        <v>530</v>
      </c>
    </row>
    <row r="1937" spans="1:13" ht="19.95" customHeight="1" x14ac:dyDescent="0.25">
      <c r="A1937" s="42">
        <v>45292</v>
      </c>
      <c r="B1937" s="48">
        <f>MONTH(Table13[[#This Row],[YearMonth]])</f>
        <v>1</v>
      </c>
      <c r="C1937" s="15" t="s">
        <v>234</v>
      </c>
      <c r="D1937" s="16" t="s">
        <v>341</v>
      </c>
      <c r="E1937" s="16">
        <f>IF(Table13[[#This Row],[Quartile]]="TopQuartile", 1,
 IF(Table13[[#This Row],[Quartile]]="SecondQuartile", 2,
 IF(Table13[[#This Row],[Quartile]]="ThirdQuartile", 3,
 IF(Table13[[#This Row],[Quartile]]="FourthQuartile", 4, ""))))</f>
        <v>3</v>
      </c>
      <c r="F1937" s="15" t="s">
        <v>559</v>
      </c>
      <c r="G1937" s="15" t="str" cm="1">
        <f t="array" ref="G1937">IFERROR(
  INDEX(Table13[Quartile],
    MATCH(1,
      (Table13[[#This Row],[OrgName]]=Table13[OrgName]) *
      (Table13[[#This Row],[Month Number]]-1=Table13[Month Number]),
    0)
  ),
"")</f>
        <v/>
      </c>
      <c r="H1937" s="15" t="str">
        <f>IF(Table13[[#This Row],[Previous Quartile]]="TopQuartile", 1,
 IF(Table13[[#This Row],[Previous Quartile]]="SecondQuartile", 2,
 IF(Table13[[#This Row],[Previous Quartile]]="ThirdQuartile", 3,
 IF(Table13[[#This Row],[Previous Quartile]]="FourthQuartile", 4, ""))))</f>
        <v/>
      </c>
      <c r="I1937" s="15" t="s">
        <v>649</v>
      </c>
      <c r="J1937" s="15" t="s">
        <v>22</v>
      </c>
      <c r="K1937" s="7" t="str">
        <f>VLOOKUP(J1937,Introduction!$B$6:$C$14,2)</f>
        <v>North West</v>
      </c>
      <c r="L1937" s="17">
        <v>125</v>
      </c>
      <c r="M1937" s="18" t="s">
        <v>530</v>
      </c>
    </row>
    <row r="1938" spans="1:13" ht="19.95" customHeight="1" x14ac:dyDescent="0.25">
      <c r="A1938" s="42">
        <v>45292</v>
      </c>
      <c r="B1938" s="48">
        <f>MONTH(Table13[[#This Row],[YearMonth]])</f>
        <v>1</v>
      </c>
      <c r="C1938" s="15" t="s">
        <v>265</v>
      </c>
      <c r="D1938" s="16" t="s">
        <v>350</v>
      </c>
      <c r="E1938" s="16">
        <f>IF(Table13[[#This Row],[Quartile]]="TopQuartile", 1,
 IF(Table13[[#This Row],[Quartile]]="SecondQuartile", 2,
 IF(Table13[[#This Row],[Quartile]]="ThirdQuartile", 3,
 IF(Table13[[#This Row],[Quartile]]="FourthQuartile", 4, ""))))</f>
        <v>4</v>
      </c>
      <c r="F1938" s="15" t="s">
        <v>562</v>
      </c>
      <c r="G1938" s="15" t="str" cm="1">
        <f t="array" ref="G1938">IFERROR(
  INDEX(Table13[Quartile],
    MATCH(1,
      (Table13[[#This Row],[OrgName]]=Table13[OrgName]) *
      (Table13[[#This Row],[Month Number]]-1=Table13[Month Number]),
    0)
  ),
"")</f>
        <v/>
      </c>
      <c r="H1938" s="15" t="str">
        <f>IF(Table13[[#This Row],[Previous Quartile]]="TopQuartile", 1,
 IF(Table13[[#This Row],[Previous Quartile]]="SecondQuartile", 2,
 IF(Table13[[#This Row],[Previous Quartile]]="ThirdQuartile", 3,
 IF(Table13[[#This Row],[Previous Quartile]]="FourthQuartile", 4, ""))))</f>
        <v/>
      </c>
      <c r="I1938" s="15" t="s">
        <v>649</v>
      </c>
      <c r="J1938" s="15" t="s">
        <v>16</v>
      </c>
      <c r="K1938" s="7" t="str">
        <f>VLOOKUP(J1938,Introduction!$B$6:$C$14,2)</f>
        <v>South East</v>
      </c>
      <c r="L1938" s="17">
        <v>256</v>
      </c>
      <c r="M1938" s="18" t="s">
        <v>530</v>
      </c>
    </row>
    <row r="1939" spans="1:13" ht="19.95" customHeight="1" x14ac:dyDescent="0.25">
      <c r="A1939" s="42">
        <v>45292</v>
      </c>
      <c r="B1939" s="48">
        <f>MONTH(Table13[[#This Row],[YearMonth]])</f>
        <v>1</v>
      </c>
      <c r="C1939" s="15" t="s">
        <v>266</v>
      </c>
      <c r="D1939" s="16" t="s">
        <v>350</v>
      </c>
      <c r="E1939" s="16">
        <f>IF(Table13[[#This Row],[Quartile]]="TopQuartile", 1,
 IF(Table13[[#This Row],[Quartile]]="SecondQuartile", 2,
 IF(Table13[[#This Row],[Quartile]]="ThirdQuartile", 3,
 IF(Table13[[#This Row],[Quartile]]="FourthQuartile", 4, ""))))</f>
        <v>4</v>
      </c>
      <c r="F1939" s="15" t="s">
        <v>563</v>
      </c>
      <c r="G1939" s="15" t="str" cm="1">
        <f t="array" ref="G1939">IFERROR(
  INDEX(Table13[Quartile],
    MATCH(1,
      (Table13[[#This Row],[OrgName]]=Table13[OrgName]) *
      (Table13[[#This Row],[Month Number]]-1=Table13[Month Number]),
    0)
  ),
"")</f>
        <v/>
      </c>
      <c r="H1939" s="15" t="str">
        <f>IF(Table13[[#This Row],[Previous Quartile]]="TopQuartile", 1,
 IF(Table13[[#This Row],[Previous Quartile]]="SecondQuartile", 2,
 IF(Table13[[#This Row],[Previous Quartile]]="ThirdQuartile", 3,
 IF(Table13[[#This Row],[Previous Quartile]]="FourthQuartile", 4, ""))))</f>
        <v/>
      </c>
      <c r="I1939" s="15" t="s">
        <v>649</v>
      </c>
      <c r="J1939" s="15" t="s">
        <v>12</v>
      </c>
      <c r="K1939" s="7" t="str">
        <f>VLOOKUP(J1939,Introduction!$B$6:$C$14,2)</f>
        <v>London</v>
      </c>
      <c r="L1939" s="17">
        <v>161</v>
      </c>
      <c r="M1939" s="18" t="s">
        <v>530</v>
      </c>
    </row>
    <row r="1940" spans="1:13" ht="19.95" customHeight="1" x14ac:dyDescent="0.25">
      <c r="A1940" s="42">
        <v>45292</v>
      </c>
      <c r="B1940" s="48">
        <f>MONTH(Table13[[#This Row],[YearMonth]])</f>
        <v>1</v>
      </c>
      <c r="C1940" s="15" t="s">
        <v>275</v>
      </c>
      <c r="D1940" s="16" t="s">
        <v>350</v>
      </c>
      <c r="E1940" s="16">
        <f>IF(Table13[[#This Row],[Quartile]]="TopQuartile", 1,
 IF(Table13[[#This Row],[Quartile]]="SecondQuartile", 2,
 IF(Table13[[#This Row],[Quartile]]="ThirdQuartile", 3,
 IF(Table13[[#This Row],[Quartile]]="FourthQuartile", 4, ""))))</f>
        <v>4</v>
      </c>
      <c r="F1940" s="15" t="s">
        <v>565</v>
      </c>
      <c r="G1940" s="15" t="str" cm="1">
        <f t="array" ref="G1940">IFERROR(
  INDEX(Table13[Quartile],
    MATCH(1,
      (Table13[[#This Row],[OrgName]]=Table13[OrgName]) *
      (Table13[[#This Row],[Month Number]]-1=Table13[Month Number]),
    0)
  ),
"")</f>
        <v/>
      </c>
      <c r="H1940" s="15" t="str">
        <f>IF(Table13[[#This Row],[Previous Quartile]]="TopQuartile", 1,
 IF(Table13[[#This Row],[Previous Quartile]]="SecondQuartile", 2,
 IF(Table13[[#This Row],[Previous Quartile]]="ThirdQuartile", 3,
 IF(Table13[[#This Row],[Previous Quartile]]="FourthQuartile", 4, ""))))</f>
        <v/>
      </c>
      <c r="I1940" s="15" t="s">
        <v>649</v>
      </c>
      <c r="J1940" s="15" t="s">
        <v>18</v>
      </c>
      <c r="K1940" s="7" t="str">
        <f>VLOOKUP(J1940,Introduction!$B$6:$C$14,2)</f>
        <v>Midlands</v>
      </c>
      <c r="L1940" s="17">
        <v>118</v>
      </c>
      <c r="M1940" s="18" t="s">
        <v>530</v>
      </c>
    </row>
    <row r="1941" spans="1:13" ht="19.95" customHeight="1" x14ac:dyDescent="0.25">
      <c r="A1941" s="42">
        <v>45292</v>
      </c>
      <c r="B1941" s="48">
        <f>MONTH(Table13[[#This Row],[YearMonth]])</f>
        <v>1</v>
      </c>
      <c r="C1941" s="15" t="s">
        <v>284</v>
      </c>
      <c r="D1941" s="16" t="s">
        <v>350</v>
      </c>
      <c r="E1941" s="16">
        <f>IF(Table13[[#This Row],[Quartile]]="TopQuartile", 1,
 IF(Table13[[#This Row],[Quartile]]="SecondQuartile", 2,
 IF(Table13[[#This Row],[Quartile]]="ThirdQuartile", 3,
 IF(Table13[[#This Row],[Quartile]]="FourthQuartile", 4, ""))))</f>
        <v>4</v>
      </c>
      <c r="F1941" s="15" t="s">
        <v>566</v>
      </c>
      <c r="G1941" s="15" t="str" cm="1">
        <f t="array" ref="G1941">IFERROR(
  INDEX(Table13[Quartile],
    MATCH(1,
      (Table13[[#This Row],[OrgName]]=Table13[OrgName]) *
      (Table13[[#This Row],[Month Number]]-1=Table13[Month Number]),
    0)
  ),
"")</f>
        <v/>
      </c>
      <c r="H1941" s="15" t="str">
        <f>IF(Table13[[#This Row],[Previous Quartile]]="TopQuartile", 1,
 IF(Table13[[#This Row],[Previous Quartile]]="SecondQuartile", 2,
 IF(Table13[[#This Row],[Previous Quartile]]="ThirdQuartile", 3,
 IF(Table13[[#This Row],[Previous Quartile]]="FourthQuartile", 4, ""))))</f>
        <v/>
      </c>
      <c r="I1941" s="15" t="s">
        <v>649</v>
      </c>
      <c r="J1941" s="15" t="s">
        <v>20</v>
      </c>
      <c r="K1941" s="7" t="str">
        <f>VLOOKUP(J1941,Introduction!$B$6:$C$14,2)</f>
        <v>East of England</v>
      </c>
      <c r="L1941" s="17">
        <v>468</v>
      </c>
      <c r="M1941" s="18" t="s">
        <v>530</v>
      </c>
    </row>
    <row r="1942" spans="1:13" ht="19.95" customHeight="1" x14ac:dyDescent="0.25">
      <c r="A1942" s="42">
        <v>45292</v>
      </c>
      <c r="B1942" s="48">
        <f>MONTH(Table13[[#This Row],[YearMonth]])</f>
        <v>1</v>
      </c>
      <c r="C1942" s="15" t="s">
        <v>247</v>
      </c>
      <c r="D1942" s="16" t="s">
        <v>350</v>
      </c>
      <c r="E1942" s="16">
        <f>IF(Table13[[#This Row],[Quartile]]="TopQuartile", 1,
 IF(Table13[[#This Row],[Quartile]]="SecondQuartile", 2,
 IF(Table13[[#This Row],[Quartile]]="ThirdQuartile", 3,
 IF(Table13[[#This Row],[Quartile]]="FourthQuartile", 4, ""))))</f>
        <v>4</v>
      </c>
      <c r="F1942" s="15" t="s">
        <v>560</v>
      </c>
      <c r="G1942" s="15" t="str" cm="1">
        <f t="array" ref="G1942">IFERROR(
  INDEX(Table13[Quartile],
    MATCH(1,
      (Table13[[#This Row],[OrgName]]=Table13[OrgName]) *
      (Table13[[#This Row],[Month Number]]-1=Table13[Month Number]),
    0)
  ),
"")</f>
        <v/>
      </c>
      <c r="H1942" s="15" t="str">
        <f>IF(Table13[[#This Row],[Previous Quartile]]="TopQuartile", 1,
 IF(Table13[[#This Row],[Previous Quartile]]="SecondQuartile", 2,
 IF(Table13[[#This Row],[Previous Quartile]]="ThirdQuartile", 3,
 IF(Table13[[#This Row],[Previous Quartile]]="FourthQuartile", 4, ""))))</f>
        <v/>
      </c>
      <c r="I1942" s="15" t="s">
        <v>649</v>
      </c>
      <c r="J1942" s="15" t="s">
        <v>24</v>
      </c>
      <c r="K1942" s="7" t="str">
        <f>VLOOKUP(J1942,Introduction!$B$6:$C$14,2)</f>
        <v>North East and Yorkshire</v>
      </c>
      <c r="L1942" s="17">
        <v>134</v>
      </c>
      <c r="M1942" s="18" t="s">
        <v>530</v>
      </c>
    </row>
    <row r="1943" spans="1:13" ht="19.95" customHeight="1" x14ac:dyDescent="0.25">
      <c r="A1943" s="42">
        <v>45292</v>
      </c>
      <c r="B1943" s="48">
        <f>MONTH(Table13[[#This Row],[YearMonth]])</f>
        <v>1</v>
      </c>
      <c r="C1943" s="15" t="s">
        <v>262</v>
      </c>
      <c r="D1943" s="16" t="s">
        <v>350</v>
      </c>
      <c r="E1943" s="16">
        <f>IF(Table13[[#This Row],[Quartile]]="TopQuartile", 1,
 IF(Table13[[#This Row],[Quartile]]="SecondQuartile", 2,
 IF(Table13[[#This Row],[Quartile]]="ThirdQuartile", 3,
 IF(Table13[[#This Row],[Quartile]]="FourthQuartile", 4, ""))))</f>
        <v>4</v>
      </c>
      <c r="F1943" s="15" t="s">
        <v>561</v>
      </c>
      <c r="G1943" s="15" t="str" cm="1">
        <f t="array" ref="G1943">IFERROR(
  INDEX(Table13[Quartile],
    MATCH(1,
      (Table13[[#This Row],[OrgName]]=Table13[OrgName]) *
      (Table13[[#This Row],[Month Number]]-1=Table13[Month Number]),
    0)
  ),
"")</f>
        <v/>
      </c>
      <c r="H1943" s="15" t="str">
        <f>IF(Table13[[#This Row],[Previous Quartile]]="TopQuartile", 1,
 IF(Table13[[#This Row],[Previous Quartile]]="SecondQuartile", 2,
 IF(Table13[[#This Row],[Previous Quartile]]="ThirdQuartile", 3,
 IF(Table13[[#This Row],[Previous Quartile]]="FourthQuartile", 4, ""))))</f>
        <v/>
      </c>
      <c r="I1943" s="15" t="s">
        <v>649</v>
      </c>
      <c r="J1943" s="15" t="s">
        <v>22</v>
      </c>
      <c r="K1943" s="7" t="str">
        <f>VLOOKUP(J1943,Introduction!$B$6:$C$14,2)</f>
        <v>North West</v>
      </c>
      <c r="L1943" s="17">
        <v>896</v>
      </c>
      <c r="M1943" s="18" t="s">
        <v>530</v>
      </c>
    </row>
    <row r="1944" spans="1:13" ht="19.95" customHeight="1" x14ac:dyDescent="0.25">
      <c r="A1944" s="42">
        <v>45292</v>
      </c>
      <c r="B1944" s="48">
        <f>MONTH(Table13[[#This Row],[YearMonth]])</f>
        <v>1</v>
      </c>
      <c r="C1944" s="15" t="s">
        <v>304</v>
      </c>
      <c r="D1944" s="16" t="s">
        <v>350</v>
      </c>
      <c r="E1944" s="16">
        <f>IF(Table13[[#This Row],[Quartile]]="TopQuartile", 1,
 IF(Table13[[#This Row],[Quartile]]="SecondQuartile", 2,
 IF(Table13[[#This Row],[Quartile]]="ThirdQuartile", 3,
 IF(Table13[[#This Row],[Quartile]]="FourthQuartile", 4, ""))))</f>
        <v>4</v>
      </c>
      <c r="F1944" s="15" t="s">
        <v>569</v>
      </c>
      <c r="G1944" s="15" t="str" cm="1">
        <f t="array" ref="G1944">IFERROR(
  INDEX(Table13[Quartile],
    MATCH(1,
      (Table13[[#This Row],[OrgName]]=Table13[OrgName]) *
      (Table13[[#This Row],[Month Number]]-1=Table13[Month Number]),
    0)
  ),
"")</f>
        <v/>
      </c>
      <c r="H1944" s="15" t="str">
        <f>IF(Table13[[#This Row],[Previous Quartile]]="TopQuartile", 1,
 IF(Table13[[#This Row],[Previous Quartile]]="SecondQuartile", 2,
 IF(Table13[[#This Row],[Previous Quartile]]="ThirdQuartile", 3,
 IF(Table13[[#This Row],[Previous Quartile]]="FourthQuartile", 4, ""))))</f>
        <v/>
      </c>
      <c r="I1944" s="15" t="s">
        <v>649</v>
      </c>
      <c r="J1944" s="15" t="s">
        <v>20</v>
      </c>
      <c r="K1944" s="7" t="str">
        <f>VLOOKUP(J1944,Introduction!$B$6:$C$14,2)</f>
        <v>East of England</v>
      </c>
      <c r="L1944" s="17">
        <v>710</v>
      </c>
      <c r="M1944" s="18" t="s">
        <v>530</v>
      </c>
    </row>
    <row r="1945" spans="1:13" ht="19.95" customHeight="1" x14ac:dyDescent="0.25">
      <c r="A1945" s="42">
        <v>45292</v>
      </c>
      <c r="B1945" s="48">
        <f>MONTH(Table13[[#This Row],[YearMonth]])</f>
        <v>1</v>
      </c>
      <c r="C1945" s="15" t="s">
        <v>303</v>
      </c>
      <c r="D1945" s="16" t="s">
        <v>350</v>
      </c>
      <c r="E1945" s="16">
        <f>IF(Table13[[#This Row],[Quartile]]="TopQuartile", 1,
 IF(Table13[[#This Row],[Quartile]]="SecondQuartile", 2,
 IF(Table13[[#This Row],[Quartile]]="ThirdQuartile", 3,
 IF(Table13[[#This Row],[Quartile]]="FourthQuartile", 4, ""))))</f>
        <v>4</v>
      </c>
      <c r="F1945" s="15" t="s">
        <v>568</v>
      </c>
      <c r="G1945" s="15" t="str" cm="1">
        <f t="array" ref="G1945">IFERROR(
  INDEX(Table13[Quartile],
    MATCH(1,
      (Table13[[#This Row],[OrgName]]=Table13[OrgName]) *
      (Table13[[#This Row],[Month Number]]-1=Table13[Month Number]),
    0)
  ),
"")</f>
        <v/>
      </c>
      <c r="H1945" s="15" t="str">
        <f>IF(Table13[[#This Row],[Previous Quartile]]="TopQuartile", 1,
 IF(Table13[[#This Row],[Previous Quartile]]="SecondQuartile", 2,
 IF(Table13[[#This Row],[Previous Quartile]]="ThirdQuartile", 3,
 IF(Table13[[#This Row],[Previous Quartile]]="FourthQuartile", 4, ""))))</f>
        <v/>
      </c>
      <c r="I1945" s="15" t="s">
        <v>649</v>
      </c>
      <c r="J1945" s="15" t="s">
        <v>14</v>
      </c>
      <c r="K1945" s="7" t="str">
        <f>VLOOKUP(J1945,Introduction!$B$6:$C$14,2)</f>
        <v>South West</v>
      </c>
      <c r="L1945" s="17">
        <v>467</v>
      </c>
      <c r="M1945" s="18" t="s">
        <v>530</v>
      </c>
    </row>
    <row r="1946" spans="1:13" ht="19.95" customHeight="1" x14ac:dyDescent="0.25">
      <c r="A1946" s="42">
        <v>45292</v>
      </c>
      <c r="B1946" s="48">
        <f>MONTH(Table13[[#This Row],[YearMonth]])</f>
        <v>1</v>
      </c>
      <c r="C1946" s="15" t="s">
        <v>302</v>
      </c>
      <c r="D1946" s="16" t="s">
        <v>350</v>
      </c>
      <c r="E1946" s="16">
        <f>IF(Table13[[#This Row],[Quartile]]="TopQuartile", 1,
 IF(Table13[[#This Row],[Quartile]]="SecondQuartile", 2,
 IF(Table13[[#This Row],[Quartile]]="ThirdQuartile", 3,
 IF(Table13[[#This Row],[Quartile]]="FourthQuartile", 4, ""))))</f>
        <v>4</v>
      </c>
      <c r="F1946" s="15" t="s">
        <v>567</v>
      </c>
      <c r="G1946" s="15" t="str" cm="1">
        <f t="array" ref="G1946">IFERROR(
  INDEX(Table13[Quartile],
    MATCH(1,
      (Table13[[#This Row],[OrgName]]=Table13[OrgName]) *
      (Table13[[#This Row],[Month Number]]-1=Table13[Month Number]),
    0)
  ),
"")</f>
        <v/>
      </c>
      <c r="H1946" s="15" t="str">
        <f>IF(Table13[[#This Row],[Previous Quartile]]="TopQuartile", 1,
 IF(Table13[[#This Row],[Previous Quartile]]="SecondQuartile", 2,
 IF(Table13[[#This Row],[Previous Quartile]]="ThirdQuartile", 3,
 IF(Table13[[#This Row],[Previous Quartile]]="FourthQuartile", 4, ""))))</f>
        <v/>
      </c>
      <c r="I1946" s="15" t="s">
        <v>649</v>
      </c>
      <c r="J1946" s="15" t="s">
        <v>24</v>
      </c>
      <c r="K1946" s="7" t="str">
        <f>VLOOKUP(J1946,Introduction!$B$6:$C$14,2)</f>
        <v>North East and Yorkshire</v>
      </c>
      <c r="L1946" s="17">
        <v>475</v>
      </c>
      <c r="M1946" s="18" t="s">
        <v>530</v>
      </c>
    </row>
    <row r="1947" spans="1:13" ht="19.95" customHeight="1" x14ac:dyDescent="0.25">
      <c r="A1947" s="42">
        <v>45292</v>
      </c>
      <c r="B1947" s="48">
        <f>MONTH(Table13[[#This Row],[YearMonth]])</f>
        <v>1</v>
      </c>
      <c r="C1947" s="15" t="s">
        <v>221</v>
      </c>
      <c r="D1947" s="16" t="s">
        <v>350</v>
      </c>
      <c r="E1947" s="16">
        <f>IF(Table13[[#This Row],[Quartile]]="TopQuartile", 1,
 IF(Table13[[#This Row],[Quartile]]="SecondQuartile", 2,
 IF(Table13[[#This Row],[Quartile]]="ThirdQuartile", 3,
 IF(Table13[[#This Row],[Quartile]]="FourthQuartile", 4, ""))))</f>
        <v>4</v>
      </c>
      <c r="F1947" s="15" t="s">
        <v>557</v>
      </c>
      <c r="G1947" s="15" t="str" cm="1">
        <f t="array" ref="G1947">IFERROR(
  INDEX(Table13[Quartile],
    MATCH(1,
      (Table13[[#This Row],[OrgName]]=Table13[OrgName]) *
      (Table13[[#This Row],[Month Number]]-1=Table13[Month Number]),
    0)
  ),
"")</f>
        <v/>
      </c>
      <c r="H1947" s="15" t="str">
        <f>IF(Table13[[#This Row],[Previous Quartile]]="TopQuartile", 1,
 IF(Table13[[#This Row],[Previous Quartile]]="SecondQuartile", 2,
 IF(Table13[[#This Row],[Previous Quartile]]="ThirdQuartile", 3,
 IF(Table13[[#This Row],[Previous Quartile]]="FourthQuartile", 4, ""))))</f>
        <v/>
      </c>
      <c r="I1947" s="15" t="s">
        <v>649</v>
      </c>
      <c r="J1947" s="15" t="s">
        <v>16</v>
      </c>
      <c r="K1947" s="7" t="str">
        <f>VLOOKUP(J1947,Introduction!$B$6:$C$14,2)</f>
        <v>South East</v>
      </c>
      <c r="L1947" s="17">
        <v>95</v>
      </c>
      <c r="M1947" s="18" t="s">
        <v>530</v>
      </c>
    </row>
    <row r="1948" spans="1:13" ht="19.95" customHeight="1" x14ac:dyDescent="0.25">
      <c r="A1948" s="42">
        <v>45292</v>
      </c>
      <c r="B1948" s="48">
        <f>MONTH(Table13[[#This Row],[YearMonth]])</f>
        <v>1</v>
      </c>
      <c r="C1948" s="15" t="s">
        <v>311</v>
      </c>
      <c r="D1948" s="16" t="s">
        <v>350</v>
      </c>
      <c r="E1948" s="16">
        <f>IF(Table13[[#This Row],[Quartile]]="TopQuartile", 1,
 IF(Table13[[#This Row],[Quartile]]="SecondQuartile", 2,
 IF(Table13[[#This Row],[Quartile]]="ThirdQuartile", 3,
 IF(Table13[[#This Row],[Quartile]]="FourthQuartile", 4, ""))))</f>
        <v>4</v>
      </c>
      <c r="F1948" s="15" t="s">
        <v>570</v>
      </c>
      <c r="G1948" s="15" t="str" cm="1">
        <f t="array" ref="G1948">IFERROR(
  INDEX(Table13[Quartile],
    MATCH(1,
      (Table13[[#This Row],[OrgName]]=Table13[OrgName]) *
      (Table13[[#This Row],[Month Number]]-1=Table13[Month Number]),
    0)
  ),
"")</f>
        <v/>
      </c>
      <c r="H1948" s="15" t="str">
        <f>IF(Table13[[#This Row],[Previous Quartile]]="TopQuartile", 1,
 IF(Table13[[#This Row],[Previous Quartile]]="SecondQuartile", 2,
 IF(Table13[[#This Row],[Previous Quartile]]="ThirdQuartile", 3,
 IF(Table13[[#This Row],[Previous Quartile]]="FourthQuartile", 4, ""))))</f>
        <v/>
      </c>
      <c r="I1948" s="15" t="s">
        <v>649</v>
      </c>
      <c r="J1948" s="15" t="s">
        <v>24</v>
      </c>
      <c r="K1948" s="7" t="str">
        <f>VLOOKUP(J1948,Introduction!$B$6:$C$14,2)</f>
        <v>North East and Yorkshire</v>
      </c>
      <c r="L1948" s="17">
        <v>857</v>
      </c>
      <c r="M1948" s="18" t="s">
        <v>530</v>
      </c>
    </row>
    <row r="1949" spans="1:13" ht="19.95" customHeight="1" x14ac:dyDescent="0.25">
      <c r="A1949" s="42">
        <v>45292</v>
      </c>
      <c r="B1949" s="48">
        <f>MONTH(Table13[[#This Row],[YearMonth]])</f>
        <v>1</v>
      </c>
      <c r="C1949" s="15" t="s">
        <v>312</v>
      </c>
      <c r="D1949" s="16" t="s">
        <v>350</v>
      </c>
      <c r="E1949" s="16">
        <f>IF(Table13[[#This Row],[Quartile]]="TopQuartile", 1,
 IF(Table13[[#This Row],[Quartile]]="SecondQuartile", 2,
 IF(Table13[[#This Row],[Quartile]]="ThirdQuartile", 3,
 IF(Table13[[#This Row],[Quartile]]="FourthQuartile", 4, ""))))</f>
        <v>4</v>
      </c>
      <c r="F1949" s="15" t="s">
        <v>571</v>
      </c>
      <c r="G1949" s="15" t="str" cm="1">
        <f t="array" ref="G1949">IFERROR(
  INDEX(Table13[Quartile],
    MATCH(1,
      (Table13[[#This Row],[OrgName]]=Table13[OrgName]) *
      (Table13[[#This Row],[Month Number]]-1=Table13[Month Number]),
    0)
  ),
"")</f>
        <v/>
      </c>
      <c r="H1949" s="15" t="str">
        <f>IF(Table13[[#This Row],[Previous Quartile]]="TopQuartile", 1,
 IF(Table13[[#This Row],[Previous Quartile]]="SecondQuartile", 2,
 IF(Table13[[#This Row],[Previous Quartile]]="ThirdQuartile", 3,
 IF(Table13[[#This Row],[Previous Quartile]]="FourthQuartile", 4, ""))))</f>
        <v/>
      </c>
      <c r="I1949" s="15" t="s">
        <v>649</v>
      </c>
      <c r="J1949" s="15" t="s">
        <v>20</v>
      </c>
      <c r="K1949" s="7" t="str">
        <f>VLOOKUP(J1949,Introduction!$B$6:$C$14,2)</f>
        <v>East of England</v>
      </c>
      <c r="L1949" s="17">
        <v>644</v>
      </c>
      <c r="M1949" s="18" t="s">
        <v>530</v>
      </c>
    </row>
    <row r="1950" spans="1:13" ht="19.95" customHeight="1" x14ac:dyDescent="0.25">
      <c r="A1950" s="42">
        <v>45292</v>
      </c>
      <c r="B1950" s="48">
        <f>MONTH(Table13[[#This Row],[YearMonth]])</f>
        <v>1</v>
      </c>
      <c r="C1950" s="15" t="s">
        <v>44</v>
      </c>
      <c r="D1950" s="16" t="s">
        <v>330</v>
      </c>
      <c r="E1950" s="16">
        <f>IF(Table13[[#This Row],[Quartile]]="TopQuartile", 1,
 IF(Table13[[#This Row],[Quartile]]="SecondQuartile", 2,
 IF(Table13[[#This Row],[Quartile]]="ThirdQuartile", 3,
 IF(Table13[[#This Row],[Quartile]]="FourthQuartile", 4, ""))))</f>
        <v>1</v>
      </c>
      <c r="F1950" s="15" t="s">
        <v>576</v>
      </c>
      <c r="G1950" s="15" t="str" cm="1">
        <f t="array" ref="G1950">IFERROR(
  INDEX(Table13[Quartile],
    MATCH(1,
      (Table13[[#This Row],[OrgName]]=Table13[OrgName]) *
      (Table13[[#This Row],[Month Number]]-1=Table13[Month Number]),
    0)
  ),
"")</f>
        <v/>
      </c>
      <c r="H1950" s="15" t="str">
        <f>IF(Table13[[#This Row],[Previous Quartile]]="TopQuartile", 1,
 IF(Table13[[#This Row],[Previous Quartile]]="SecondQuartile", 2,
 IF(Table13[[#This Row],[Previous Quartile]]="ThirdQuartile", 3,
 IF(Table13[[#This Row],[Previous Quartile]]="FourthQuartile", 4, ""))))</f>
        <v/>
      </c>
      <c r="I1950" s="15" t="s">
        <v>649</v>
      </c>
      <c r="J1950" s="15" t="s">
        <v>24</v>
      </c>
      <c r="K1950" s="7" t="str">
        <f>VLOOKUP(J1950,Introduction!$B$6:$C$14,2)</f>
        <v>North East and Yorkshire</v>
      </c>
      <c r="L1950" s="17">
        <v>173</v>
      </c>
      <c r="M1950" s="18" t="s">
        <v>573</v>
      </c>
    </row>
    <row r="1951" spans="1:13" ht="19.95" customHeight="1" x14ac:dyDescent="0.25">
      <c r="A1951" s="42">
        <v>45292</v>
      </c>
      <c r="B1951" s="48">
        <f>MONTH(Table13[[#This Row],[YearMonth]])</f>
        <v>1</v>
      </c>
      <c r="C1951" s="15" t="s">
        <v>34</v>
      </c>
      <c r="D1951" s="16" t="s">
        <v>330</v>
      </c>
      <c r="E1951" s="16">
        <f>IF(Table13[[#This Row],[Quartile]]="TopQuartile", 1,
 IF(Table13[[#This Row],[Quartile]]="SecondQuartile", 2,
 IF(Table13[[#This Row],[Quartile]]="ThirdQuartile", 3,
 IF(Table13[[#This Row],[Quartile]]="FourthQuartile", 4, ""))))</f>
        <v>1</v>
      </c>
      <c r="F1951" s="15" t="s">
        <v>572</v>
      </c>
      <c r="G1951" s="15" t="str" cm="1">
        <f t="array" ref="G1951">IFERROR(
  INDEX(Table13[Quartile],
    MATCH(1,
      (Table13[[#This Row],[OrgName]]=Table13[OrgName]) *
      (Table13[[#This Row],[Month Number]]-1=Table13[Month Number]),
    0)
  ),
"")</f>
        <v/>
      </c>
      <c r="H1951" s="15" t="str">
        <f>IF(Table13[[#This Row],[Previous Quartile]]="TopQuartile", 1,
 IF(Table13[[#This Row],[Previous Quartile]]="SecondQuartile", 2,
 IF(Table13[[#This Row],[Previous Quartile]]="ThirdQuartile", 3,
 IF(Table13[[#This Row],[Previous Quartile]]="FourthQuartile", 4, ""))))</f>
        <v/>
      </c>
      <c r="I1951" s="15" t="s">
        <v>649</v>
      </c>
      <c r="J1951" s="15" t="s">
        <v>14</v>
      </c>
      <c r="K1951" s="7" t="str">
        <f>VLOOKUP(J1951,Introduction!$B$6:$C$14,2)</f>
        <v>South West</v>
      </c>
      <c r="L1951" s="17">
        <v>201</v>
      </c>
      <c r="M1951" s="18" t="s">
        <v>573</v>
      </c>
    </row>
    <row r="1952" spans="1:13" ht="19.95" customHeight="1" x14ac:dyDescent="0.25">
      <c r="A1952" s="42">
        <v>45292</v>
      </c>
      <c r="B1952" s="48">
        <f>MONTH(Table13[[#This Row],[YearMonth]])</f>
        <v>1</v>
      </c>
      <c r="C1952" s="15" t="s">
        <v>74</v>
      </c>
      <c r="D1952" s="16" t="s">
        <v>330</v>
      </c>
      <c r="E1952" s="16">
        <f>IF(Table13[[#This Row],[Quartile]]="TopQuartile", 1,
 IF(Table13[[#This Row],[Quartile]]="SecondQuartile", 2,
 IF(Table13[[#This Row],[Quartile]]="ThirdQuartile", 3,
 IF(Table13[[#This Row],[Quartile]]="FourthQuartile", 4, ""))))</f>
        <v>1</v>
      </c>
      <c r="F1952" s="15" t="s">
        <v>583</v>
      </c>
      <c r="G1952" s="15" t="str" cm="1">
        <f t="array" ref="G1952">IFERROR(
  INDEX(Table13[Quartile],
    MATCH(1,
      (Table13[[#This Row],[OrgName]]=Table13[OrgName]) *
      (Table13[[#This Row],[Month Number]]-1=Table13[Month Number]),
    0)
  ),
"")</f>
        <v/>
      </c>
      <c r="H1952" s="15" t="str">
        <f>IF(Table13[[#This Row],[Previous Quartile]]="TopQuartile", 1,
 IF(Table13[[#This Row],[Previous Quartile]]="SecondQuartile", 2,
 IF(Table13[[#This Row],[Previous Quartile]]="ThirdQuartile", 3,
 IF(Table13[[#This Row],[Previous Quartile]]="FourthQuartile", 4, ""))))</f>
        <v/>
      </c>
      <c r="I1952" s="15" t="s">
        <v>649</v>
      </c>
      <c r="J1952" s="15" t="s">
        <v>24</v>
      </c>
      <c r="K1952" s="7" t="str">
        <f>VLOOKUP(J1952,Introduction!$B$6:$C$14,2)</f>
        <v>North East and Yorkshire</v>
      </c>
      <c r="L1952" s="17">
        <v>378</v>
      </c>
      <c r="M1952" s="18" t="s">
        <v>573</v>
      </c>
    </row>
    <row r="1953" spans="1:13" ht="19.95" customHeight="1" x14ac:dyDescent="0.25">
      <c r="A1953" s="42">
        <v>45292</v>
      </c>
      <c r="B1953" s="48">
        <f>MONTH(Table13[[#This Row],[YearMonth]])</f>
        <v>1</v>
      </c>
      <c r="C1953" s="15" t="s">
        <v>38</v>
      </c>
      <c r="D1953" s="16" t="s">
        <v>330</v>
      </c>
      <c r="E1953" s="16">
        <f>IF(Table13[[#This Row],[Quartile]]="TopQuartile", 1,
 IF(Table13[[#This Row],[Quartile]]="SecondQuartile", 2,
 IF(Table13[[#This Row],[Quartile]]="ThirdQuartile", 3,
 IF(Table13[[#This Row],[Quartile]]="FourthQuartile", 4, ""))))</f>
        <v>1</v>
      </c>
      <c r="F1953" s="15" t="s">
        <v>575</v>
      </c>
      <c r="G1953" s="15" t="str" cm="1">
        <f t="array" ref="G1953">IFERROR(
  INDEX(Table13[Quartile],
    MATCH(1,
      (Table13[[#This Row],[OrgName]]=Table13[OrgName]) *
      (Table13[[#This Row],[Month Number]]-1=Table13[Month Number]),
    0)
  ),
"")</f>
        <v/>
      </c>
      <c r="H1953" s="15" t="str">
        <f>IF(Table13[[#This Row],[Previous Quartile]]="TopQuartile", 1,
 IF(Table13[[#This Row],[Previous Quartile]]="SecondQuartile", 2,
 IF(Table13[[#This Row],[Previous Quartile]]="ThirdQuartile", 3,
 IF(Table13[[#This Row],[Previous Quartile]]="FourthQuartile", 4, ""))))</f>
        <v/>
      </c>
      <c r="I1953" s="15" t="s">
        <v>649</v>
      </c>
      <c r="J1953" s="15" t="s">
        <v>16</v>
      </c>
      <c r="K1953" s="7" t="str">
        <f>VLOOKUP(J1953,Introduction!$B$6:$C$14,2)</f>
        <v>South East</v>
      </c>
      <c r="L1953" s="17">
        <v>354</v>
      </c>
      <c r="M1953" s="18" t="s">
        <v>573</v>
      </c>
    </row>
    <row r="1954" spans="1:13" ht="19.95" customHeight="1" x14ac:dyDescent="0.25">
      <c r="A1954" s="42">
        <v>45292</v>
      </c>
      <c r="B1954" s="48">
        <f>MONTH(Table13[[#This Row],[YearMonth]])</f>
        <v>1</v>
      </c>
      <c r="C1954" s="15" t="s">
        <v>49</v>
      </c>
      <c r="D1954" s="16" t="s">
        <v>330</v>
      </c>
      <c r="E1954" s="16">
        <f>IF(Table13[[#This Row],[Quartile]]="TopQuartile", 1,
 IF(Table13[[#This Row],[Quartile]]="SecondQuartile", 2,
 IF(Table13[[#This Row],[Quartile]]="ThirdQuartile", 3,
 IF(Table13[[#This Row],[Quartile]]="FourthQuartile", 4, ""))))</f>
        <v>1</v>
      </c>
      <c r="F1954" s="15" t="s">
        <v>577</v>
      </c>
      <c r="G1954" s="15" t="str" cm="1">
        <f t="array" ref="G1954">IFERROR(
  INDEX(Table13[Quartile],
    MATCH(1,
      (Table13[[#This Row],[OrgName]]=Table13[OrgName]) *
      (Table13[[#This Row],[Month Number]]-1=Table13[Month Number]),
    0)
  ),
"")</f>
        <v/>
      </c>
      <c r="H1954" s="15" t="str">
        <f>IF(Table13[[#This Row],[Previous Quartile]]="TopQuartile", 1,
 IF(Table13[[#This Row],[Previous Quartile]]="SecondQuartile", 2,
 IF(Table13[[#This Row],[Previous Quartile]]="ThirdQuartile", 3,
 IF(Table13[[#This Row],[Previous Quartile]]="FourthQuartile", 4, ""))))</f>
        <v/>
      </c>
      <c r="I1954" s="15" t="s">
        <v>649</v>
      </c>
      <c r="J1954" s="15" t="s">
        <v>24</v>
      </c>
      <c r="K1954" s="7" t="str">
        <f>VLOOKUP(J1954,Introduction!$B$6:$C$14,2)</f>
        <v>North East and Yorkshire</v>
      </c>
      <c r="L1954" s="17">
        <v>263</v>
      </c>
      <c r="M1954" s="18" t="s">
        <v>573</v>
      </c>
    </row>
    <row r="1955" spans="1:13" ht="19.95" customHeight="1" x14ac:dyDescent="0.25">
      <c r="A1955" s="42">
        <v>45292</v>
      </c>
      <c r="B1955" s="48">
        <f>MONTH(Table13[[#This Row],[YearMonth]])</f>
        <v>1</v>
      </c>
      <c r="C1955" s="15" t="s">
        <v>36</v>
      </c>
      <c r="D1955" s="16" t="s">
        <v>330</v>
      </c>
      <c r="E1955" s="16">
        <f>IF(Table13[[#This Row],[Quartile]]="TopQuartile", 1,
 IF(Table13[[#This Row],[Quartile]]="SecondQuartile", 2,
 IF(Table13[[#This Row],[Quartile]]="ThirdQuartile", 3,
 IF(Table13[[#This Row],[Quartile]]="FourthQuartile", 4, ""))))</f>
        <v>1</v>
      </c>
      <c r="F1955" s="15" t="s">
        <v>574</v>
      </c>
      <c r="G1955" s="15" t="str" cm="1">
        <f t="array" ref="G1955">IFERROR(
  INDEX(Table13[Quartile],
    MATCH(1,
      (Table13[[#This Row],[OrgName]]=Table13[OrgName]) *
      (Table13[[#This Row],[Month Number]]-1=Table13[Month Number]),
    0)
  ),
"")</f>
        <v/>
      </c>
      <c r="H1955" s="15" t="str">
        <f>IF(Table13[[#This Row],[Previous Quartile]]="TopQuartile", 1,
 IF(Table13[[#This Row],[Previous Quartile]]="SecondQuartile", 2,
 IF(Table13[[#This Row],[Previous Quartile]]="ThirdQuartile", 3,
 IF(Table13[[#This Row],[Previous Quartile]]="FourthQuartile", 4, ""))))</f>
        <v/>
      </c>
      <c r="I1955" s="15" t="s">
        <v>649</v>
      </c>
      <c r="J1955" s="15" t="s">
        <v>18</v>
      </c>
      <c r="K1955" s="7" t="str">
        <f>VLOOKUP(J1955,Introduction!$B$6:$C$14,2)</f>
        <v>Midlands</v>
      </c>
      <c r="L1955" s="17">
        <v>274</v>
      </c>
      <c r="M1955" s="18" t="s">
        <v>573</v>
      </c>
    </row>
    <row r="1956" spans="1:13" ht="19.95" customHeight="1" x14ac:dyDescent="0.25">
      <c r="A1956" s="42">
        <v>45292</v>
      </c>
      <c r="B1956" s="48">
        <f>MONTH(Table13[[#This Row],[YearMonth]])</f>
        <v>1</v>
      </c>
      <c r="C1956" s="15" t="s">
        <v>71</v>
      </c>
      <c r="D1956" s="16" t="s">
        <v>330</v>
      </c>
      <c r="E1956" s="16">
        <f>IF(Table13[[#This Row],[Quartile]]="TopQuartile", 1,
 IF(Table13[[#This Row],[Quartile]]="SecondQuartile", 2,
 IF(Table13[[#This Row],[Quartile]]="ThirdQuartile", 3,
 IF(Table13[[#This Row],[Quartile]]="FourthQuartile", 4, ""))))</f>
        <v>1</v>
      </c>
      <c r="F1956" s="15" t="s">
        <v>582</v>
      </c>
      <c r="G1956" s="15" t="str" cm="1">
        <f t="array" ref="G1956">IFERROR(
  INDEX(Table13[Quartile],
    MATCH(1,
      (Table13[[#This Row],[OrgName]]=Table13[OrgName]) *
      (Table13[[#This Row],[Month Number]]-1=Table13[Month Number]),
    0)
  ),
"")</f>
        <v/>
      </c>
      <c r="H1956" s="15" t="str">
        <f>IF(Table13[[#This Row],[Previous Quartile]]="TopQuartile", 1,
 IF(Table13[[#This Row],[Previous Quartile]]="SecondQuartile", 2,
 IF(Table13[[#This Row],[Previous Quartile]]="ThirdQuartile", 3,
 IF(Table13[[#This Row],[Previous Quartile]]="FourthQuartile", 4, ""))))</f>
        <v/>
      </c>
      <c r="I1956" s="15" t="s">
        <v>649</v>
      </c>
      <c r="J1956" s="15" t="s">
        <v>14</v>
      </c>
      <c r="K1956" s="7" t="str">
        <f>VLOOKUP(J1956,Introduction!$B$6:$C$14,2)</f>
        <v>South West</v>
      </c>
      <c r="L1956" s="17">
        <v>342</v>
      </c>
      <c r="M1956" s="18" t="s">
        <v>573</v>
      </c>
    </row>
    <row r="1957" spans="1:13" ht="19.95" customHeight="1" x14ac:dyDescent="0.25">
      <c r="A1957" s="42">
        <v>45292</v>
      </c>
      <c r="B1957" s="48">
        <f>MONTH(Table13[[#This Row],[YearMonth]])</f>
        <v>1</v>
      </c>
      <c r="C1957" s="15" t="s">
        <v>70</v>
      </c>
      <c r="D1957" s="16" t="s">
        <v>330</v>
      </c>
      <c r="E1957" s="16">
        <f>IF(Table13[[#This Row],[Quartile]]="TopQuartile", 1,
 IF(Table13[[#This Row],[Quartile]]="SecondQuartile", 2,
 IF(Table13[[#This Row],[Quartile]]="ThirdQuartile", 3,
 IF(Table13[[#This Row],[Quartile]]="FourthQuartile", 4, ""))))</f>
        <v>1</v>
      </c>
      <c r="F1957" s="15" t="s">
        <v>581</v>
      </c>
      <c r="G1957" s="15" t="str" cm="1">
        <f t="array" ref="G1957">IFERROR(
  INDEX(Table13[Quartile],
    MATCH(1,
      (Table13[[#This Row],[OrgName]]=Table13[OrgName]) *
      (Table13[[#This Row],[Month Number]]-1=Table13[Month Number]),
    0)
  ),
"")</f>
        <v/>
      </c>
      <c r="H1957" s="15" t="str">
        <f>IF(Table13[[#This Row],[Previous Quartile]]="TopQuartile", 1,
 IF(Table13[[#This Row],[Previous Quartile]]="SecondQuartile", 2,
 IF(Table13[[#This Row],[Previous Quartile]]="ThirdQuartile", 3,
 IF(Table13[[#This Row],[Previous Quartile]]="FourthQuartile", 4, ""))))</f>
        <v/>
      </c>
      <c r="I1957" s="15" t="s">
        <v>649</v>
      </c>
      <c r="J1957" s="15" t="s">
        <v>14</v>
      </c>
      <c r="K1957" s="7" t="str">
        <f>VLOOKUP(J1957,Introduction!$B$6:$C$14,2)</f>
        <v>South West</v>
      </c>
      <c r="L1957" s="17">
        <v>369</v>
      </c>
      <c r="M1957" s="18" t="s">
        <v>573</v>
      </c>
    </row>
    <row r="1958" spans="1:13" ht="19.95" customHeight="1" x14ac:dyDescent="0.25">
      <c r="A1958" s="42">
        <v>45292</v>
      </c>
      <c r="B1958" s="48">
        <f>MONTH(Table13[[#This Row],[YearMonth]])</f>
        <v>1</v>
      </c>
      <c r="C1958" s="15" t="s">
        <v>62</v>
      </c>
      <c r="D1958" s="16" t="s">
        <v>330</v>
      </c>
      <c r="E1958" s="16">
        <f>IF(Table13[[#This Row],[Quartile]]="TopQuartile", 1,
 IF(Table13[[#This Row],[Quartile]]="SecondQuartile", 2,
 IF(Table13[[#This Row],[Quartile]]="ThirdQuartile", 3,
 IF(Table13[[#This Row],[Quartile]]="FourthQuartile", 4, ""))))</f>
        <v>1</v>
      </c>
      <c r="F1958" s="15" t="s">
        <v>579</v>
      </c>
      <c r="G1958" s="15" t="str" cm="1">
        <f t="array" ref="G1958">IFERROR(
  INDEX(Table13[Quartile],
    MATCH(1,
      (Table13[[#This Row],[OrgName]]=Table13[OrgName]) *
      (Table13[[#This Row],[Month Number]]-1=Table13[Month Number]),
    0)
  ),
"")</f>
        <v/>
      </c>
      <c r="H1958" s="15" t="str">
        <f>IF(Table13[[#This Row],[Previous Quartile]]="TopQuartile", 1,
 IF(Table13[[#This Row],[Previous Quartile]]="SecondQuartile", 2,
 IF(Table13[[#This Row],[Previous Quartile]]="ThirdQuartile", 3,
 IF(Table13[[#This Row],[Previous Quartile]]="FourthQuartile", 4, ""))))</f>
        <v/>
      </c>
      <c r="I1958" s="15" t="s">
        <v>649</v>
      </c>
      <c r="J1958" s="15" t="s">
        <v>22</v>
      </c>
      <c r="K1958" s="7" t="str">
        <f>VLOOKUP(J1958,Introduction!$B$6:$C$14,2)</f>
        <v>North West</v>
      </c>
      <c r="L1958" s="17">
        <v>373</v>
      </c>
      <c r="M1958" s="18" t="s">
        <v>573</v>
      </c>
    </row>
    <row r="1959" spans="1:13" ht="19.95" customHeight="1" x14ac:dyDescent="0.25">
      <c r="A1959" s="42">
        <v>45292</v>
      </c>
      <c r="B1959" s="48">
        <f>MONTH(Table13[[#This Row],[YearMonth]])</f>
        <v>1</v>
      </c>
      <c r="C1959" s="15" t="s">
        <v>109</v>
      </c>
      <c r="D1959" s="16" t="s">
        <v>330</v>
      </c>
      <c r="E1959" s="16">
        <f>IF(Table13[[#This Row],[Quartile]]="TopQuartile", 1,
 IF(Table13[[#This Row],[Quartile]]="SecondQuartile", 2,
 IF(Table13[[#This Row],[Quartile]]="ThirdQuartile", 3,
 IF(Table13[[#This Row],[Quartile]]="FourthQuartile", 4, ""))))</f>
        <v>1</v>
      </c>
      <c r="F1959" s="15" t="s">
        <v>589</v>
      </c>
      <c r="G1959" s="15" t="str" cm="1">
        <f t="array" ref="G1959">IFERROR(
  INDEX(Table13[Quartile],
    MATCH(1,
      (Table13[[#This Row],[OrgName]]=Table13[OrgName]) *
      (Table13[[#This Row],[Month Number]]-1=Table13[Month Number]),
    0)
  ),
"")</f>
        <v/>
      </c>
      <c r="H1959" s="15" t="str">
        <f>IF(Table13[[#This Row],[Previous Quartile]]="TopQuartile", 1,
 IF(Table13[[#This Row],[Previous Quartile]]="SecondQuartile", 2,
 IF(Table13[[#This Row],[Previous Quartile]]="ThirdQuartile", 3,
 IF(Table13[[#This Row],[Previous Quartile]]="FourthQuartile", 4, ""))))</f>
        <v/>
      </c>
      <c r="I1959" s="15" t="s">
        <v>649</v>
      </c>
      <c r="J1959" s="15" t="s">
        <v>12</v>
      </c>
      <c r="K1959" s="7" t="str">
        <f>VLOOKUP(J1959,Introduction!$B$6:$C$14,2)</f>
        <v>London</v>
      </c>
      <c r="L1959" s="17">
        <v>333</v>
      </c>
      <c r="M1959" s="18" t="s">
        <v>573</v>
      </c>
    </row>
    <row r="1960" spans="1:13" ht="19.95" customHeight="1" x14ac:dyDescent="0.25">
      <c r="A1960" s="42">
        <v>45292</v>
      </c>
      <c r="B1960" s="48">
        <f>MONTH(Table13[[#This Row],[YearMonth]])</f>
        <v>1</v>
      </c>
      <c r="C1960" s="15" t="s">
        <v>92</v>
      </c>
      <c r="D1960" s="16" t="s">
        <v>330</v>
      </c>
      <c r="E1960" s="16">
        <f>IF(Table13[[#This Row],[Quartile]]="TopQuartile", 1,
 IF(Table13[[#This Row],[Quartile]]="SecondQuartile", 2,
 IF(Table13[[#This Row],[Quartile]]="ThirdQuartile", 3,
 IF(Table13[[#This Row],[Quartile]]="FourthQuartile", 4, ""))))</f>
        <v>1</v>
      </c>
      <c r="F1960" s="15" t="s">
        <v>586</v>
      </c>
      <c r="G1960" s="15" t="str" cm="1">
        <f t="array" ref="G1960">IFERROR(
  INDEX(Table13[Quartile],
    MATCH(1,
      (Table13[[#This Row],[OrgName]]=Table13[OrgName]) *
      (Table13[[#This Row],[Month Number]]-1=Table13[Month Number]),
    0)
  ),
"")</f>
        <v/>
      </c>
      <c r="H1960" s="15" t="str">
        <f>IF(Table13[[#This Row],[Previous Quartile]]="TopQuartile", 1,
 IF(Table13[[#This Row],[Previous Quartile]]="SecondQuartile", 2,
 IF(Table13[[#This Row],[Previous Quartile]]="ThirdQuartile", 3,
 IF(Table13[[#This Row],[Previous Quartile]]="FourthQuartile", 4, ""))))</f>
        <v/>
      </c>
      <c r="I1960" s="15" t="s">
        <v>649</v>
      </c>
      <c r="J1960" s="15" t="s">
        <v>24</v>
      </c>
      <c r="K1960" s="7" t="str">
        <f>VLOOKUP(J1960,Introduction!$B$6:$C$14,2)</f>
        <v>North East and Yorkshire</v>
      </c>
      <c r="L1960" s="17">
        <v>338</v>
      </c>
      <c r="M1960" s="18" t="s">
        <v>573</v>
      </c>
    </row>
    <row r="1961" spans="1:13" ht="19.95" customHeight="1" x14ac:dyDescent="0.25">
      <c r="A1961" s="42">
        <v>45292</v>
      </c>
      <c r="B1961" s="48">
        <f>MONTH(Table13[[#This Row],[YearMonth]])</f>
        <v>1</v>
      </c>
      <c r="C1961" s="15" t="s">
        <v>107</v>
      </c>
      <c r="D1961" s="16" t="s">
        <v>330</v>
      </c>
      <c r="E1961" s="16">
        <f>IF(Table13[[#This Row],[Quartile]]="TopQuartile", 1,
 IF(Table13[[#This Row],[Quartile]]="SecondQuartile", 2,
 IF(Table13[[#This Row],[Quartile]]="ThirdQuartile", 3,
 IF(Table13[[#This Row],[Quartile]]="FourthQuartile", 4, ""))))</f>
        <v>1</v>
      </c>
      <c r="F1961" s="15" t="s">
        <v>588</v>
      </c>
      <c r="G1961" s="15" t="str" cm="1">
        <f t="array" ref="G1961">IFERROR(
  INDEX(Table13[Quartile],
    MATCH(1,
      (Table13[[#This Row],[OrgName]]=Table13[OrgName]) *
      (Table13[[#This Row],[Month Number]]-1=Table13[Month Number]),
    0)
  ),
"")</f>
        <v/>
      </c>
      <c r="H1961" s="15" t="str">
        <f>IF(Table13[[#This Row],[Previous Quartile]]="TopQuartile", 1,
 IF(Table13[[#This Row],[Previous Quartile]]="SecondQuartile", 2,
 IF(Table13[[#This Row],[Previous Quartile]]="ThirdQuartile", 3,
 IF(Table13[[#This Row],[Previous Quartile]]="FourthQuartile", 4, ""))))</f>
        <v/>
      </c>
      <c r="I1961" s="15" t="s">
        <v>649</v>
      </c>
      <c r="J1961" s="15" t="s">
        <v>12</v>
      </c>
      <c r="K1961" s="7" t="str">
        <f>VLOOKUP(J1961,Introduction!$B$6:$C$14,2)</f>
        <v>London</v>
      </c>
      <c r="L1961" s="17">
        <v>294</v>
      </c>
      <c r="M1961" s="18" t="s">
        <v>573</v>
      </c>
    </row>
    <row r="1962" spans="1:13" ht="19.95" customHeight="1" x14ac:dyDescent="0.25">
      <c r="A1962" s="42">
        <v>45292</v>
      </c>
      <c r="B1962" s="48">
        <f>MONTH(Table13[[#This Row],[YearMonth]])</f>
        <v>1</v>
      </c>
      <c r="C1962" s="15" t="s">
        <v>116</v>
      </c>
      <c r="D1962" s="16" t="s">
        <v>330</v>
      </c>
      <c r="E1962" s="16">
        <f>IF(Table13[[#This Row],[Quartile]]="TopQuartile", 1,
 IF(Table13[[#This Row],[Quartile]]="SecondQuartile", 2,
 IF(Table13[[#This Row],[Quartile]]="ThirdQuartile", 3,
 IF(Table13[[#This Row],[Quartile]]="FourthQuartile", 4, ""))))</f>
        <v>1</v>
      </c>
      <c r="F1962" s="15" t="s">
        <v>591</v>
      </c>
      <c r="G1962" s="15" t="str" cm="1">
        <f t="array" ref="G1962">IFERROR(
  INDEX(Table13[Quartile],
    MATCH(1,
      (Table13[[#This Row],[OrgName]]=Table13[OrgName]) *
      (Table13[[#This Row],[Month Number]]-1=Table13[Month Number]),
    0)
  ),
"")</f>
        <v/>
      </c>
      <c r="H1962" s="15" t="str">
        <f>IF(Table13[[#This Row],[Previous Quartile]]="TopQuartile", 1,
 IF(Table13[[#This Row],[Previous Quartile]]="SecondQuartile", 2,
 IF(Table13[[#This Row],[Previous Quartile]]="ThirdQuartile", 3,
 IF(Table13[[#This Row],[Previous Quartile]]="FourthQuartile", 4, ""))))</f>
        <v/>
      </c>
      <c r="I1962" s="15" t="s">
        <v>649</v>
      </c>
      <c r="J1962" s="15" t="s">
        <v>14</v>
      </c>
      <c r="K1962" s="7" t="str">
        <f>VLOOKUP(J1962,Introduction!$B$6:$C$14,2)</f>
        <v>South West</v>
      </c>
      <c r="L1962" s="17">
        <v>152</v>
      </c>
      <c r="M1962" s="18" t="s">
        <v>573</v>
      </c>
    </row>
    <row r="1963" spans="1:13" ht="19.95" customHeight="1" x14ac:dyDescent="0.25">
      <c r="A1963" s="42">
        <v>45292</v>
      </c>
      <c r="B1963" s="48">
        <f>MONTH(Table13[[#This Row],[YearMonth]])</f>
        <v>1</v>
      </c>
      <c r="C1963" s="15" t="s">
        <v>101</v>
      </c>
      <c r="D1963" s="16" t="s">
        <v>338</v>
      </c>
      <c r="E1963" s="16">
        <f>IF(Table13[[#This Row],[Quartile]]="TopQuartile", 1,
 IF(Table13[[#This Row],[Quartile]]="SecondQuartile", 2,
 IF(Table13[[#This Row],[Quartile]]="ThirdQuartile", 3,
 IF(Table13[[#This Row],[Quartile]]="FourthQuartile", 4, ""))))</f>
        <v>2</v>
      </c>
      <c r="F1963" s="15" t="s">
        <v>587</v>
      </c>
      <c r="G1963" s="15" t="str" cm="1">
        <f t="array" ref="G1963">IFERROR(
  INDEX(Table13[Quartile],
    MATCH(1,
      (Table13[[#This Row],[OrgName]]=Table13[OrgName]) *
      (Table13[[#This Row],[Month Number]]-1=Table13[Month Number]),
    0)
  ),
"")</f>
        <v/>
      </c>
      <c r="H1963" s="15" t="str">
        <f>IF(Table13[[#This Row],[Previous Quartile]]="TopQuartile", 1,
 IF(Table13[[#This Row],[Previous Quartile]]="SecondQuartile", 2,
 IF(Table13[[#This Row],[Previous Quartile]]="ThirdQuartile", 3,
 IF(Table13[[#This Row],[Previous Quartile]]="FourthQuartile", 4, ""))))</f>
        <v/>
      </c>
      <c r="I1963" s="15" t="s">
        <v>649</v>
      </c>
      <c r="J1963" s="15" t="s">
        <v>22</v>
      </c>
      <c r="K1963" s="7" t="str">
        <f>VLOOKUP(J1963,Introduction!$B$6:$C$14,2)</f>
        <v>North West</v>
      </c>
      <c r="L1963" s="17">
        <v>350</v>
      </c>
      <c r="M1963" s="18" t="s">
        <v>573</v>
      </c>
    </row>
    <row r="1964" spans="1:13" ht="19.95" customHeight="1" x14ac:dyDescent="0.25">
      <c r="A1964" s="42">
        <v>45292</v>
      </c>
      <c r="B1964" s="48">
        <f>MONTH(Table13[[#This Row],[YearMonth]])</f>
        <v>1</v>
      </c>
      <c r="C1964" s="15" t="s">
        <v>208</v>
      </c>
      <c r="D1964" s="16" t="s">
        <v>338</v>
      </c>
      <c r="E1964" s="16">
        <f>IF(Table13[[#This Row],[Quartile]]="TopQuartile", 1,
 IF(Table13[[#This Row],[Quartile]]="SecondQuartile", 2,
 IF(Table13[[#This Row],[Quartile]]="ThirdQuartile", 3,
 IF(Table13[[#This Row],[Quartile]]="FourthQuartile", 4, ""))))</f>
        <v>2</v>
      </c>
      <c r="F1964" s="15" t="s">
        <v>603</v>
      </c>
      <c r="G1964" s="15" t="str" cm="1">
        <f t="array" ref="G1964">IFERROR(
  INDEX(Table13[Quartile],
    MATCH(1,
      (Table13[[#This Row],[OrgName]]=Table13[OrgName]) *
      (Table13[[#This Row],[Month Number]]-1=Table13[Month Number]),
    0)
  ),
"")</f>
        <v/>
      </c>
      <c r="H1964" s="15" t="str">
        <f>IF(Table13[[#This Row],[Previous Quartile]]="TopQuartile", 1,
 IF(Table13[[#This Row],[Previous Quartile]]="SecondQuartile", 2,
 IF(Table13[[#This Row],[Previous Quartile]]="ThirdQuartile", 3,
 IF(Table13[[#This Row],[Previous Quartile]]="FourthQuartile", 4, ""))))</f>
        <v/>
      </c>
      <c r="I1964" s="15" t="s">
        <v>649</v>
      </c>
      <c r="J1964" s="15" t="s">
        <v>20</v>
      </c>
      <c r="K1964" s="7" t="str">
        <f>VLOOKUP(J1964,Introduction!$B$6:$C$14,2)</f>
        <v>East of England</v>
      </c>
      <c r="L1964" s="17">
        <v>246</v>
      </c>
      <c r="M1964" s="18" t="s">
        <v>573</v>
      </c>
    </row>
    <row r="1965" spans="1:13" ht="19.95" customHeight="1" x14ac:dyDescent="0.25">
      <c r="A1965" s="42">
        <v>45292</v>
      </c>
      <c r="B1965" s="48">
        <f>MONTH(Table13[[#This Row],[YearMonth]])</f>
        <v>1</v>
      </c>
      <c r="C1965" s="15" t="s">
        <v>178</v>
      </c>
      <c r="D1965" s="16" t="s">
        <v>338</v>
      </c>
      <c r="E1965" s="16">
        <f>IF(Table13[[#This Row],[Quartile]]="TopQuartile", 1,
 IF(Table13[[#This Row],[Quartile]]="SecondQuartile", 2,
 IF(Table13[[#This Row],[Quartile]]="ThirdQuartile", 3,
 IF(Table13[[#This Row],[Quartile]]="FourthQuartile", 4, ""))))</f>
        <v>2</v>
      </c>
      <c r="F1965" s="15" t="s">
        <v>599</v>
      </c>
      <c r="G1965" s="15" t="str" cm="1">
        <f t="array" ref="G1965">IFERROR(
  INDEX(Table13[Quartile],
    MATCH(1,
      (Table13[[#This Row],[OrgName]]=Table13[OrgName]) *
      (Table13[[#This Row],[Month Number]]-1=Table13[Month Number]),
    0)
  ),
"")</f>
        <v/>
      </c>
      <c r="H1965" s="15" t="str">
        <f>IF(Table13[[#This Row],[Previous Quartile]]="TopQuartile", 1,
 IF(Table13[[#This Row],[Previous Quartile]]="SecondQuartile", 2,
 IF(Table13[[#This Row],[Previous Quartile]]="ThirdQuartile", 3,
 IF(Table13[[#This Row],[Previous Quartile]]="FourthQuartile", 4, ""))))</f>
        <v/>
      </c>
      <c r="I1965" s="15" t="s">
        <v>649</v>
      </c>
      <c r="J1965" s="15" t="s">
        <v>16</v>
      </c>
      <c r="K1965" s="7" t="str">
        <f>VLOOKUP(J1965,Introduction!$B$6:$C$14,2)</f>
        <v>South East</v>
      </c>
      <c r="L1965" s="17">
        <v>348</v>
      </c>
      <c r="M1965" s="18" t="s">
        <v>573</v>
      </c>
    </row>
    <row r="1966" spans="1:13" ht="19.95" customHeight="1" x14ac:dyDescent="0.25">
      <c r="A1966" s="42">
        <v>45292</v>
      </c>
      <c r="B1966" s="48">
        <f>MONTH(Table13[[#This Row],[YearMonth]])</f>
        <v>1</v>
      </c>
      <c r="C1966" s="15" t="s">
        <v>78</v>
      </c>
      <c r="D1966" s="16" t="s">
        <v>338</v>
      </c>
      <c r="E1966" s="16">
        <f>IF(Table13[[#This Row],[Quartile]]="TopQuartile", 1,
 IF(Table13[[#This Row],[Quartile]]="SecondQuartile", 2,
 IF(Table13[[#This Row],[Quartile]]="ThirdQuartile", 3,
 IF(Table13[[#This Row],[Quartile]]="FourthQuartile", 4, ""))))</f>
        <v>2</v>
      </c>
      <c r="F1966" s="15" t="s">
        <v>585</v>
      </c>
      <c r="G1966" s="15" t="str" cm="1">
        <f t="array" ref="G1966">IFERROR(
  INDEX(Table13[Quartile],
    MATCH(1,
      (Table13[[#This Row],[OrgName]]=Table13[OrgName]) *
      (Table13[[#This Row],[Month Number]]-1=Table13[Month Number]),
    0)
  ),
"")</f>
        <v/>
      </c>
      <c r="H1966" s="15" t="str">
        <f>IF(Table13[[#This Row],[Previous Quartile]]="TopQuartile", 1,
 IF(Table13[[#This Row],[Previous Quartile]]="SecondQuartile", 2,
 IF(Table13[[#This Row],[Previous Quartile]]="ThirdQuartile", 3,
 IF(Table13[[#This Row],[Previous Quartile]]="FourthQuartile", 4, ""))))</f>
        <v/>
      </c>
      <c r="I1966" s="15" t="s">
        <v>649</v>
      </c>
      <c r="J1966" s="15" t="s">
        <v>24</v>
      </c>
      <c r="K1966" s="7" t="str">
        <f>VLOOKUP(J1966,Introduction!$B$6:$C$14,2)</f>
        <v>North East and Yorkshire</v>
      </c>
      <c r="L1966" s="17">
        <v>346</v>
      </c>
      <c r="M1966" s="18" t="s">
        <v>573</v>
      </c>
    </row>
    <row r="1967" spans="1:13" ht="19.95" customHeight="1" x14ac:dyDescent="0.25">
      <c r="A1967" s="42">
        <v>45292</v>
      </c>
      <c r="B1967" s="48">
        <f>MONTH(Table13[[#This Row],[YearMonth]])</f>
        <v>1</v>
      </c>
      <c r="C1967" s="15" t="s">
        <v>213</v>
      </c>
      <c r="D1967" s="16" t="s">
        <v>338</v>
      </c>
      <c r="E1967" s="16">
        <f>IF(Table13[[#This Row],[Quartile]]="TopQuartile", 1,
 IF(Table13[[#This Row],[Quartile]]="SecondQuartile", 2,
 IF(Table13[[#This Row],[Quartile]]="ThirdQuartile", 3,
 IF(Table13[[#This Row],[Quartile]]="FourthQuartile", 4, ""))))</f>
        <v>2</v>
      </c>
      <c r="F1967" s="15" t="s">
        <v>604</v>
      </c>
      <c r="G1967" s="15" t="str" cm="1">
        <f t="array" ref="G1967">IFERROR(
  INDEX(Table13[Quartile],
    MATCH(1,
      (Table13[[#This Row],[OrgName]]=Table13[OrgName]) *
      (Table13[[#This Row],[Month Number]]-1=Table13[Month Number]),
    0)
  ),
"")</f>
        <v/>
      </c>
      <c r="H1967" s="15" t="str">
        <f>IF(Table13[[#This Row],[Previous Quartile]]="TopQuartile", 1,
 IF(Table13[[#This Row],[Previous Quartile]]="SecondQuartile", 2,
 IF(Table13[[#This Row],[Previous Quartile]]="ThirdQuartile", 3,
 IF(Table13[[#This Row],[Previous Quartile]]="FourthQuartile", 4, ""))))</f>
        <v/>
      </c>
      <c r="I1967" s="15" t="s">
        <v>649</v>
      </c>
      <c r="J1967" s="15" t="s">
        <v>12</v>
      </c>
      <c r="K1967" s="7" t="str">
        <f>VLOOKUP(J1967,Introduction!$B$6:$C$14,2)</f>
        <v>London</v>
      </c>
      <c r="L1967" s="17">
        <v>363</v>
      </c>
      <c r="M1967" s="18" t="s">
        <v>573</v>
      </c>
    </row>
    <row r="1968" spans="1:13" ht="19.95" customHeight="1" x14ac:dyDescent="0.25">
      <c r="A1968" s="42">
        <v>45292</v>
      </c>
      <c r="B1968" s="48">
        <f>MONTH(Table13[[#This Row],[YearMonth]])</f>
        <v>1</v>
      </c>
      <c r="C1968" s="15" t="s">
        <v>146</v>
      </c>
      <c r="D1968" s="16" t="s">
        <v>338</v>
      </c>
      <c r="E1968" s="16">
        <f>IF(Table13[[#This Row],[Quartile]]="TopQuartile", 1,
 IF(Table13[[#This Row],[Quartile]]="SecondQuartile", 2,
 IF(Table13[[#This Row],[Quartile]]="ThirdQuartile", 3,
 IF(Table13[[#This Row],[Quartile]]="FourthQuartile", 4, ""))))</f>
        <v>2</v>
      </c>
      <c r="F1968" s="15" t="s">
        <v>595</v>
      </c>
      <c r="G1968" s="15" t="str" cm="1">
        <f t="array" ref="G1968">IFERROR(
  INDEX(Table13[Quartile],
    MATCH(1,
      (Table13[[#This Row],[OrgName]]=Table13[OrgName]) *
      (Table13[[#This Row],[Month Number]]-1=Table13[Month Number]),
    0)
  ),
"")</f>
        <v/>
      </c>
      <c r="H1968" s="15" t="str">
        <f>IF(Table13[[#This Row],[Previous Quartile]]="TopQuartile", 1,
 IF(Table13[[#This Row],[Previous Quartile]]="SecondQuartile", 2,
 IF(Table13[[#This Row],[Previous Quartile]]="ThirdQuartile", 3,
 IF(Table13[[#This Row],[Previous Quartile]]="FourthQuartile", 4, ""))))</f>
        <v/>
      </c>
      <c r="I1968" s="15" t="s">
        <v>649</v>
      </c>
      <c r="J1968" s="15" t="s">
        <v>22</v>
      </c>
      <c r="K1968" s="7" t="str">
        <f>VLOOKUP(J1968,Introduction!$B$6:$C$14,2)</f>
        <v>North West</v>
      </c>
      <c r="L1968" s="17">
        <v>437</v>
      </c>
      <c r="M1968" s="18" t="s">
        <v>573</v>
      </c>
    </row>
    <row r="1969" spans="1:13" ht="19.95" customHeight="1" x14ac:dyDescent="0.25">
      <c r="A1969" s="42">
        <v>45292</v>
      </c>
      <c r="B1969" s="48">
        <f>MONTH(Table13[[#This Row],[YearMonth]])</f>
        <v>1</v>
      </c>
      <c r="C1969" s="15" t="s">
        <v>152</v>
      </c>
      <c r="D1969" s="16" t="s">
        <v>338</v>
      </c>
      <c r="E1969" s="16">
        <f>IF(Table13[[#This Row],[Quartile]]="TopQuartile", 1,
 IF(Table13[[#This Row],[Quartile]]="SecondQuartile", 2,
 IF(Table13[[#This Row],[Quartile]]="ThirdQuartile", 3,
 IF(Table13[[#This Row],[Quartile]]="FourthQuartile", 4, ""))))</f>
        <v>2</v>
      </c>
      <c r="F1969" s="15" t="s">
        <v>596</v>
      </c>
      <c r="G1969" s="15" t="str" cm="1">
        <f t="array" ref="G1969">IFERROR(
  INDEX(Table13[Quartile],
    MATCH(1,
      (Table13[[#This Row],[OrgName]]=Table13[OrgName]) *
      (Table13[[#This Row],[Month Number]]-1=Table13[Month Number]),
    0)
  ),
"")</f>
        <v/>
      </c>
      <c r="H1969" s="15" t="str">
        <f>IF(Table13[[#This Row],[Previous Quartile]]="TopQuartile", 1,
 IF(Table13[[#This Row],[Previous Quartile]]="SecondQuartile", 2,
 IF(Table13[[#This Row],[Previous Quartile]]="ThirdQuartile", 3,
 IF(Table13[[#This Row],[Previous Quartile]]="FourthQuartile", 4, ""))))</f>
        <v/>
      </c>
      <c r="I1969" s="15" t="s">
        <v>649</v>
      </c>
      <c r="J1969" s="15" t="s">
        <v>12</v>
      </c>
      <c r="K1969" s="7" t="str">
        <f>VLOOKUP(J1969,Introduction!$B$6:$C$14,2)</f>
        <v>London</v>
      </c>
      <c r="L1969" s="17">
        <v>222</v>
      </c>
      <c r="M1969" s="18" t="s">
        <v>573</v>
      </c>
    </row>
    <row r="1970" spans="1:13" ht="19.95" customHeight="1" x14ac:dyDescent="0.25">
      <c r="A1970" s="42">
        <v>45292</v>
      </c>
      <c r="B1970" s="48">
        <f>MONTH(Table13[[#This Row],[YearMonth]])</f>
        <v>1</v>
      </c>
      <c r="C1970" s="15" t="s">
        <v>77</v>
      </c>
      <c r="D1970" s="16" t="s">
        <v>338</v>
      </c>
      <c r="E1970" s="16">
        <f>IF(Table13[[#This Row],[Quartile]]="TopQuartile", 1,
 IF(Table13[[#This Row],[Quartile]]="SecondQuartile", 2,
 IF(Table13[[#This Row],[Quartile]]="ThirdQuartile", 3,
 IF(Table13[[#This Row],[Quartile]]="FourthQuartile", 4, ""))))</f>
        <v>2</v>
      </c>
      <c r="F1970" s="15" t="s">
        <v>584</v>
      </c>
      <c r="G1970" s="15" t="str" cm="1">
        <f t="array" ref="G1970">IFERROR(
  INDEX(Table13[Quartile],
    MATCH(1,
      (Table13[[#This Row],[OrgName]]=Table13[OrgName]) *
      (Table13[[#This Row],[Month Number]]-1=Table13[Month Number]),
    0)
  ),
"")</f>
        <v/>
      </c>
      <c r="H1970" s="15" t="str">
        <f>IF(Table13[[#This Row],[Previous Quartile]]="TopQuartile", 1,
 IF(Table13[[#This Row],[Previous Quartile]]="SecondQuartile", 2,
 IF(Table13[[#This Row],[Previous Quartile]]="ThirdQuartile", 3,
 IF(Table13[[#This Row],[Previous Quartile]]="FourthQuartile", 4, ""))))</f>
        <v/>
      </c>
      <c r="I1970" s="15" t="s">
        <v>649</v>
      </c>
      <c r="J1970" s="15" t="s">
        <v>14</v>
      </c>
      <c r="K1970" s="7" t="str">
        <f>VLOOKUP(J1970,Introduction!$B$6:$C$14,2)</f>
        <v>South West</v>
      </c>
      <c r="L1970" s="17">
        <v>327</v>
      </c>
      <c r="M1970" s="18" t="s">
        <v>573</v>
      </c>
    </row>
    <row r="1971" spans="1:13" ht="19.95" customHeight="1" x14ac:dyDescent="0.25">
      <c r="A1971" s="42">
        <v>45292</v>
      </c>
      <c r="B1971" s="48">
        <f>MONTH(Table13[[#This Row],[YearMonth]])</f>
        <v>1</v>
      </c>
      <c r="C1971" s="15" t="s">
        <v>141</v>
      </c>
      <c r="D1971" s="16" t="s">
        <v>338</v>
      </c>
      <c r="E1971" s="16">
        <f>IF(Table13[[#This Row],[Quartile]]="TopQuartile", 1,
 IF(Table13[[#This Row],[Quartile]]="SecondQuartile", 2,
 IF(Table13[[#This Row],[Quartile]]="ThirdQuartile", 3,
 IF(Table13[[#This Row],[Quartile]]="FourthQuartile", 4, ""))))</f>
        <v>2</v>
      </c>
      <c r="F1971" s="15" t="s">
        <v>594</v>
      </c>
      <c r="G1971" s="15" t="str" cm="1">
        <f t="array" ref="G1971">IFERROR(
  INDEX(Table13[Quartile],
    MATCH(1,
      (Table13[[#This Row],[OrgName]]=Table13[OrgName]) *
      (Table13[[#This Row],[Month Number]]-1=Table13[Month Number]),
    0)
  ),
"")</f>
        <v/>
      </c>
      <c r="H1971" s="15" t="str">
        <f>IF(Table13[[#This Row],[Previous Quartile]]="TopQuartile", 1,
 IF(Table13[[#This Row],[Previous Quartile]]="SecondQuartile", 2,
 IF(Table13[[#This Row],[Previous Quartile]]="ThirdQuartile", 3,
 IF(Table13[[#This Row],[Previous Quartile]]="FourthQuartile", 4, ""))))</f>
        <v/>
      </c>
      <c r="I1971" s="15" t="s">
        <v>649</v>
      </c>
      <c r="J1971" s="15" t="s">
        <v>12</v>
      </c>
      <c r="K1971" s="7" t="str">
        <f>VLOOKUP(J1971,Introduction!$B$6:$C$14,2)</f>
        <v>London</v>
      </c>
      <c r="L1971" s="17">
        <v>306</v>
      </c>
      <c r="M1971" s="18" t="s">
        <v>573</v>
      </c>
    </row>
    <row r="1972" spans="1:13" ht="19.95" customHeight="1" x14ac:dyDescent="0.25">
      <c r="A1972" s="42">
        <v>45292</v>
      </c>
      <c r="B1972" s="48">
        <f>MONTH(Table13[[#This Row],[YearMonth]])</f>
        <v>1</v>
      </c>
      <c r="C1972" s="15" t="s">
        <v>172</v>
      </c>
      <c r="D1972" s="16" t="s">
        <v>338</v>
      </c>
      <c r="E1972" s="16">
        <f>IF(Table13[[#This Row],[Quartile]]="TopQuartile", 1,
 IF(Table13[[#This Row],[Quartile]]="SecondQuartile", 2,
 IF(Table13[[#This Row],[Quartile]]="ThirdQuartile", 3,
 IF(Table13[[#This Row],[Quartile]]="FourthQuartile", 4, ""))))</f>
        <v>2</v>
      </c>
      <c r="F1972" s="15" t="s">
        <v>598</v>
      </c>
      <c r="G1972" s="15" t="str" cm="1">
        <f t="array" ref="G1972">IFERROR(
  INDEX(Table13[Quartile],
    MATCH(1,
      (Table13[[#This Row],[OrgName]]=Table13[OrgName]) *
      (Table13[[#This Row],[Month Number]]-1=Table13[Month Number]),
    0)
  ),
"")</f>
        <v/>
      </c>
      <c r="H1972" s="15" t="str">
        <f>IF(Table13[[#This Row],[Previous Quartile]]="TopQuartile", 1,
 IF(Table13[[#This Row],[Previous Quartile]]="SecondQuartile", 2,
 IF(Table13[[#This Row],[Previous Quartile]]="ThirdQuartile", 3,
 IF(Table13[[#This Row],[Previous Quartile]]="FourthQuartile", 4, ""))))</f>
        <v/>
      </c>
      <c r="I1972" s="15" t="s">
        <v>649</v>
      </c>
      <c r="J1972" s="15" t="s">
        <v>18</v>
      </c>
      <c r="K1972" s="7" t="str">
        <f>VLOOKUP(J1972,Introduction!$B$6:$C$14,2)</f>
        <v>Midlands</v>
      </c>
      <c r="L1972" s="17">
        <v>232</v>
      </c>
      <c r="M1972" s="18" t="s">
        <v>573</v>
      </c>
    </row>
    <row r="1973" spans="1:13" ht="19.95" customHeight="1" x14ac:dyDescent="0.25">
      <c r="A1973" s="42">
        <v>45292</v>
      </c>
      <c r="B1973" s="48">
        <f>MONTH(Table13[[#This Row],[YearMonth]])</f>
        <v>1</v>
      </c>
      <c r="C1973" s="15" t="s">
        <v>123</v>
      </c>
      <c r="D1973" s="16" t="s">
        <v>338</v>
      </c>
      <c r="E1973" s="16">
        <f>IF(Table13[[#This Row],[Quartile]]="TopQuartile", 1,
 IF(Table13[[#This Row],[Quartile]]="SecondQuartile", 2,
 IF(Table13[[#This Row],[Quartile]]="ThirdQuartile", 3,
 IF(Table13[[#This Row],[Quartile]]="FourthQuartile", 4, ""))))</f>
        <v>2</v>
      </c>
      <c r="F1973" s="15" t="s">
        <v>593</v>
      </c>
      <c r="G1973" s="15" t="str" cm="1">
        <f t="array" ref="G1973">IFERROR(
  INDEX(Table13[Quartile],
    MATCH(1,
      (Table13[[#This Row],[OrgName]]=Table13[OrgName]) *
      (Table13[[#This Row],[Month Number]]-1=Table13[Month Number]),
    0)
  ),
"")</f>
        <v/>
      </c>
      <c r="H1973" s="15" t="str">
        <f>IF(Table13[[#This Row],[Previous Quartile]]="TopQuartile", 1,
 IF(Table13[[#This Row],[Previous Quartile]]="SecondQuartile", 2,
 IF(Table13[[#This Row],[Previous Quartile]]="ThirdQuartile", 3,
 IF(Table13[[#This Row],[Previous Quartile]]="FourthQuartile", 4, ""))))</f>
        <v/>
      </c>
      <c r="I1973" s="15" t="s">
        <v>649</v>
      </c>
      <c r="J1973" s="15" t="s">
        <v>20</v>
      </c>
      <c r="K1973" s="7" t="str">
        <f>VLOOKUP(J1973,Introduction!$B$6:$C$14,2)</f>
        <v>East of England</v>
      </c>
      <c r="L1973" s="17">
        <v>364</v>
      </c>
      <c r="M1973" s="18" t="s">
        <v>573</v>
      </c>
    </row>
    <row r="1974" spans="1:13" ht="19.95" customHeight="1" x14ac:dyDescent="0.25">
      <c r="A1974" s="42">
        <v>45292</v>
      </c>
      <c r="B1974" s="48">
        <f>MONTH(Table13[[#This Row],[YearMonth]])</f>
        <v>1</v>
      </c>
      <c r="C1974" s="15" t="s">
        <v>182</v>
      </c>
      <c r="D1974" s="16" t="s">
        <v>338</v>
      </c>
      <c r="E1974" s="16">
        <f>IF(Table13[[#This Row],[Quartile]]="TopQuartile", 1,
 IF(Table13[[#This Row],[Quartile]]="SecondQuartile", 2,
 IF(Table13[[#This Row],[Quartile]]="ThirdQuartile", 3,
 IF(Table13[[#This Row],[Quartile]]="FourthQuartile", 4, ""))))</f>
        <v>2</v>
      </c>
      <c r="F1974" s="15" t="s">
        <v>600</v>
      </c>
      <c r="G1974" s="15" t="str" cm="1">
        <f t="array" ref="G1974">IFERROR(
  INDEX(Table13[Quartile],
    MATCH(1,
      (Table13[[#This Row],[OrgName]]=Table13[OrgName]) *
      (Table13[[#This Row],[Month Number]]-1=Table13[Month Number]),
    0)
  ),
"")</f>
        <v/>
      </c>
      <c r="H1974" s="15" t="str">
        <f>IF(Table13[[#This Row],[Previous Quartile]]="TopQuartile", 1,
 IF(Table13[[#This Row],[Previous Quartile]]="SecondQuartile", 2,
 IF(Table13[[#This Row],[Previous Quartile]]="ThirdQuartile", 3,
 IF(Table13[[#This Row],[Previous Quartile]]="FourthQuartile", 4, ""))))</f>
        <v/>
      </c>
      <c r="I1974" s="15" t="s">
        <v>649</v>
      </c>
      <c r="J1974" s="15" t="s">
        <v>18</v>
      </c>
      <c r="K1974" s="7" t="str">
        <f>VLOOKUP(J1974,Introduction!$B$6:$C$14,2)</f>
        <v>Midlands</v>
      </c>
      <c r="L1974" s="17">
        <v>270</v>
      </c>
      <c r="M1974" s="18" t="s">
        <v>573</v>
      </c>
    </row>
    <row r="1975" spans="1:13" ht="19.95" customHeight="1" x14ac:dyDescent="0.25">
      <c r="A1975" s="42">
        <v>45292</v>
      </c>
      <c r="B1975" s="48">
        <f>MONTH(Table13[[#This Row],[YearMonth]])</f>
        <v>1</v>
      </c>
      <c r="C1975" s="15" t="s">
        <v>244</v>
      </c>
      <c r="D1975" s="16" t="s">
        <v>338</v>
      </c>
      <c r="E1975" s="16">
        <f>IF(Table13[[#This Row],[Quartile]]="TopQuartile", 1,
 IF(Table13[[#This Row],[Quartile]]="SecondQuartile", 2,
 IF(Table13[[#This Row],[Quartile]]="ThirdQuartile", 3,
 IF(Table13[[#This Row],[Quartile]]="FourthQuartile", 4, ""))))</f>
        <v>2</v>
      </c>
      <c r="F1975" s="15" t="s">
        <v>606</v>
      </c>
      <c r="G1975" s="15" t="str" cm="1">
        <f t="array" ref="G1975">IFERROR(
  INDEX(Table13[Quartile],
    MATCH(1,
      (Table13[[#This Row],[OrgName]]=Table13[OrgName]) *
      (Table13[[#This Row],[Month Number]]-1=Table13[Month Number]),
    0)
  ),
"")</f>
        <v/>
      </c>
      <c r="H1975" s="15" t="str">
        <f>IF(Table13[[#This Row],[Previous Quartile]]="TopQuartile", 1,
 IF(Table13[[#This Row],[Previous Quartile]]="SecondQuartile", 2,
 IF(Table13[[#This Row],[Previous Quartile]]="ThirdQuartile", 3,
 IF(Table13[[#This Row],[Previous Quartile]]="FourthQuartile", 4, ""))))</f>
        <v/>
      </c>
      <c r="I1975" s="15" t="s">
        <v>649</v>
      </c>
      <c r="J1975" s="15" t="s">
        <v>18</v>
      </c>
      <c r="K1975" s="7" t="str">
        <f>VLOOKUP(J1975,Introduction!$B$6:$C$14,2)</f>
        <v>Midlands</v>
      </c>
      <c r="L1975" s="17">
        <v>313</v>
      </c>
      <c r="M1975" s="18" t="s">
        <v>573</v>
      </c>
    </row>
    <row r="1976" spans="1:13" ht="19.95" customHeight="1" x14ac:dyDescent="0.25">
      <c r="A1976" s="42">
        <v>45292</v>
      </c>
      <c r="B1976" s="48">
        <f>MONTH(Table13[[#This Row],[YearMonth]])</f>
        <v>1</v>
      </c>
      <c r="C1976" s="15" t="s">
        <v>67</v>
      </c>
      <c r="D1976" s="16" t="s">
        <v>338</v>
      </c>
      <c r="E1976" s="16">
        <f>IF(Table13[[#This Row],[Quartile]]="TopQuartile", 1,
 IF(Table13[[#This Row],[Quartile]]="SecondQuartile", 2,
 IF(Table13[[#This Row],[Quartile]]="ThirdQuartile", 3,
 IF(Table13[[#This Row],[Quartile]]="FourthQuartile", 4, ""))))</f>
        <v>2</v>
      </c>
      <c r="F1976" s="15" t="s">
        <v>580</v>
      </c>
      <c r="G1976" s="15" t="str" cm="1">
        <f t="array" ref="G1976">IFERROR(
  INDEX(Table13[Quartile],
    MATCH(1,
      (Table13[[#This Row],[OrgName]]=Table13[OrgName]) *
      (Table13[[#This Row],[Month Number]]-1=Table13[Month Number]),
    0)
  ),
"")</f>
        <v/>
      </c>
      <c r="H1976" s="15" t="str">
        <f>IF(Table13[[#This Row],[Previous Quartile]]="TopQuartile", 1,
 IF(Table13[[#This Row],[Previous Quartile]]="SecondQuartile", 2,
 IF(Table13[[#This Row],[Previous Quartile]]="ThirdQuartile", 3,
 IF(Table13[[#This Row],[Previous Quartile]]="FourthQuartile", 4, ""))))</f>
        <v/>
      </c>
      <c r="I1976" s="15" t="s">
        <v>649</v>
      </c>
      <c r="J1976" s="15" t="s">
        <v>22</v>
      </c>
      <c r="K1976" s="7" t="str">
        <f>VLOOKUP(J1976,Introduction!$B$6:$C$14,2)</f>
        <v>North West</v>
      </c>
      <c r="L1976" s="17">
        <v>311</v>
      </c>
      <c r="M1976" s="18" t="s">
        <v>573</v>
      </c>
    </row>
    <row r="1977" spans="1:13" ht="19.95" customHeight="1" x14ac:dyDescent="0.25">
      <c r="A1977" s="42">
        <v>45292</v>
      </c>
      <c r="B1977" s="48">
        <f>MONTH(Table13[[#This Row],[YearMonth]])</f>
        <v>1</v>
      </c>
      <c r="C1977" s="15" t="s">
        <v>187</v>
      </c>
      <c r="D1977" s="16" t="s">
        <v>341</v>
      </c>
      <c r="E1977" s="16">
        <f>IF(Table13[[#This Row],[Quartile]]="TopQuartile", 1,
 IF(Table13[[#This Row],[Quartile]]="SecondQuartile", 2,
 IF(Table13[[#This Row],[Quartile]]="ThirdQuartile", 3,
 IF(Table13[[#This Row],[Quartile]]="FourthQuartile", 4, ""))))</f>
        <v>3</v>
      </c>
      <c r="F1977" s="15" t="s">
        <v>602</v>
      </c>
      <c r="G1977" s="15" t="str" cm="1">
        <f t="array" ref="G1977">IFERROR(
  INDEX(Table13[Quartile],
    MATCH(1,
      (Table13[[#This Row],[OrgName]]=Table13[OrgName]) *
      (Table13[[#This Row],[Month Number]]-1=Table13[Month Number]),
    0)
  ),
"")</f>
        <v/>
      </c>
      <c r="H1977" s="15" t="str">
        <f>IF(Table13[[#This Row],[Previous Quartile]]="TopQuartile", 1,
 IF(Table13[[#This Row],[Previous Quartile]]="SecondQuartile", 2,
 IF(Table13[[#This Row],[Previous Quartile]]="ThirdQuartile", 3,
 IF(Table13[[#This Row],[Previous Quartile]]="FourthQuartile", 4, ""))))</f>
        <v/>
      </c>
      <c r="I1977" s="15" t="s">
        <v>649</v>
      </c>
      <c r="J1977" s="15" t="s">
        <v>18</v>
      </c>
      <c r="K1977" s="7" t="str">
        <f>VLOOKUP(J1977,Introduction!$B$6:$C$14,2)</f>
        <v>Midlands</v>
      </c>
      <c r="L1977" s="17">
        <v>383</v>
      </c>
      <c r="M1977" s="18" t="s">
        <v>573</v>
      </c>
    </row>
    <row r="1978" spans="1:13" ht="19.95" customHeight="1" x14ac:dyDescent="0.25">
      <c r="A1978" s="42">
        <v>45292</v>
      </c>
      <c r="B1978" s="48">
        <f>MONTH(Table13[[#This Row],[YearMonth]])</f>
        <v>1</v>
      </c>
      <c r="C1978" s="15" t="s">
        <v>58</v>
      </c>
      <c r="D1978" s="16" t="s">
        <v>341</v>
      </c>
      <c r="E1978" s="16">
        <f>IF(Table13[[#This Row],[Quartile]]="TopQuartile", 1,
 IF(Table13[[#This Row],[Quartile]]="SecondQuartile", 2,
 IF(Table13[[#This Row],[Quartile]]="ThirdQuartile", 3,
 IF(Table13[[#This Row],[Quartile]]="FourthQuartile", 4, ""))))</f>
        <v>3</v>
      </c>
      <c r="F1978" s="15" t="s">
        <v>578</v>
      </c>
      <c r="G1978" s="15" t="str" cm="1">
        <f t="array" ref="G1978">IFERROR(
  INDEX(Table13[Quartile],
    MATCH(1,
      (Table13[[#This Row],[OrgName]]=Table13[OrgName]) *
      (Table13[[#This Row],[Month Number]]-1=Table13[Month Number]),
    0)
  ),
"")</f>
        <v/>
      </c>
      <c r="H1978" s="15" t="str">
        <f>IF(Table13[[#This Row],[Previous Quartile]]="TopQuartile", 1,
 IF(Table13[[#This Row],[Previous Quartile]]="SecondQuartile", 2,
 IF(Table13[[#This Row],[Previous Quartile]]="ThirdQuartile", 3,
 IF(Table13[[#This Row],[Previous Quartile]]="FourthQuartile", 4, ""))))</f>
        <v/>
      </c>
      <c r="I1978" s="15" t="s">
        <v>649</v>
      </c>
      <c r="J1978" s="15" t="s">
        <v>24</v>
      </c>
      <c r="K1978" s="7" t="str">
        <f>VLOOKUP(J1978,Introduction!$B$6:$C$14,2)</f>
        <v>North East and Yorkshire</v>
      </c>
      <c r="L1978" s="17">
        <v>376</v>
      </c>
      <c r="M1978" s="18" t="s">
        <v>573</v>
      </c>
    </row>
    <row r="1979" spans="1:13" ht="19.95" customHeight="1" x14ac:dyDescent="0.25">
      <c r="A1979" s="42">
        <v>45292</v>
      </c>
      <c r="B1979" s="48">
        <f>MONTH(Table13[[#This Row],[YearMonth]])</f>
        <v>1</v>
      </c>
      <c r="C1979" s="15" t="s">
        <v>167</v>
      </c>
      <c r="D1979" s="16" t="s">
        <v>341</v>
      </c>
      <c r="E1979" s="16">
        <f>IF(Table13[[#This Row],[Quartile]]="TopQuartile", 1,
 IF(Table13[[#This Row],[Quartile]]="SecondQuartile", 2,
 IF(Table13[[#This Row],[Quartile]]="ThirdQuartile", 3,
 IF(Table13[[#This Row],[Quartile]]="FourthQuartile", 4, ""))))</f>
        <v>3</v>
      </c>
      <c r="F1979" s="15" t="s">
        <v>597</v>
      </c>
      <c r="G1979" s="15" t="str" cm="1">
        <f t="array" ref="G1979">IFERROR(
  INDEX(Table13[Quartile],
    MATCH(1,
      (Table13[[#This Row],[OrgName]]=Table13[OrgName]) *
      (Table13[[#This Row],[Month Number]]-1=Table13[Month Number]),
    0)
  ),
"")</f>
        <v/>
      </c>
      <c r="H1979" s="15" t="str">
        <f>IF(Table13[[#This Row],[Previous Quartile]]="TopQuartile", 1,
 IF(Table13[[#This Row],[Previous Quartile]]="SecondQuartile", 2,
 IF(Table13[[#This Row],[Previous Quartile]]="ThirdQuartile", 3,
 IF(Table13[[#This Row],[Previous Quartile]]="FourthQuartile", 4, ""))))</f>
        <v/>
      </c>
      <c r="I1979" s="15" t="s">
        <v>649</v>
      </c>
      <c r="J1979" s="15" t="s">
        <v>18</v>
      </c>
      <c r="K1979" s="7" t="str">
        <f>VLOOKUP(J1979,Introduction!$B$6:$C$14,2)</f>
        <v>Midlands</v>
      </c>
      <c r="L1979" s="17">
        <v>301</v>
      </c>
      <c r="M1979" s="18" t="s">
        <v>573</v>
      </c>
    </row>
    <row r="1980" spans="1:13" ht="19.95" customHeight="1" x14ac:dyDescent="0.25">
      <c r="A1980" s="42">
        <v>45292</v>
      </c>
      <c r="B1980" s="48">
        <f>MONTH(Table13[[#This Row],[YearMonth]])</f>
        <v>1</v>
      </c>
      <c r="C1980" s="15" t="s">
        <v>240</v>
      </c>
      <c r="D1980" s="16" t="s">
        <v>341</v>
      </c>
      <c r="E1980" s="16">
        <f>IF(Table13[[#This Row],[Quartile]]="TopQuartile", 1,
 IF(Table13[[#This Row],[Quartile]]="SecondQuartile", 2,
 IF(Table13[[#This Row],[Quartile]]="ThirdQuartile", 3,
 IF(Table13[[#This Row],[Quartile]]="FourthQuartile", 4, ""))))</f>
        <v>3</v>
      </c>
      <c r="F1980" s="15" t="s">
        <v>605</v>
      </c>
      <c r="G1980" s="15" t="str" cm="1">
        <f t="array" ref="G1980">IFERROR(
  INDEX(Table13[Quartile],
    MATCH(1,
      (Table13[[#This Row],[OrgName]]=Table13[OrgName]) *
      (Table13[[#This Row],[Month Number]]-1=Table13[Month Number]),
    0)
  ),
"")</f>
        <v/>
      </c>
      <c r="H1980" s="15" t="str">
        <f>IF(Table13[[#This Row],[Previous Quartile]]="TopQuartile", 1,
 IF(Table13[[#This Row],[Previous Quartile]]="SecondQuartile", 2,
 IF(Table13[[#This Row],[Previous Quartile]]="ThirdQuartile", 3,
 IF(Table13[[#This Row],[Previous Quartile]]="FourthQuartile", 4, ""))))</f>
        <v/>
      </c>
      <c r="I1980" s="15" t="s">
        <v>649</v>
      </c>
      <c r="J1980" s="15" t="s">
        <v>12</v>
      </c>
      <c r="K1980" s="7" t="str">
        <f>VLOOKUP(J1980,Introduction!$B$6:$C$14,2)</f>
        <v>London</v>
      </c>
      <c r="L1980" s="17">
        <v>277</v>
      </c>
      <c r="M1980" s="18" t="s">
        <v>573</v>
      </c>
    </row>
    <row r="1981" spans="1:13" ht="19.95" customHeight="1" x14ac:dyDescent="0.25">
      <c r="A1981" s="42">
        <v>45292</v>
      </c>
      <c r="B1981" s="48">
        <f>MONTH(Table13[[#This Row],[YearMonth]])</f>
        <v>1</v>
      </c>
      <c r="C1981" s="15" t="s">
        <v>118</v>
      </c>
      <c r="D1981" s="16" t="s">
        <v>341</v>
      </c>
      <c r="E1981" s="16">
        <f>IF(Table13[[#This Row],[Quartile]]="TopQuartile", 1,
 IF(Table13[[#This Row],[Quartile]]="SecondQuartile", 2,
 IF(Table13[[#This Row],[Quartile]]="ThirdQuartile", 3,
 IF(Table13[[#This Row],[Quartile]]="FourthQuartile", 4, ""))))</f>
        <v>3</v>
      </c>
      <c r="F1981" s="15" t="s">
        <v>592</v>
      </c>
      <c r="G1981" s="15" t="str" cm="1">
        <f t="array" ref="G1981">IFERROR(
  INDEX(Table13[Quartile],
    MATCH(1,
      (Table13[[#This Row],[OrgName]]=Table13[OrgName]) *
      (Table13[[#This Row],[Month Number]]-1=Table13[Month Number]),
    0)
  ),
"")</f>
        <v/>
      </c>
      <c r="H1981" s="15" t="str">
        <f>IF(Table13[[#This Row],[Previous Quartile]]="TopQuartile", 1,
 IF(Table13[[#This Row],[Previous Quartile]]="SecondQuartile", 2,
 IF(Table13[[#This Row],[Previous Quartile]]="ThirdQuartile", 3,
 IF(Table13[[#This Row],[Previous Quartile]]="FourthQuartile", 4, ""))))</f>
        <v/>
      </c>
      <c r="I1981" s="15" t="s">
        <v>649</v>
      </c>
      <c r="J1981" s="15" t="s">
        <v>18</v>
      </c>
      <c r="K1981" s="7" t="str">
        <f>VLOOKUP(J1981,Introduction!$B$6:$C$14,2)</f>
        <v>Midlands</v>
      </c>
      <c r="L1981" s="17">
        <v>186</v>
      </c>
      <c r="M1981" s="18" t="s">
        <v>573</v>
      </c>
    </row>
    <row r="1982" spans="1:13" ht="19.95" customHeight="1" x14ac:dyDescent="0.25">
      <c r="A1982" s="42">
        <v>45292</v>
      </c>
      <c r="B1982" s="48">
        <f>MONTH(Table13[[#This Row],[YearMonth]])</f>
        <v>1</v>
      </c>
      <c r="C1982" s="15" t="s">
        <v>280</v>
      </c>
      <c r="D1982" s="16" t="s">
        <v>341</v>
      </c>
      <c r="E1982" s="16">
        <f>IF(Table13[[#This Row],[Quartile]]="TopQuartile", 1,
 IF(Table13[[#This Row],[Quartile]]="SecondQuartile", 2,
 IF(Table13[[#This Row],[Quartile]]="ThirdQuartile", 3,
 IF(Table13[[#This Row],[Quartile]]="FourthQuartile", 4, ""))))</f>
        <v>3</v>
      </c>
      <c r="F1982" s="15" t="s">
        <v>612</v>
      </c>
      <c r="G1982" s="15" t="str" cm="1">
        <f t="array" ref="G1982">IFERROR(
  INDEX(Table13[Quartile],
    MATCH(1,
      (Table13[[#This Row],[OrgName]]=Table13[OrgName]) *
      (Table13[[#This Row],[Month Number]]-1=Table13[Month Number]),
    0)
  ),
"")</f>
        <v/>
      </c>
      <c r="H1982" s="15" t="str">
        <f>IF(Table13[[#This Row],[Previous Quartile]]="TopQuartile", 1,
 IF(Table13[[#This Row],[Previous Quartile]]="SecondQuartile", 2,
 IF(Table13[[#This Row],[Previous Quartile]]="ThirdQuartile", 3,
 IF(Table13[[#This Row],[Previous Quartile]]="FourthQuartile", 4, ""))))</f>
        <v/>
      </c>
      <c r="I1982" s="15" t="s">
        <v>649</v>
      </c>
      <c r="J1982" s="15" t="s">
        <v>12</v>
      </c>
      <c r="K1982" s="7" t="str">
        <f>VLOOKUP(J1982,Introduction!$B$6:$C$14,2)</f>
        <v>London</v>
      </c>
      <c r="L1982" s="17">
        <v>260</v>
      </c>
      <c r="M1982" s="18" t="s">
        <v>573</v>
      </c>
    </row>
    <row r="1983" spans="1:13" ht="19.95" customHeight="1" x14ac:dyDescent="0.25">
      <c r="A1983" s="42">
        <v>45292</v>
      </c>
      <c r="B1983" s="48">
        <f>MONTH(Table13[[#This Row],[YearMonth]])</f>
        <v>1</v>
      </c>
      <c r="C1983" s="15" t="s">
        <v>186</v>
      </c>
      <c r="D1983" s="16" t="s">
        <v>341</v>
      </c>
      <c r="E1983" s="16">
        <f>IF(Table13[[#This Row],[Quartile]]="TopQuartile", 1,
 IF(Table13[[#This Row],[Quartile]]="SecondQuartile", 2,
 IF(Table13[[#This Row],[Quartile]]="ThirdQuartile", 3,
 IF(Table13[[#This Row],[Quartile]]="FourthQuartile", 4, ""))))</f>
        <v>3</v>
      </c>
      <c r="F1983" s="15" t="s">
        <v>601</v>
      </c>
      <c r="G1983" s="15" t="str" cm="1">
        <f t="array" ref="G1983">IFERROR(
  INDEX(Table13[Quartile],
    MATCH(1,
      (Table13[[#This Row],[OrgName]]=Table13[OrgName]) *
      (Table13[[#This Row],[Month Number]]-1=Table13[Month Number]),
    0)
  ),
"")</f>
        <v/>
      </c>
      <c r="H1983" s="15" t="str">
        <f>IF(Table13[[#This Row],[Previous Quartile]]="TopQuartile", 1,
 IF(Table13[[#This Row],[Previous Quartile]]="SecondQuartile", 2,
 IF(Table13[[#This Row],[Previous Quartile]]="ThirdQuartile", 3,
 IF(Table13[[#This Row],[Previous Quartile]]="FourthQuartile", 4, ""))))</f>
        <v/>
      </c>
      <c r="I1983" s="15" t="s">
        <v>649</v>
      </c>
      <c r="J1983" s="15" t="s">
        <v>16</v>
      </c>
      <c r="K1983" s="7" t="str">
        <f>VLOOKUP(J1983,Introduction!$B$6:$C$14,2)</f>
        <v>South East</v>
      </c>
      <c r="L1983" s="17">
        <v>371</v>
      </c>
      <c r="M1983" s="18" t="s">
        <v>573</v>
      </c>
    </row>
    <row r="1984" spans="1:13" ht="19.95" customHeight="1" x14ac:dyDescent="0.25">
      <c r="A1984" s="42">
        <v>45292</v>
      </c>
      <c r="B1984" s="48">
        <f>MONTH(Table13[[#This Row],[YearMonth]])</f>
        <v>1</v>
      </c>
      <c r="C1984" s="15" t="s">
        <v>114</v>
      </c>
      <c r="D1984" s="16" t="s">
        <v>341</v>
      </c>
      <c r="E1984" s="16">
        <f>IF(Table13[[#This Row],[Quartile]]="TopQuartile", 1,
 IF(Table13[[#This Row],[Quartile]]="SecondQuartile", 2,
 IF(Table13[[#This Row],[Quartile]]="ThirdQuartile", 3,
 IF(Table13[[#This Row],[Quartile]]="FourthQuartile", 4, ""))))</f>
        <v>3</v>
      </c>
      <c r="F1984" s="15" t="s">
        <v>590</v>
      </c>
      <c r="G1984" s="15" t="str" cm="1">
        <f t="array" ref="G1984">IFERROR(
  INDEX(Table13[Quartile],
    MATCH(1,
      (Table13[[#This Row],[OrgName]]=Table13[OrgName]) *
      (Table13[[#This Row],[Month Number]]-1=Table13[Month Number]),
    0)
  ),
"")</f>
        <v/>
      </c>
      <c r="H1984" s="15" t="str">
        <f>IF(Table13[[#This Row],[Previous Quartile]]="TopQuartile", 1,
 IF(Table13[[#This Row],[Previous Quartile]]="SecondQuartile", 2,
 IF(Table13[[#This Row],[Previous Quartile]]="ThirdQuartile", 3,
 IF(Table13[[#This Row],[Previous Quartile]]="FourthQuartile", 4, ""))))</f>
        <v/>
      </c>
      <c r="I1984" s="15" t="s">
        <v>649</v>
      </c>
      <c r="J1984" s="15" t="s">
        <v>20</v>
      </c>
      <c r="K1984" s="7" t="str">
        <f>VLOOKUP(J1984,Introduction!$B$6:$C$14,2)</f>
        <v>East of England</v>
      </c>
      <c r="L1984" s="17">
        <v>367</v>
      </c>
      <c r="M1984" s="18" t="s">
        <v>573</v>
      </c>
    </row>
    <row r="1985" spans="1:13" ht="19.95" customHeight="1" x14ac:dyDescent="0.25">
      <c r="A1985" s="42">
        <v>45292</v>
      </c>
      <c r="B1985" s="48">
        <f>MONTH(Table13[[#This Row],[YearMonth]])</f>
        <v>1</v>
      </c>
      <c r="C1985" s="15" t="s">
        <v>250</v>
      </c>
      <c r="D1985" s="16" t="s">
        <v>350</v>
      </c>
      <c r="E1985" s="16">
        <f>IF(Table13[[#This Row],[Quartile]]="TopQuartile", 1,
 IF(Table13[[#This Row],[Quartile]]="SecondQuartile", 2,
 IF(Table13[[#This Row],[Quartile]]="ThirdQuartile", 3,
 IF(Table13[[#This Row],[Quartile]]="FourthQuartile", 4, ""))))</f>
        <v>4</v>
      </c>
      <c r="F1985" s="15" t="s">
        <v>607</v>
      </c>
      <c r="G1985" s="15" t="str" cm="1">
        <f t="array" ref="G1985">IFERROR(
  INDEX(Table13[Quartile],
    MATCH(1,
      (Table13[[#This Row],[OrgName]]=Table13[OrgName]) *
      (Table13[[#This Row],[Month Number]]-1=Table13[Month Number]),
    0)
  ),
"")</f>
        <v/>
      </c>
      <c r="H1985" s="15" t="str">
        <f>IF(Table13[[#This Row],[Previous Quartile]]="TopQuartile", 1,
 IF(Table13[[#This Row],[Previous Quartile]]="SecondQuartile", 2,
 IF(Table13[[#This Row],[Previous Quartile]]="ThirdQuartile", 3,
 IF(Table13[[#This Row],[Previous Quartile]]="FourthQuartile", 4, ""))))</f>
        <v/>
      </c>
      <c r="I1985" s="15" t="s">
        <v>649</v>
      </c>
      <c r="J1985" s="15" t="s">
        <v>16</v>
      </c>
      <c r="K1985" s="7" t="str">
        <f>VLOOKUP(J1985,Introduction!$B$6:$C$14,2)</f>
        <v>South East</v>
      </c>
      <c r="L1985" s="17">
        <v>380</v>
      </c>
      <c r="M1985" s="18" t="s">
        <v>573</v>
      </c>
    </row>
    <row r="1986" spans="1:13" ht="19.95" customHeight="1" x14ac:dyDescent="0.25">
      <c r="A1986" s="42">
        <v>45292</v>
      </c>
      <c r="B1986" s="48">
        <f>MONTH(Table13[[#This Row],[YearMonth]])</f>
        <v>1</v>
      </c>
      <c r="C1986" s="15" t="s">
        <v>268</v>
      </c>
      <c r="D1986" s="16" t="s">
        <v>350</v>
      </c>
      <c r="E1986" s="16">
        <f>IF(Table13[[#This Row],[Quartile]]="TopQuartile", 1,
 IF(Table13[[#This Row],[Quartile]]="SecondQuartile", 2,
 IF(Table13[[#This Row],[Quartile]]="ThirdQuartile", 3,
 IF(Table13[[#This Row],[Quartile]]="FourthQuartile", 4, ""))))</f>
        <v>4</v>
      </c>
      <c r="F1986" s="15" t="s">
        <v>610</v>
      </c>
      <c r="G1986" s="15" t="str" cm="1">
        <f t="array" ref="G1986">IFERROR(
  INDEX(Table13[Quartile],
    MATCH(1,
      (Table13[[#This Row],[OrgName]]=Table13[OrgName]) *
      (Table13[[#This Row],[Month Number]]-1=Table13[Month Number]),
    0)
  ),
"")</f>
        <v/>
      </c>
      <c r="H1986" s="15" t="str">
        <f>IF(Table13[[#This Row],[Previous Quartile]]="TopQuartile", 1,
 IF(Table13[[#This Row],[Previous Quartile]]="SecondQuartile", 2,
 IF(Table13[[#This Row],[Previous Quartile]]="ThirdQuartile", 3,
 IF(Table13[[#This Row],[Previous Quartile]]="FourthQuartile", 4, ""))))</f>
        <v/>
      </c>
      <c r="I1986" s="15" t="s">
        <v>649</v>
      </c>
      <c r="J1986" s="15" t="s">
        <v>16</v>
      </c>
      <c r="K1986" s="7" t="str">
        <f>VLOOKUP(J1986,Introduction!$B$6:$C$14,2)</f>
        <v>South East</v>
      </c>
      <c r="L1986" s="17">
        <v>325</v>
      </c>
      <c r="M1986" s="18" t="s">
        <v>573</v>
      </c>
    </row>
    <row r="1987" spans="1:13" ht="19.95" customHeight="1" x14ac:dyDescent="0.25">
      <c r="A1987" s="42">
        <v>45292</v>
      </c>
      <c r="B1987" s="48">
        <f>MONTH(Table13[[#This Row],[YearMonth]])</f>
        <v>1</v>
      </c>
      <c r="C1987" s="15" t="s">
        <v>271</v>
      </c>
      <c r="D1987" s="16" t="s">
        <v>350</v>
      </c>
      <c r="E1987" s="16">
        <f>IF(Table13[[#This Row],[Quartile]]="TopQuartile", 1,
 IF(Table13[[#This Row],[Quartile]]="SecondQuartile", 2,
 IF(Table13[[#This Row],[Quartile]]="ThirdQuartile", 3,
 IF(Table13[[#This Row],[Quartile]]="FourthQuartile", 4, ""))))</f>
        <v>4</v>
      </c>
      <c r="F1987" s="15" t="s">
        <v>611</v>
      </c>
      <c r="G1987" s="15" t="str" cm="1">
        <f t="array" ref="G1987">IFERROR(
  INDEX(Table13[Quartile],
    MATCH(1,
      (Table13[[#This Row],[OrgName]]=Table13[OrgName]) *
      (Table13[[#This Row],[Month Number]]-1=Table13[Month Number]),
    0)
  ),
"")</f>
        <v/>
      </c>
      <c r="H1987" s="15" t="str">
        <f>IF(Table13[[#This Row],[Previous Quartile]]="TopQuartile", 1,
 IF(Table13[[#This Row],[Previous Quartile]]="SecondQuartile", 2,
 IF(Table13[[#This Row],[Previous Quartile]]="ThirdQuartile", 3,
 IF(Table13[[#This Row],[Previous Quartile]]="FourthQuartile", 4, ""))))</f>
        <v/>
      </c>
      <c r="I1987" s="15" t="s">
        <v>649</v>
      </c>
      <c r="J1987" s="15" t="s">
        <v>12</v>
      </c>
      <c r="K1987" s="7" t="str">
        <f>VLOOKUP(J1987,Introduction!$B$6:$C$14,2)</f>
        <v>London</v>
      </c>
      <c r="L1987" s="17">
        <v>334</v>
      </c>
      <c r="M1987" s="18" t="s">
        <v>573</v>
      </c>
    </row>
    <row r="1988" spans="1:13" ht="19.95" customHeight="1" x14ac:dyDescent="0.25">
      <c r="A1988" s="42">
        <v>45292</v>
      </c>
      <c r="B1988" s="48">
        <f>MONTH(Table13[[#This Row],[YearMonth]])</f>
        <v>1</v>
      </c>
      <c r="C1988" s="15" t="s">
        <v>264</v>
      </c>
      <c r="D1988" s="16" t="s">
        <v>350</v>
      </c>
      <c r="E1988" s="16">
        <f>IF(Table13[[#This Row],[Quartile]]="TopQuartile", 1,
 IF(Table13[[#This Row],[Quartile]]="SecondQuartile", 2,
 IF(Table13[[#This Row],[Quartile]]="ThirdQuartile", 3,
 IF(Table13[[#This Row],[Quartile]]="FourthQuartile", 4, ""))))</f>
        <v>4</v>
      </c>
      <c r="F1988" s="15" t="s">
        <v>609</v>
      </c>
      <c r="G1988" s="15" t="str" cm="1">
        <f t="array" ref="G1988">IFERROR(
  INDEX(Table13[Quartile],
    MATCH(1,
      (Table13[[#This Row],[OrgName]]=Table13[OrgName]) *
      (Table13[[#This Row],[Month Number]]-1=Table13[Month Number]),
    0)
  ),
"")</f>
        <v/>
      </c>
      <c r="H1988" s="15" t="str">
        <f>IF(Table13[[#This Row],[Previous Quartile]]="TopQuartile", 1,
 IF(Table13[[#This Row],[Previous Quartile]]="SecondQuartile", 2,
 IF(Table13[[#This Row],[Previous Quartile]]="ThirdQuartile", 3,
 IF(Table13[[#This Row],[Previous Quartile]]="FourthQuartile", 4, ""))))</f>
        <v/>
      </c>
      <c r="I1988" s="15" t="s">
        <v>649</v>
      </c>
      <c r="J1988" s="15" t="s">
        <v>16</v>
      </c>
      <c r="K1988" s="7" t="str">
        <f>VLOOKUP(J1988,Introduction!$B$6:$C$14,2)</f>
        <v>South East</v>
      </c>
      <c r="L1988" s="17">
        <v>267</v>
      </c>
      <c r="M1988" s="18" t="s">
        <v>573</v>
      </c>
    </row>
    <row r="1989" spans="1:13" ht="19.95" customHeight="1" x14ac:dyDescent="0.25">
      <c r="A1989" s="42">
        <v>45292</v>
      </c>
      <c r="B1989" s="48">
        <f>MONTH(Table13[[#This Row],[YearMonth]])</f>
        <v>1</v>
      </c>
      <c r="C1989" s="15" t="s">
        <v>286</v>
      </c>
      <c r="D1989" s="16" t="s">
        <v>350</v>
      </c>
      <c r="E1989" s="16">
        <f>IF(Table13[[#This Row],[Quartile]]="TopQuartile", 1,
 IF(Table13[[#This Row],[Quartile]]="SecondQuartile", 2,
 IF(Table13[[#This Row],[Quartile]]="ThirdQuartile", 3,
 IF(Table13[[#This Row],[Quartile]]="FourthQuartile", 4, ""))))</f>
        <v>4</v>
      </c>
      <c r="F1989" s="15" t="s">
        <v>613</v>
      </c>
      <c r="G1989" s="15" t="str" cm="1">
        <f t="array" ref="G1989">IFERROR(
  INDEX(Table13[Quartile],
    MATCH(1,
      (Table13[[#This Row],[OrgName]]=Table13[OrgName]) *
      (Table13[[#This Row],[Month Number]]-1=Table13[Month Number]),
    0)
  ),
"")</f>
        <v/>
      </c>
      <c r="H1989" s="15" t="str">
        <f>IF(Table13[[#This Row],[Previous Quartile]]="TopQuartile", 1,
 IF(Table13[[#This Row],[Previous Quartile]]="SecondQuartile", 2,
 IF(Table13[[#This Row],[Previous Quartile]]="ThirdQuartile", 3,
 IF(Table13[[#This Row],[Previous Quartile]]="FourthQuartile", 4, ""))))</f>
        <v/>
      </c>
      <c r="I1989" s="15" t="s">
        <v>649</v>
      </c>
      <c r="J1989" s="15" t="s">
        <v>12</v>
      </c>
      <c r="K1989" s="7" t="str">
        <f>VLOOKUP(J1989,Introduction!$B$6:$C$14,2)</f>
        <v>London</v>
      </c>
      <c r="L1989" s="17">
        <v>395</v>
      </c>
      <c r="M1989" s="18" t="s">
        <v>573</v>
      </c>
    </row>
    <row r="1990" spans="1:13" ht="19.95" customHeight="1" x14ac:dyDescent="0.25">
      <c r="A1990" s="42">
        <v>45292</v>
      </c>
      <c r="B1990" s="48">
        <f>MONTH(Table13[[#This Row],[YearMonth]])</f>
        <v>1</v>
      </c>
      <c r="C1990" s="15" t="s">
        <v>255</v>
      </c>
      <c r="D1990" s="16" t="s">
        <v>350</v>
      </c>
      <c r="E1990" s="16">
        <f>IF(Table13[[#This Row],[Quartile]]="TopQuartile", 1,
 IF(Table13[[#This Row],[Quartile]]="SecondQuartile", 2,
 IF(Table13[[#This Row],[Quartile]]="ThirdQuartile", 3,
 IF(Table13[[#This Row],[Quartile]]="FourthQuartile", 4, ""))))</f>
        <v>4</v>
      </c>
      <c r="F1990" s="15" t="s">
        <v>608</v>
      </c>
      <c r="G1990" s="15" t="str" cm="1">
        <f t="array" ref="G1990">IFERROR(
  INDEX(Table13[Quartile],
    MATCH(1,
      (Table13[[#This Row],[OrgName]]=Table13[OrgName]) *
      (Table13[[#This Row],[Month Number]]-1=Table13[Month Number]),
    0)
  ),
"")</f>
        <v/>
      </c>
      <c r="H1990" s="15" t="str">
        <f>IF(Table13[[#This Row],[Previous Quartile]]="TopQuartile", 1,
 IF(Table13[[#This Row],[Previous Quartile]]="SecondQuartile", 2,
 IF(Table13[[#This Row],[Previous Quartile]]="ThirdQuartile", 3,
 IF(Table13[[#This Row],[Previous Quartile]]="FourthQuartile", 4, ""))))</f>
        <v/>
      </c>
      <c r="I1990" s="15" t="s">
        <v>649</v>
      </c>
      <c r="J1990" s="15" t="s">
        <v>20</v>
      </c>
      <c r="K1990" s="7" t="str">
        <f>VLOOKUP(J1990,Introduction!$B$6:$C$14,2)</f>
        <v>East of England</v>
      </c>
      <c r="L1990" s="17">
        <v>310</v>
      </c>
      <c r="M1990" s="18" t="s">
        <v>573</v>
      </c>
    </row>
    <row r="1991" spans="1:13" ht="19.95" customHeight="1" x14ac:dyDescent="0.25">
      <c r="A1991" s="42">
        <v>45292</v>
      </c>
      <c r="B1991" s="48">
        <f>MONTH(Table13[[#This Row],[YearMonth]])</f>
        <v>1</v>
      </c>
      <c r="C1991" s="15" t="s">
        <v>289</v>
      </c>
      <c r="D1991" s="16" t="s">
        <v>350</v>
      </c>
      <c r="E1991" s="16">
        <f>IF(Table13[[#This Row],[Quartile]]="TopQuartile", 1,
 IF(Table13[[#This Row],[Quartile]]="SecondQuartile", 2,
 IF(Table13[[#This Row],[Quartile]]="ThirdQuartile", 3,
 IF(Table13[[#This Row],[Quartile]]="FourthQuartile", 4, ""))))</f>
        <v>4</v>
      </c>
      <c r="F1991" s="15" t="s">
        <v>614</v>
      </c>
      <c r="G1991" s="15" t="str" cm="1">
        <f t="array" ref="G1991">IFERROR(
  INDEX(Table13[Quartile],
    MATCH(1,
      (Table13[[#This Row],[OrgName]]=Table13[OrgName]) *
      (Table13[[#This Row],[Month Number]]-1=Table13[Month Number]),
    0)
  ),
"")</f>
        <v/>
      </c>
      <c r="H1991" s="15" t="str">
        <f>IF(Table13[[#This Row],[Previous Quartile]]="TopQuartile", 1,
 IF(Table13[[#This Row],[Previous Quartile]]="SecondQuartile", 2,
 IF(Table13[[#This Row],[Previous Quartile]]="ThirdQuartile", 3,
 IF(Table13[[#This Row],[Previous Quartile]]="FourthQuartile", 4, ""))))</f>
        <v/>
      </c>
      <c r="I1991" s="15" t="s">
        <v>649</v>
      </c>
      <c r="J1991" s="15" t="s">
        <v>18</v>
      </c>
      <c r="K1991" s="7" t="str">
        <f>VLOOKUP(J1991,Introduction!$B$6:$C$14,2)</f>
        <v>Midlands</v>
      </c>
      <c r="L1991" s="17">
        <v>285</v>
      </c>
      <c r="M1991" s="18" t="s">
        <v>573</v>
      </c>
    </row>
    <row r="1992" spans="1:13" ht="19.95" customHeight="1" x14ac:dyDescent="0.25">
      <c r="A1992" s="42">
        <v>45292</v>
      </c>
      <c r="B1992" s="48">
        <f>MONTH(Table13[[#This Row],[YearMonth]])</f>
        <v>1</v>
      </c>
      <c r="C1992" s="15" t="s">
        <v>293</v>
      </c>
      <c r="D1992" s="16" t="s">
        <v>350</v>
      </c>
      <c r="E1992" s="16">
        <f>IF(Table13[[#This Row],[Quartile]]="TopQuartile", 1,
 IF(Table13[[#This Row],[Quartile]]="SecondQuartile", 2,
 IF(Table13[[#This Row],[Quartile]]="ThirdQuartile", 3,
 IF(Table13[[#This Row],[Quartile]]="FourthQuartile", 4, ""))))</f>
        <v>4</v>
      </c>
      <c r="F1992" s="15" t="s">
        <v>615</v>
      </c>
      <c r="G1992" s="15" t="str" cm="1">
        <f t="array" ref="G1992">IFERROR(
  INDEX(Table13[Quartile],
    MATCH(1,
      (Table13[[#This Row],[OrgName]]=Table13[OrgName]) *
      (Table13[[#This Row],[Month Number]]-1=Table13[Month Number]),
    0)
  ),
"")</f>
        <v/>
      </c>
      <c r="H1992" s="15" t="str">
        <f>IF(Table13[[#This Row],[Previous Quartile]]="TopQuartile", 1,
 IF(Table13[[#This Row],[Previous Quartile]]="SecondQuartile", 2,
 IF(Table13[[#This Row],[Previous Quartile]]="ThirdQuartile", 3,
 IF(Table13[[#This Row],[Previous Quartile]]="FourthQuartile", 4, ""))))</f>
        <v/>
      </c>
      <c r="I1992" s="15" t="s">
        <v>649</v>
      </c>
      <c r="J1992" s="15" t="s">
        <v>22</v>
      </c>
      <c r="K1992" s="7" t="str">
        <f>VLOOKUP(J1992,Introduction!$B$6:$C$14,2)</f>
        <v>North West</v>
      </c>
      <c r="L1992" s="17">
        <v>351</v>
      </c>
      <c r="M1992" s="18" t="s">
        <v>573</v>
      </c>
    </row>
    <row r="1993" spans="1:13" ht="19.95" customHeight="1" x14ac:dyDescent="0.25">
      <c r="A1993" s="42">
        <v>45292</v>
      </c>
      <c r="B1993" s="48">
        <f>MONTH(Table13[[#This Row],[YearMonth]])</f>
        <v>1</v>
      </c>
      <c r="C1993" s="15" t="s">
        <v>295</v>
      </c>
      <c r="D1993" s="16" t="s">
        <v>350</v>
      </c>
      <c r="E1993" s="16">
        <f>IF(Table13[[#This Row],[Quartile]]="TopQuartile", 1,
 IF(Table13[[#This Row],[Quartile]]="SecondQuartile", 2,
 IF(Table13[[#This Row],[Quartile]]="ThirdQuartile", 3,
 IF(Table13[[#This Row],[Quartile]]="FourthQuartile", 4, ""))))</f>
        <v>4</v>
      </c>
      <c r="F1993" s="15" t="s">
        <v>616</v>
      </c>
      <c r="G1993" s="15" t="str" cm="1">
        <f t="array" ref="G1993">IFERROR(
  INDEX(Table13[Quartile],
    MATCH(1,
      (Table13[[#This Row],[OrgName]]=Table13[OrgName]) *
      (Table13[[#This Row],[Month Number]]-1=Table13[Month Number]),
    0)
  ),
"")</f>
        <v/>
      </c>
      <c r="H1993" s="15" t="str">
        <f>IF(Table13[[#This Row],[Previous Quartile]]="TopQuartile", 1,
 IF(Table13[[#This Row],[Previous Quartile]]="SecondQuartile", 2,
 IF(Table13[[#This Row],[Previous Quartile]]="ThirdQuartile", 3,
 IF(Table13[[#This Row],[Previous Quartile]]="FourthQuartile", 4, ""))))</f>
        <v/>
      </c>
      <c r="I1993" s="15" t="s">
        <v>649</v>
      </c>
      <c r="J1993" s="15" t="s">
        <v>18</v>
      </c>
      <c r="K1993" s="7" t="str">
        <f>VLOOKUP(J1993,Introduction!$B$6:$C$14,2)</f>
        <v>Midlands</v>
      </c>
      <c r="L1993" s="17">
        <v>444</v>
      </c>
      <c r="M1993" s="18" t="s">
        <v>573</v>
      </c>
    </row>
    <row r="1994" spans="1:13" ht="19.95" customHeight="1" x14ac:dyDescent="0.25">
      <c r="A1994" s="42">
        <v>45292</v>
      </c>
      <c r="B1994" s="48">
        <f>MONTH(Table13[[#This Row],[YearMonth]])</f>
        <v>1</v>
      </c>
      <c r="C1994" s="15" t="s">
        <v>306</v>
      </c>
      <c r="D1994" s="16" t="s">
        <v>350</v>
      </c>
      <c r="E1994" s="16">
        <f>IF(Table13[[#This Row],[Quartile]]="TopQuartile", 1,
 IF(Table13[[#This Row],[Quartile]]="SecondQuartile", 2,
 IF(Table13[[#This Row],[Quartile]]="ThirdQuartile", 3,
 IF(Table13[[#This Row],[Quartile]]="FourthQuartile", 4, ""))))</f>
        <v>4</v>
      </c>
      <c r="F1994" s="15" t="s">
        <v>617</v>
      </c>
      <c r="G1994" s="15" t="str" cm="1">
        <f t="array" ref="G1994">IFERROR(
  INDEX(Table13[Quartile],
    MATCH(1,
      (Table13[[#This Row],[OrgName]]=Table13[OrgName]) *
      (Table13[[#This Row],[Month Number]]-1=Table13[Month Number]),
    0)
  ),
"")</f>
        <v/>
      </c>
      <c r="H1994" s="15" t="str">
        <f>IF(Table13[[#This Row],[Previous Quartile]]="TopQuartile", 1,
 IF(Table13[[#This Row],[Previous Quartile]]="SecondQuartile", 2,
 IF(Table13[[#This Row],[Previous Quartile]]="ThirdQuartile", 3,
 IF(Table13[[#This Row],[Previous Quartile]]="FourthQuartile", 4, ""))))</f>
        <v/>
      </c>
      <c r="I1994" s="15" t="s">
        <v>649</v>
      </c>
      <c r="J1994" s="15" t="s">
        <v>18</v>
      </c>
      <c r="K1994" s="7" t="str">
        <f>VLOOKUP(J1994,Introduction!$B$6:$C$14,2)</f>
        <v>Midlands</v>
      </c>
      <c r="L1994" s="17">
        <v>436</v>
      </c>
      <c r="M1994" s="18" t="s">
        <v>573</v>
      </c>
    </row>
    <row r="1995" spans="1:13" ht="19.95" customHeight="1" x14ac:dyDescent="0.25">
      <c r="A1995" s="42">
        <v>45292</v>
      </c>
      <c r="B1995" s="48">
        <f>MONTH(Table13[[#This Row],[YearMonth]])</f>
        <v>1</v>
      </c>
      <c r="C1995" s="15" t="s">
        <v>120</v>
      </c>
      <c r="D1995" s="16" t="s">
        <v>330</v>
      </c>
      <c r="E1995" s="16">
        <f>IF(Table13[[#This Row],[Quartile]]="TopQuartile", 1,
 IF(Table13[[#This Row],[Quartile]]="SecondQuartile", 2,
 IF(Table13[[#This Row],[Quartile]]="ThirdQuartile", 3,
 IF(Table13[[#This Row],[Quartile]]="FourthQuartile", 4, ""))))</f>
        <v>1</v>
      </c>
      <c r="F1995" s="15" t="s">
        <v>619</v>
      </c>
      <c r="G1995" s="15" t="str" cm="1">
        <f t="array" ref="G1995">IFERROR(
  INDEX(Table13[Quartile],
    MATCH(1,
      (Table13[[#This Row],[OrgName]]=Table13[OrgName]) *
      (Table13[[#This Row],[Month Number]]-1=Table13[Month Number]),
    0)
  ),
"")</f>
        <v/>
      </c>
      <c r="H1995" s="15" t="str">
        <f>IF(Table13[[#This Row],[Previous Quartile]]="TopQuartile", 1,
 IF(Table13[[#This Row],[Previous Quartile]]="SecondQuartile", 2,
 IF(Table13[[#This Row],[Previous Quartile]]="ThirdQuartile", 3,
 IF(Table13[[#This Row],[Previous Quartile]]="FourthQuartile", 4, ""))))</f>
        <v/>
      </c>
      <c r="I1995" s="15" t="s">
        <v>649</v>
      </c>
      <c r="J1995" s="15" t="s">
        <v>10</v>
      </c>
      <c r="K1995" s="7" t="str">
        <f>VLOOKUP(J1995,Introduction!$B$6:$C$14,2)</f>
        <v>Special Health Authorities and other statutory bodies</v>
      </c>
      <c r="L1995" s="17">
        <v>980</v>
      </c>
      <c r="M1995" s="18" t="s">
        <v>33</v>
      </c>
    </row>
    <row r="1996" spans="1:13" ht="19.95" customHeight="1" x14ac:dyDescent="0.25">
      <c r="A1996" s="42">
        <v>45292</v>
      </c>
      <c r="B1996" s="48">
        <f>MONTH(Table13[[#This Row],[YearMonth]])</f>
        <v>1</v>
      </c>
      <c r="C1996" s="15" t="s">
        <v>32</v>
      </c>
      <c r="D1996" s="16" t="s">
        <v>338</v>
      </c>
      <c r="E1996" s="16">
        <f>IF(Table13[[#This Row],[Quartile]]="TopQuartile", 1,
 IF(Table13[[#This Row],[Quartile]]="SecondQuartile", 2,
 IF(Table13[[#This Row],[Quartile]]="ThirdQuartile", 3,
 IF(Table13[[#This Row],[Quartile]]="FourthQuartile", 4, ""))))</f>
        <v>2</v>
      </c>
      <c r="F1996" s="15" t="s">
        <v>618</v>
      </c>
      <c r="G1996" s="15" t="str" cm="1">
        <f t="array" ref="G1996">IFERROR(
  INDEX(Table13[Quartile],
    MATCH(1,
      (Table13[[#This Row],[OrgName]]=Table13[OrgName]) *
      (Table13[[#This Row],[Month Number]]-1=Table13[Month Number]),
    0)
  ),
"")</f>
        <v/>
      </c>
      <c r="H1996" s="15" t="str">
        <f>IF(Table13[[#This Row],[Previous Quartile]]="TopQuartile", 1,
 IF(Table13[[#This Row],[Previous Quartile]]="SecondQuartile", 2,
 IF(Table13[[#This Row],[Previous Quartile]]="ThirdQuartile", 3,
 IF(Table13[[#This Row],[Previous Quartile]]="FourthQuartile", 4, ""))))</f>
        <v/>
      </c>
      <c r="I1996" s="15" t="s">
        <v>649</v>
      </c>
      <c r="J1996" s="15" t="s">
        <v>10</v>
      </c>
      <c r="K1996" s="7" t="str">
        <f>VLOOKUP(J1996,Introduction!$B$6:$C$14,2)</f>
        <v>Special Health Authorities and other statutory bodies</v>
      </c>
      <c r="L1996" s="17">
        <v>907</v>
      </c>
      <c r="M1996" s="18" t="s">
        <v>33</v>
      </c>
    </row>
    <row r="1997" spans="1:13" ht="19.95" customHeight="1" x14ac:dyDescent="0.25">
      <c r="A1997" s="42">
        <v>45292</v>
      </c>
      <c r="B1997" s="48">
        <f>MONTH(Table13[[#This Row],[YearMonth]])</f>
        <v>1</v>
      </c>
      <c r="C1997" s="15" t="s">
        <v>176</v>
      </c>
      <c r="D1997" s="16" t="s">
        <v>338</v>
      </c>
      <c r="E1997" s="16">
        <f>IF(Table13[[#This Row],[Quartile]]="TopQuartile", 1,
 IF(Table13[[#This Row],[Quartile]]="SecondQuartile", 2,
 IF(Table13[[#This Row],[Quartile]]="ThirdQuartile", 3,
 IF(Table13[[#This Row],[Quartile]]="FourthQuartile", 4, ""))))</f>
        <v>2</v>
      </c>
      <c r="F1997" s="15" t="s">
        <v>622</v>
      </c>
      <c r="G1997" s="15" t="str" cm="1">
        <f t="array" ref="G1997">IFERROR(
  INDEX(Table13[Quartile],
    MATCH(1,
      (Table13[[#This Row],[OrgName]]=Table13[OrgName]) *
      (Table13[[#This Row],[Month Number]]-1=Table13[Month Number]),
    0)
  ),
"")</f>
        <v/>
      </c>
      <c r="H1997" s="15" t="str">
        <f>IF(Table13[[#This Row],[Previous Quartile]]="TopQuartile", 1,
 IF(Table13[[#This Row],[Previous Quartile]]="SecondQuartile", 2,
 IF(Table13[[#This Row],[Previous Quartile]]="ThirdQuartile", 3,
 IF(Table13[[#This Row],[Previous Quartile]]="FourthQuartile", 4, ""))))</f>
        <v/>
      </c>
      <c r="I1997" s="15" t="s">
        <v>649</v>
      </c>
      <c r="J1997" s="15" t="s">
        <v>12</v>
      </c>
      <c r="K1997" s="7" t="str">
        <f>VLOOKUP(J1997,Introduction!$B$6:$C$14,2)</f>
        <v>London</v>
      </c>
      <c r="L1997" s="17">
        <v>44</v>
      </c>
      <c r="M1997" s="18" t="s">
        <v>33</v>
      </c>
    </row>
    <row r="1998" spans="1:13" ht="19.95" customHeight="1" x14ac:dyDescent="0.25">
      <c r="A1998" s="42">
        <v>45292</v>
      </c>
      <c r="B1998" s="48">
        <f>MONTH(Table13[[#This Row],[YearMonth]])</f>
        <v>1</v>
      </c>
      <c r="C1998" s="15" t="s">
        <v>155</v>
      </c>
      <c r="D1998" s="16" t="s">
        <v>338</v>
      </c>
      <c r="E1998" s="16">
        <f>IF(Table13[[#This Row],[Quartile]]="TopQuartile", 1,
 IF(Table13[[#This Row],[Quartile]]="SecondQuartile", 2,
 IF(Table13[[#This Row],[Quartile]]="ThirdQuartile", 3,
 IF(Table13[[#This Row],[Quartile]]="FourthQuartile", 4, ""))))</f>
        <v>2</v>
      </c>
      <c r="F1998" s="15" t="s">
        <v>620</v>
      </c>
      <c r="G1998" s="15" t="str" cm="1">
        <f t="array" ref="G1998">IFERROR(
  INDEX(Table13[Quartile],
    MATCH(1,
      (Table13[[#This Row],[OrgName]]=Table13[OrgName]) *
      (Table13[[#This Row],[Month Number]]-1=Table13[Month Number]),
    0)
  ),
"")</f>
        <v/>
      </c>
      <c r="H1998" s="15" t="str">
        <f>IF(Table13[[#This Row],[Previous Quartile]]="TopQuartile", 1,
 IF(Table13[[#This Row],[Previous Quartile]]="SecondQuartile", 2,
 IF(Table13[[#This Row],[Previous Quartile]]="ThirdQuartile", 3,
 IF(Table13[[#This Row],[Previous Quartile]]="FourthQuartile", 4, ""))))</f>
        <v/>
      </c>
      <c r="I1998" s="15" t="s">
        <v>649</v>
      </c>
      <c r="J1998" s="15" t="s">
        <v>10</v>
      </c>
      <c r="K1998" s="7" t="str">
        <f>VLOOKUP(J1998,Introduction!$B$6:$C$14,2)</f>
        <v>Special Health Authorities and other statutory bodies</v>
      </c>
      <c r="L1998" s="17">
        <v>918</v>
      </c>
      <c r="M1998" s="18" t="s">
        <v>33</v>
      </c>
    </row>
    <row r="1999" spans="1:13" ht="19.95" customHeight="1" x14ac:dyDescent="0.25">
      <c r="A1999" s="42">
        <v>45292</v>
      </c>
      <c r="B1999" s="48">
        <f>MONTH(Table13[[#This Row],[YearMonth]])</f>
        <v>1</v>
      </c>
      <c r="C1999" s="15" t="s">
        <v>163</v>
      </c>
      <c r="D1999" s="16" t="s">
        <v>341</v>
      </c>
      <c r="E1999" s="16">
        <f>IF(Table13[[#This Row],[Quartile]]="TopQuartile", 1,
 IF(Table13[[#This Row],[Quartile]]="SecondQuartile", 2,
 IF(Table13[[#This Row],[Quartile]]="ThirdQuartile", 3,
 IF(Table13[[#This Row],[Quartile]]="FourthQuartile", 4, ""))))</f>
        <v>3</v>
      </c>
      <c r="F1999" s="15" t="s">
        <v>621</v>
      </c>
      <c r="G1999" s="15" t="str" cm="1">
        <f t="array" ref="G1999">IFERROR(
  INDEX(Table13[Quartile],
    MATCH(1,
      (Table13[[#This Row],[OrgName]]=Table13[OrgName]) *
      (Table13[[#This Row],[Month Number]]-1=Table13[Month Number]),
    0)
  ),
"")</f>
        <v/>
      </c>
      <c r="H1999" s="15" t="str">
        <f>IF(Table13[[#This Row],[Previous Quartile]]="TopQuartile", 1,
 IF(Table13[[#This Row],[Previous Quartile]]="SecondQuartile", 2,
 IF(Table13[[#This Row],[Previous Quartile]]="ThirdQuartile", 3,
 IF(Table13[[#This Row],[Previous Quartile]]="FourthQuartile", 4, ""))))</f>
        <v/>
      </c>
      <c r="I1999" s="15" t="s">
        <v>649</v>
      </c>
      <c r="J1999" s="15" t="s">
        <v>10</v>
      </c>
      <c r="K1999" s="7" t="str">
        <f>VLOOKUP(J1999,Introduction!$B$6:$C$14,2)</f>
        <v>Special Health Authorities and other statutory bodies</v>
      </c>
      <c r="L1999" s="17">
        <v>914</v>
      </c>
      <c r="M1999" s="18" t="s">
        <v>33</v>
      </c>
    </row>
    <row r="2000" spans="1:13" ht="19.95" customHeight="1" x14ac:dyDescent="0.25">
      <c r="A2000" s="42">
        <v>45292</v>
      </c>
      <c r="B2000" s="48">
        <f>MONTH(Table13[[#This Row],[YearMonth]])</f>
        <v>1</v>
      </c>
      <c r="C2000" s="15" t="s">
        <v>212</v>
      </c>
      <c r="D2000" s="16" t="s">
        <v>341</v>
      </c>
      <c r="E2000" s="16">
        <f>IF(Table13[[#This Row],[Quartile]]="TopQuartile", 1,
 IF(Table13[[#This Row],[Quartile]]="SecondQuartile", 2,
 IF(Table13[[#This Row],[Quartile]]="ThirdQuartile", 3,
 IF(Table13[[#This Row],[Quartile]]="FourthQuartile", 4, ""))))</f>
        <v>3</v>
      </c>
      <c r="F2000" s="15" t="s">
        <v>623</v>
      </c>
      <c r="G2000" s="15" t="str" cm="1">
        <f t="array" ref="G2000">IFERROR(
  INDEX(Table13[Quartile],
    MATCH(1,
      (Table13[[#This Row],[OrgName]]=Table13[OrgName]) *
      (Table13[[#This Row],[Month Number]]-1=Table13[Month Number]),
    0)
  ),
"")</f>
        <v/>
      </c>
      <c r="H2000" s="15" t="str">
        <f>IF(Table13[[#This Row],[Previous Quartile]]="TopQuartile", 1,
 IF(Table13[[#This Row],[Previous Quartile]]="SecondQuartile", 2,
 IF(Table13[[#This Row],[Previous Quartile]]="ThirdQuartile", 3,
 IF(Table13[[#This Row],[Previous Quartile]]="FourthQuartile", 4, ""))))</f>
        <v/>
      </c>
      <c r="I2000" s="15" t="s">
        <v>649</v>
      </c>
      <c r="J2000" s="15" t="s">
        <v>10</v>
      </c>
      <c r="K2000" s="7" t="str">
        <f>VLOOKUP(J2000,Introduction!$B$6:$C$14,2)</f>
        <v>Special Health Authorities and other statutory bodies</v>
      </c>
      <c r="L2000" s="17">
        <v>65</v>
      </c>
      <c r="M2000" s="18" t="s">
        <v>33</v>
      </c>
    </row>
    <row r="2001" spans="1:13" ht="19.95" customHeight="1" x14ac:dyDescent="0.25">
      <c r="A2001" s="42">
        <v>45292</v>
      </c>
      <c r="B2001" s="48">
        <f>MONTH(Table13[[#This Row],[YearMonth]])</f>
        <v>1</v>
      </c>
      <c r="C2001" s="15" t="s">
        <v>218</v>
      </c>
      <c r="D2001" s="16" t="s">
        <v>341</v>
      </c>
      <c r="E2001" s="16">
        <f>IF(Table13[[#This Row],[Quartile]]="TopQuartile", 1,
 IF(Table13[[#This Row],[Quartile]]="SecondQuartile", 2,
 IF(Table13[[#This Row],[Quartile]]="ThirdQuartile", 3,
 IF(Table13[[#This Row],[Quartile]]="FourthQuartile", 4, ""))))</f>
        <v>3</v>
      </c>
      <c r="F2001" s="15" t="s">
        <v>624</v>
      </c>
      <c r="G2001" s="15" t="str" cm="1">
        <f t="array" ref="G2001">IFERROR(
  INDEX(Table13[Quartile],
    MATCH(1,
      (Table13[[#This Row],[OrgName]]=Table13[OrgName]) *
      (Table13[[#This Row],[Month Number]]-1=Table13[Month Number]),
    0)
  ),
"")</f>
        <v/>
      </c>
      <c r="H2001" s="15" t="str">
        <f>IF(Table13[[#This Row],[Previous Quartile]]="TopQuartile", 1,
 IF(Table13[[#This Row],[Previous Quartile]]="SecondQuartile", 2,
 IF(Table13[[#This Row],[Previous Quartile]]="ThirdQuartile", 3,
 IF(Table13[[#This Row],[Previous Quartile]]="FourthQuartile", 4, ""))))</f>
        <v/>
      </c>
      <c r="I2001" s="15" t="s">
        <v>649</v>
      </c>
      <c r="J2001" s="15" t="s">
        <v>10</v>
      </c>
      <c r="K2001" s="7" t="str">
        <f>VLOOKUP(J2001,Introduction!$B$6:$C$14,2)</f>
        <v>Special Health Authorities and other statutory bodies</v>
      </c>
      <c r="L2001" s="17">
        <v>76</v>
      </c>
      <c r="M2001" s="18" t="s">
        <v>33</v>
      </c>
    </row>
    <row r="2002" spans="1:13" ht="19.95" customHeight="1" x14ac:dyDescent="0.25">
      <c r="A2002" s="42">
        <v>45292</v>
      </c>
      <c r="B2002" s="48">
        <f>MONTH(Table13[[#This Row],[YearMonth]])</f>
        <v>1</v>
      </c>
      <c r="C2002" s="15" t="s">
        <v>294</v>
      </c>
      <c r="D2002" s="16" t="s">
        <v>350</v>
      </c>
      <c r="E2002" s="16">
        <f>IF(Table13[[#This Row],[Quartile]]="TopQuartile", 1,
 IF(Table13[[#This Row],[Quartile]]="SecondQuartile", 2,
 IF(Table13[[#This Row],[Quartile]]="ThirdQuartile", 3,
 IF(Table13[[#This Row],[Quartile]]="FourthQuartile", 4, ""))))</f>
        <v>4</v>
      </c>
      <c r="F2002" s="15" t="s">
        <v>625</v>
      </c>
      <c r="G2002" s="15" t="str" cm="1">
        <f t="array" ref="G2002">IFERROR(
  INDEX(Table13[Quartile],
    MATCH(1,
      (Table13[[#This Row],[OrgName]]=Table13[OrgName]) *
      (Table13[[#This Row],[Month Number]]-1=Table13[Month Number]),
    0)
  ),
"")</f>
        <v/>
      </c>
      <c r="H2002" s="15" t="str">
        <f>IF(Table13[[#This Row],[Previous Quartile]]="TopQuartile", 1,
 IF(Table13[[#This Row],[Previous Quartile]]="SecondQuartile", 2,
 IF(Table13[[#This Row],[Previous Quartile]]="ThirdQuartile", 3,
 IF(Table13[[#This Row],[Previous Quartile]]="FourthQuartile", 4, ""))))</f>
        <v/>
      </c>
      <c r="I2002" s="15" t="s">
        <v>649</v>
      </c>
      <c r="J2002" s="15" t="s">
        <v>10</v>
      </c>
      <c r="K2002" s="7" t="str">
        <f>VLOOKUP(J2002,Introduction!$B$6:$C$14,2)</f>
        <v>Special Health Authorities and other statutory bodies</v>
      </c>
      <c r="L2002" s="17">
        <v>990</v>
      </c>
      <c r="M2002" s="18" t="s">
        <v>33</v>
      </c>
    </row>
    <row r="2003" spans="1:13" ht="19.95" customHeight="1" x14ac:dyDescent="0.25">
      <c r="A2003" s="42">
        <v>45292</v>
      </c>
      <c r="B2003" s="48">
        <f>MONTH(Table13[[#This Row],[YearMonth]])</f>
        <v>1</v>
      </c>
      <c r="C2003" s="15" t="s">
        <v>300</v>
      </c>
      <c r="D2003" s="16" t="s">
        <v>350</v>
      </c>
      <c r="E2003" s="16">
        <f>IF(Table13[[#This Row],[Quartile]]="TopQuartile", 1,
 IF(Table13[[#This Row],[Quartile]]="SecondQuartile", 2,
 IF(Table13[[#This Row],[Quartile]]="ThirdQuartile", 3,
 IF(Table13[[#This Row],[Quartile]]="FourthQuartile", 4, ""))))</f>
        <v>4</v>
      </c>
      <c r="F2003" s="15" t="s">
        <v>627</v>
      </c>
      <c r="G2003" s="15" t="str" cm="1">
        <f t="array" ref="G2003">IFERROR(
  INDEX(Table13[Quartile],
    MATCH(1,
      (Table13[[#This Row],[OrgName]]=Table13[OrgName]) *
      (Table13[[#This Row],[Month Number]]-1=Table13[Month Number]),
    0)
  ),
"")</f>
        <v/>
      </c>
      <c r="H2003" s="15" t="str">
        <f>IF(Table13[[#This Row],[Previous Quartile]]="TopQuartile", 1,
 IF(Table13[[#This Row],[Previous Quartile]]="SecondQuartile", 2,
 IF(Table13[[#This Row],[Previous Quartile]]="ThirdQuartile", 3,
 IF(Table13[[#This Row],[Previous Quartile]]="FourthQuartile", 4, ""))))</f>
        <v/>
      </c>
      <c r="I2003" s="15" t="s">
        <v>649</v>
      </c>
      <c r="J2003" s="15" t="s">
        <v>10</v>
      </c>
      <c r="K2003" s="7" t="str">
        <f>VLOOKUP(J2003,Introduction!$B$6:$C$14,2)</f>
        <v>Special Health Authorities and other statutory bodies</v>
      </c>
      <c r="L2003" s="17">
        <v>441</v>
      </c>
      <c r="M2003" s="18" t="s">
        <v>33</v>
      </c>
    </row>
    <row r="2004" spans="1:13" ht="19.95" customHeight="1" x14ac:dyDescent="0.25">
      <c r="A2004" s="42">
        <v>45292</v>
      </c>
      <c r="B2004" s="48">
        <f>MONTH(Table13[[#This Row],[YearMonth]])</f>
        <v>1</v>
      </c>
      <c r="C2004" s="15" t="s">
        <v>299</v>
      </c>
      <c r="D2004" s="16" t="s">
        <v>350</v>
      </c>
      <c r="E2004" s="16">
        <f>IF(Table13[[#This Row],[Quartile]]="TopQuartile", 1,
 IF(Table13[[#This Row],[Quartile]]="SecondQuartile", 2,
 IF(Table13[[#This Row],[Quartile]]="ThirdQuartile", 3,
 IF(Table13[[#This Row],[Quartile]]="FourthQuartile", 4, ""))))</f>
        <v>4</v>
      </c>
      <c r="F2004" s="15" t="s">
        <v>626</v>
      </c>
      <c r="G2004" s="15" t="str" cm="1">
        <f t="array" ref="G2004">IFERROR(
  INDEX(Table13[Quartile],
    MATCH(1,
      (Table13[[#This Row],[OrgName]]=Table13[OrgName]) *
      (Table13[[#This Row],[Month Number]]-1=Table13[Month Number]),
    0)
  ),
"")</f>
        <v/>
      </c>
      <c r="H2004" s="15" t="str">
        <f>IF(Table13[[#This Row],[Previous Quartile]]="TopQuartile", 1,
 IF(Table13[[#This Row],[Previous Quartile]]="SecondQuartile", 2,
 IF(Table13[[#This Row],[Previous Quartile]]="ThirdQuartile", 3,
 IF(Table13[[#This Row],[Previous Quartile]]="FourthQuartile", 4, ""))))</f>
        <v/>
      </c>
      <c r="I2004" s="15" t="s">
        <v>649</v>
      </c>
      <c r="J2004" s="15" t="s">
        <v>10</v>
      </c>
      <c r="K2004" s="7" t="str">
        <f>VLOOKUP(J2004,Introduction!$B$6:$C$14,2)</f>
        <v>Special Health Authorities and other statutory bodies</v>
      </c>
      <c r="L2004" s="17">
        <v>912</v>
      </c>
      <c r="M2004" s="18" t="s">
        <v>33</v>
      </c>
    </row>
    <row r="2005" spans="1:13" ht="19.95" customHeight="1" x14ac:dyDescent="0.25">
      <c r="A2005" s="42">
        <v>45292</v>
      </c>
      <c r="B2005" s="48">
        <f>MONTH(Table13[[#This Row],[YearMonth]])</f>
        <v>1</v>
      </c>
      <c r="C2005" s="15" t="s">
        <v>313</v>
      </c>
      <c r="D2005" s="16" t="s">
        <v>350</v>
      </c>
      <c r="E2005" s="16">
        <f>IF(Table13[[#This Row],[Quartile]]="TopQuartile", 1,
 IF(Table13[[#This Row],[Quartile]]="SecondQuartile", 2,
 IF(Table13[[#This Row],[Quartile]]="ThirdQuartile", 3,
 IF(Table13[[#This Row],[Quartile]]="FourthQuartile", 4, ""))))</f>
        <v>4</v>
      </c>
      <c r="F2005" s="15" t="s">
        <v>628</v>
      </c>
      <c r="G2005" s="15" t="str" cm="1">
        <f t="array" ref="G2005">IFERROR(
  INDEX(Table13[Quartile],
    MATCH(1,
      (Table13[[#This Row],[OrgName]]=Table13[OrgName]) *
      (Table13[[#This Row],[Month Number]]-1=Table13[Month Number]),
    0)
  ),
"")</f>
        <v/>
      </c>
      <c r="H2005" s="15" t="str">
        <f>IF(Table13[[#This Row],[Previous Quartile]]="TopQuartile", 1,
 IF(Table13[[#This Row],[Previous Quartile]]="SecondQuartile", 2,
 IF(Table13[[#This Row],[Previous Quartile]]="ThirdQuartile", 3,
 IF(Table13[[#This Row],[Previous Quartile]]="FourthQuartile", 4, ""))))</f>
        <v/>
      </c>
      <c r="I2005" s="15" t="s">
        <v>649</v>
      </c>
      <c r="J2005" s="15" t="s">
        <v>10</v>
      </c>
      <c r="K2005" s="7" t="str">
        <f>VLOOKUP(J2005,Introduction!$B$6:$C$14,2)</f>
        <v>Special Health Authorities and other statutory bodies</v>
      </c>
      <c r="L2005" s="17">
        <v>71</v>
      </c>
      <c r="M2005" s="18" t="s">
        <v>33</v>
      </c>
    </row>
    <row r="2006" spans="1:13" ht="19.95" customHeight="1" x14ac:dyDescent="0.25">
      <c r="A2006" s="43">
        <v>45292</v>
      </c>
      <c r="B2006" s="49">
        <f>MONTH(Table13[[#This Row],[YearMonth]])</f>
        <v>1</v>
      </c>
      <c r="C2006" s="19" t="s">
        <v>316</v>
      </c>
      <c r="D2006" s="20" t="s">
        <v>350</v>
      </c>
      <c r="E2006" s="20">
        <f>IF(Table13[[#This Row],[Quartile]]="TopQuartile", 1,
 IF(Table13[[#This Row],[Quartile]]="SecondQuartile", 2,
 IF(Table13[[#This Row],[Quartile]]="ThirdQuartile", 3,
 IF(Table13[[#This Row],[Quartile]]="FourthQuartile", 4, ""))))</f>
        <v>4</v>
      </c>
      <c r="F2006" s="19" t="s">
        <v>629</v>
      </c>
      <c r="G2006" s="19" t="str" cm="1">
        <f t="array" ref="G2006">IFERROR(
  INDEX(Table13[Quartile],
    MATCH(1,
      (Table13[[#This Row],[OrgName]]=Table13[OrgName]) *
      (Table13[[#This Row],[Month Number]]-1=Table13[Month Number]),
    0)
  ),
"")</f>
        <v/>
      </c>
      <c r="H2006" s="19" t="str">
        <f>IF(Table13[[#This Row],[Previous Quartile]]="TopQuartile", 1,
 IF(Table13[[#This Row],[Previous Quartile]]="SecondQuartile", 2,
 IF(Table13[[#This Row],[Previous Quartile]]="ThirdQuartile", 3,
 IF(Table13[[#This Row],[Previous Quartile]]="FourthQuartile", 4, ""))))</f>
        <v/>
      </c>
      <c r="I2006" s="15" t="s">
        <v>649</v>
      </c>
      <c r="J2006" s="19" t="s">
        <v>10</v>
      </c>
      <c r="K2006" s="7" t="str">
        <f>VLOOKUP(J2006,Introduction!$B$6:$C$14,2)</f>
        <v>Special Health Authorities and other statutory bodies</v>
      </c>
      <c r="L2006" s="21">
        <v>919</v>
      </c>
      <c r="M2006" s="22" t="s">
        <v>33</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CDB4F-F874-40A0-8D29-B62596F4DC71}">
  <sheetPr>
    <pageSetUpPr fitToPage="1"/>
  </sheetPr>
  <dimension ref="A1:A45"/>
  <sheetViews>
    <sheetView showGridLines="0" tabSelected="1" workbookViewId="0"/>
  </sheetViews>
  <sheetFormatPr defaultColWidth="0" defaultRowHeight="13.2" zeroHeight="1" x14ac:dyDescent="0.25"/>
  <cols>
    <col min="1" max="23" width="8.88671875" customWidth="1"/>
    <col min="24" max="16384" width="8.88671875" hidden="1"/>
  </cols>
  <sheetData>
    <row r="1" customFormat="1" x14ac:dyDescent="0.25"/>
    <row r="2" customFormat="1" x14ac:dyDescent="0.25"/>
    <row r="3" customFormat="1" x14ac:dyDescent="0.25"/>
    <row r="4" customFormat="1" x14ac:dyDescent="0.25"/>
    <row r="5" customFormat="1" x14ac:dyDescent="0.25"/>
    <row r="6" customFormat="1" x14ac:dyDescent="0.25"/>
    <row r="7" customFormat="1" x14ac:dyDescent="0.25"/>
    <row r="8" customFormat="1" x14ac:dyDescent="0.25"/>
    <row r="9" customFormat="1" x14ac:dyDescent="0.25"/>
    <row r="10" customFormat="1" x14ac:dyDescent="0.25"/>
    <row r="11" customFormat="1" x14ac:dyDescent="0.25"/>
    <row r="12" customFormat="1" x14ac:dyDescent="0.25"/>
    <row r="13" customFormat="1" x14ac:dyDescent="0.25"/>
    <row r="14"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hidden="1" x14ac:dyDescent="0.25"/>
    <row r="30" customFormat="1" hidden="1" x14ac:dyDescent="0.25"/>
    <row r="31" customFormat="1" hidden="1" x14ac:dyDescent="0.25"/>
    <row r="32" customFormat="1" hidden="1" x14ac:dyDescent="0.25"/>
    <row r="33" customFormat="1" hidden="1" x14ac:dyDescent="0.25"/>
    <row r="34" customFormat="1" hidden="1" x14ac:dyDescent="0.25"/>
    <row r="35" customFormat="1" hidden="1" x14ac:dyDescent="0.25"/>
    <row r="36" customFormat="1" hidden="1" x14ac:dyDescent="0.25"/>
    <row r="37" customFormat="1" hidden="1" x14ac:dyDescent="0.25"/>
    <row r="38" customFormat="1" hidden="1" x14ac:dyDescent="0.25"/>
    <row r="39" customFormat="1" hidden="1" x14ac:dyDescent="0.25"/>
    <row r="40" customFormat="1" hidden="1" x14ac:dyDescent="0.25"/>
    <row r="41" customFormat="1" hidden="1" x14ac:dyDescent="0.25"/>
    <row r="42" customFormat="1" hidden="1" x14ac:dyDescent="0.25"/>
    <row r="43" customFormat="1" hidden="1" x14ac:dyDescent="0.25"/>
    <row r="44" customFormat="1" hidden="1" x14ac:dyDescent="0.25"/>
    <row r="45" customFormat="1" hidden="1" x14ac:dyDescent="0.25"/>
  </sheetData>
  <pageMargins left="0.70866141732283472" right="0.70866141732283472" top="0.74803149606299213" bottom="0.74803149606299213" header="0.31496062992125984" footer="0.31496062992125984"/>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3C83C-DCF7-4D43-93DA-17FA758460F8}">
  <dimension ref="A1:B12"/>
  <sheetViews>
    <sheetView workbookViewId="0">
      <selection activeCell="D15" sqref="D15"/>
    </sheetView>
  </sheetViews>
  <sheetFormatPr defaultRowHeight="13.2" x14ac:dyDescent="0.25"/>
  <cols>
    <col min="1" max="1" width="48.5546875" bestFit="1" customWidth="1"/>
    <col min="2" max="2" width="15.77734375" bestFit="1" customWidth="1"/>
  </cols>
  <sheetData>
    <row r="1" spans="1:2" x14ac:dyDescent="0.25">
      <c r="A1" s="36" t="s">
        <v>631</v>
      </c>
      <c r="B1" t="s">
        <v>648</v>
      </c>
    </row>
    <row r="2" spans="1:2" x14ac:dyDescent="0.25">
      <c r="A2" s="37" t="s">
        <v>621</v>
      </c>
      <c r="B2" s="38">
        <v>914</v>
      </c>
    </row>
    <row r="3" spans="1:2" x14ac:dyDescent="0.25">
      <c r="A3" s="37" t="s">
        <v>620</v>
      </c>
      <c r="B3" s="38">
        <v>918</v>
      </c>
    </row>
    <row r="4" spans="1:2" x14ac:dyDescent="0.25">
      <c r="A4" s="37" t="s">
        <v>629</v>
      </c>
      <c r="B4" s="38">
        <v>919</v>
      </c>
    </row>
    <row r="5" spans="1:2" x14ac:dyDescent="0.25">
      <c r="A5" s="37" t="s">
        <v>546</v>
      </c>
      <c r="B5" s="38">
        <v>942</v>
      </c>
    </row>
    <row r="6" spans="1:2" x14ac:dyDescent="0.25">
      <c r="A6" s="37" t="s">
        <v>619</v>
      </c>
      <c r="B6" s="38">
        <v>980</v>
      </c>
    </row>
    <row r="7" spans="1:2" x14ac:dyDescent="0.25">
      <c r="A7" s="37" t="s">
        <v>536</v>
      </c>
      <c r="B7" s="38">
        <v>983</v>
      </c>
    </row>
    <row r="8" spans="1:2" x14ac:dyDescent="0.25">
      <c r="A8" s="37" t="s">
        <v>556</v>
      </c>
      <c r="B8" s="38">
        <v>985</v>
      </c>
    </row>
    <row r="9" spans="1:2" x14ac:dyDescent="0.25">
      <c r="A9" s="37" t="s">
        <v>625</v>
      </c>
      <c r="B9" s="38">
        <v>990</v>
      </c>
    </row>
    <row r="10" spans="1:2" x14ac:dyDescent="0.25">
      <c r="A10" s="37" t="s">
        <v>547</v>
      </c>
      <c r="B10" s="38">
        <v>994</v>
      </c>
    </row>
    <row r="11" spans="1:2" x14ac:dyDescent="0.25">
      <c r="A11" s="37" t="s">
        <v>554</v>
      </c>
      <c r="B11" s="38">
        <v>996</v>
      </c>
    </row>
    <row r="12" spans="1:2" x14ac:dyDescent="0.25">
      <c r="A12" s="37" t="s">
        <v>317</v>
      </c>
      <c r="B12" s="38">
        <v>966.140625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681C2-E35F-4783-8C4A-6D1C5C8A267F}">
  <dimension ref="A1:F10"/>
  <sheetViews>
    <sheetView topLeftCell="A5" zoomScale="121" workbookViewId="0">
      <selection activeCell="G15" sqref="G15"/>
    </sheetView>
  </sheetViews>
  <sheetFormatPr defaultRowHeight="13.2" x14ac:dyDescent="0.25"/>
  <cols>
    <col min="1" max="1" width="17.5546875" bestFit="1" customWidth="1"/>
    <col min="2" max="2" width="16.21875" bestFit="1" customWidth="1"/>
    <col min="3" max="3" width="14.5546875" bestFit="1" customWidth="1"/>
    <col min="4" max="4" width="12.44140625" bestFit="1" customWidth="1"/>
    <col min="5" max="5" width="11.21875" bestFit="1" customWidth="1"/>
    <col min="6" max="6" width="11.33203125" bestFit="1" customWidth="1"/>
    <col min="7" max="7" width="45" bestFit="1" customWidth="1"/>
    <col min="8" max="8" width="34.88671875" bestFit="1" customWidth="1"/>
    <col min="9" max="9" width="20.109375" bestFit="1" customWidth="1"/>
    <col min="10" max="10" width="39.6640625" bestFit="1" customWidth="1"/>
    <col min="11" max="11" width="38" bestFit="1" customWidth="1"/>
    <col min="12" max="12" width="51.77734375" bestFit="1" customWidth="1"/>
    <col min="13" max="13" width="50.21875" bestFit="1" customWidth="1"/>
    <col min="14" max="14" width="51.109375" bestFit="1" customWidth="1"/>
    <col min="15" max="15" width="41.44140625" bestFit="1" customWidth="1"/>
    <col min="16" max="16" width="44.88671875" bestFit="1" customWidth="1"/>
    <col min="17" max="17" width="25.6640625" bestFit="1" customWidth="1"/>
    <col min="18" max="18" width="38.44140625" bestFit="1" customWidth="1"/>
    <col min="19" max="19" width="44.109375" bestFit="1" customWidth="1"/>
    <col min="20" max="20" width="50.44140625" bestFit="1" customWidth="1"/>
    <col min="21" max="21" width="17.77734375" bestFit="1" customWidth="1"/>
    <col min="22" max="22" width="34.6640625" bestFit="1" customWidth="1"/>
    <col min="23" max="23" width="43.77734375" bestFit="1" customWidth="1"/>
    <col min="24" max="24" width="49.5546875" bestFit="1" customWidth="1"/>
    <col min="25" max="25" width="41.44140625" bestFit="1" customWidth="1"/>
    <col min="26" max="26" width="46.77734375" bestFit="1" customWidth="1"/>
    <col min="27" max="27" width="38" bestFit="1" customWidth="1"/>
    <col min="28" max="28" width="14.5546875" bestFit="1" customWidth="1"/>
    <col min="29" max="29" width="46.21875" bestFit="1" customWidth="1"/>
    <col min="30" max="30" width="42.6640625" bestFit="1" customWidth="1"/>
    <col min="31" max="31" width="48.77734375" bestFit="1" customWidth="1"/>
    <col min="32" max="32" width="47" bestFit="1" customWidth="1"/>
    <col min="33" max="33" width="42.77734375" bestFit="1" customWidth="1"/>
    <col min="34" max="34" width="26.6640625" bestFit="1" customWidth="1"/>
    <col min="35" max="35" width="27.88671875" bestFit="1" customWidth="1"/>
    <col min="36" max="36" width="43.88671875" bestFit="1" customWidth="1"/>
    <col min="37" max="37" width="27.44140625" bestFit="1" customWidth="1"/>
    <col min="38" max="38" width="38.109375" bestFit="1" customWidth="1"/>
    <col min="39" max="39" width="44.33203125" bestFit="1" customWidth="1"/>
    <col min="40" max="40" width="46" bestFit="1" customWidth="1"/>
    <col min="41" max="41" width="43.77734375" bestFit="1" customWidth="1"/>
    <col min="42" max="42" width="30.6640625" bestFit="1" customWidth="1"/>
    <col min="43" max="43" width="10.77734375" bestFit="1" customWidth="1"/>
    <col min="44" max="44" width="55.44140625" bestFit="1" customWidth="1"/>
    <col min="45" max="45" width="30.5546875" bestFit="1" customWidth="1"/>
    <col min="46" max="46" width="53" bestFit="1" customWidth="1"/>
    <col min="47" max="47" width="39.109375" bestFit="1" customWidth="1"/>
    <col min="48" max="48" width="25.77734375" bestFit="1" customWidth="1"/>
    <col min="49" max="49" width="57.77734375" bestFit="1" customWidth="1"/>
    <col min="50" max="50" width="39.5546875" bestFit="1" customWidth="1"/>
    <col min="51" max="51" width="44.33203125" bestFit="1" customWidth="1"/>
    <col min="52" max="52" width="31.5546875" bestFit="1" customWidth="1"/>
    <col min="53" max="53" width="38.109375" bestFit="1" customWidth="1"/>
    <col min="54" max="54" width="34" bestFit="1" customWidth="1"/>
    <col min="55" max="55" width="21.5546875" bestFit="1" customWidth="1"/>
    <col min="56" max="56" width="32.88671875" bestFit="1" customWidth="1"/>
    <col min="57" max="57" width="45.21875" bestFit="1" customWidth="1"/>
    <col min="58" max="58" width="31.6640625" bestFit="1" customWidth="1"/>
    <col min="59" max="59" width="30.5546875" bestFit="1" customWidth="1"/>
    <col min="60" max="60" width="37.88671875" bestFit="1" customWidth="1"/>
    <col min="61" max="61" width="39" bestFit="1" customWidth="1"/>
    <col min="62" max="62" width="43.6640625" bestFit="1" customWidth="1"/>
    <col min="63" max="63" width="29.6640625" bestFit="1" customWidth="1"/>
    <col min="64" max="64" width="17.21875" bestFit="1" customWidth="1"/>
    <col min="65" max="65" width="43.44140625" bestFit="1" customWidth="1"/>
    <col min="66" max="66" width="44.5546875" bestFit="1" customWidth="1"/>
    <col min="67" max="67" width="31.44140625" bestFit="1" customWidth="1"/>
    <col min="68" max="68" width="6.33203125" bestFit="1" customWidth="1"/>
    <col min="69" max="69" width="31.88671875" bestFit="1" customWidth="1"/>
    <col min="70" max="70" width="35" bestFit="1" customWidth="1"/>
    <col min="71" max="71" width="27.44140625" bestFit="1" customWidth="1"/>
    <col min="72" max="72" width="47.21875" bestFit="1" customWidth="1"/>
    <col min="73" max="73" width="42.33203125" bestFit="1" customWidth="1"/>
    <col min="74" max="74" width="48.44140625" bestFit="1" customWidth="1"/>
    <col min="75" max="75" width="54.88671875" bestFit="1" customWidth="1"/>
    <col min="76" max="76" width="40.6640625" bestFit="1" customWidth="1"/>
    <col min="77" max="78" width="37.5546875" bestFit="1" customWidth="1"/>
    <col min="79" max="79" width="38.5546875" bestFit="1" customWidth="1"/>
    <col min="80" max="80" width="23.21875" bestFit="1" customWidth="1"/>
    <col min="81" max="81" width="36.77734375" bestFit="1" customWidth="1"/>
    <col min="82" max="82" width="52.33203125" bestFit="1" customWidth="1"/>
    <col min="83" max="83" width="31.6640625" bestFit="1" customWidth="1"/>
    <col min="84" max="84" width="51.21875" bestFit="1" customWidth="1"/>
    <col min="85" max="85" width="36.88671875" bestFit="1" customWidth="1"/>
    <col min="86" max="86" width="38.21875" bestFit="1" customWidth="1"/>
    <col min="87" max="87" width="50.5546875" bestFit="1" customWidth="1"/>
    <col min="88" max="88" width="38.44140625" bestFit="1" customWidth="1"/>
    <col min="89" max="89" width="34.88671875" bestFit="1" customWidth="1"/>
    <col min="90" max="90" width="32.6640625" bestFit="1" customWidth="1"/>
    <col min="91" max="91" width="19.5546875" bestFit="1" customWidth="1"/>
    <col min="92" max="92" width="47.88671875" bestFit="1" customWidth="1"/>
    <col min="93" max="93" width="47.6640625" bestFit="1" customWidth="1"/>
    <col min="94" max="94" width="39.77734375" bestFit="1" customWidth="1"/>
    <col min="95" max="95" width="42.33203125" bestFit="1" customWidth="1"/>
    <col min="96" max="96" width="39.21875" bestFit="1" customWidth="1"/>
    <col min="97" max="97" width="9.44140625" bestFit="1" customWidth="1"/>
    <col min="98" max="98" width="35.109375" bestFit="1" customWidth="1"/>
    <col min="99" max="99" width="45.6640625" bestFit="1" customWidth="1"/>
    <col min="100" max="100" width="46" bestFit="1" customWidth="1"/>
    <col min="101" max="101" width="18.33203125" bestFit="1" customWidth="1"/>
    <col min="102" max="102" width="43" bestFit="1" customWidth="1"/>
    <col min="103" max="103" width="34.6640625" bestFit="1" customWidth="1"/>
    <col min="104" max="104" width="31.33203125" bestFit="1" customWidth="1"/>
    <col min="105" max="105" width="32.6640625" bestFit="1" customWidth="1"/>
    <col min="106" max="106" width="31.33203125" bestFit="1" customWidth="1"/>
    <col min="107" max="107" width="44" bestFit="1" customWidth="1"/>
    <col min="108" max="108" width="41.109375" bestFit="1" customWidth="1"/>
    <col min="109" max="109" width="48.77734375" bestFit="1" customWidth="1"/>
    <col min="110" max="110" width="45.33203125" bestFit="1" customWidth="1"/>
    <col min="111" max="111" width="36.33203125" bestFit="1" customWidth="1"/>
    <col min="112" max="112" width="17.44140625" bestFit="1" customWidth="1"/>
    <col min="113" max="113" width="31.44140625" bestFit="1" customWidth="1"/>
    <col min="114" max="114" width="32.77734375" bestFit="1" customWidth="1"/>
    <col min="115" max="115" width="44.77734375" bestFit="1" customWidth="1"/>
    <col min="116" max="116" width="36" bestFit="1" customWidth="1"/>
    <col min="117" max="117" width="39.109375" bestFit="1" customWidth="1"/>
    <col min="118" max="118" width="27.6640625" bestFit="1" customWidth="1"/>
    <col min="119" max="119" width="26.88671875" bestFit="1" customWidth="1"/>
    <col min="120" max="120" width="50.21875" bestFit="1" customWidth="1"/>
    <col min="121" max="121" width="30.33203125" bestFit="1" customWidth="1"/>
    <col min="122" max="122" width="36.77734375" bestFit="1" customWidth="1"/>
    <col min="123" max="123" width="39.109375" bestFit="1" customWidth="1"/>
    <col min="124" max="124" width="38.109375" bestFit="1" customWidth="1"/>
    <col min="125" max="125" width="29.21875" bestFit="1" customWidth="1"/>
    <col min="126" max="126" width="48" bestFit="1" customWidth="1"/>
    <col min="127" max="127" width="39.5546875" bestFit="1" customWidth="1"/>
    <col min="128" max="128" width="40.5546875" bestFit="1" customWidth="1"/>
    <col min="129" max="129" width="29.88671875" bestFit="1" customWidth="1"/>
    <col min="130" max="130" width="46.33203125" bestFit="1" customWidth="1"/>
    <col min="131" max="131" width="56.77734375" bestFit="1" customWidth="1"/>
    <col min="132" max="132" width="52.77734375" bestFit="1" customWidth="1"/>
    <col min="133" max="133" width="40.6640625" bestFit="1" customWidth="1"/>
    <col min="134" max="134" width="28.44140625" bestFit="1" customWidth="1"/>
    <col min="135" max="135" width="20.109375" bestFit="1" customWidth="1"/>
    <col min="136" max="136" width="22.88671875" bestFit="1" customWidth="1"/>
    <col min="137" max="137" width="51.109375" bestFit="1" customWidth="1"/>
    <col min="138" max="138" width="51.33203125" bestFit="1" customWidth="1"/>
    <col min="139" max="139" width="28.88671875" bestFit="1" customWidth="1"/>
    <col min="140" max="140" width="37.88671875" bestFit="1" customWidth="1"/>
    <col min="141" max="141" width="29.21875" bestFit="1" customWidth="1"/>
    <col min="142" max="142" width="32.33203125" bestFit="1" customWidth="1"/>
    <col min="143" max="143" width="25.6640625" bestFit="1" customWidth="1"/>
    <col min="144" max="144" width="31.6640625" bestFit="1" customWidth="1"/>
    <col min="145" max="145" width="26.44140625" bestFit="1" customWidth="1"/>
    <col min="146" max="146" width="13.6640625" bestFit="1" customWidth="1"/>
    <col min="147" max="147" width="14" bestFit="1" customWidth="1"/>
    <col min="148" max="148" width="12" bestFit="1" customWidth="1"/>
    <col min="149" max="149" width="14.44140625" bestFit="1" customWidth="1"/>
    <col min="150" max="150" width="22.21875" bestFit="1" customWidth="1"/>
    <col min="151" max="151" width="25.109375" bestFit="1" customWidth="1"/>
    <col min="152" max="152" width="30.88671875" bestFit="1" customWidth="1"/>
    <col min="153" max="153" width="37.44140625" bestFit="1" customWidth="1"/>
    <col min="154" max="154" width="33.21875" bestFit="1" customWidth="1"/>
    <col min="155" max="155" width="32" bestFit="1" customWidth="1"/>
    <col min="156" max="156" width="22.6640625" bestFit="1" customWidth="1"/>
    <col min="157" max="157" width="34" bestFit="1" customWidth="1"/>
    <col min="158" max="158" width="39.6640625" bestFit="1" customWidth="1"/>
    <col min="159" max="159" width="18.88671875" bestFit="1" customWidth="1"/>
    <col min="160" max="160" width="25" bestFit="1" customWidth="1"/>
    <col min="161" max="161" width="50.44140625" bestFit="1" customWidth="1"/>
    <col min="162" max="162" width="26" bestFit="1" customWidth="1"/>
    <col min="163" max="163" width="24.21875" bestFit="1" customWidth="1"/>
    <col min="164" max="164" width="26.44140625" bestFit="1" customWidth="1"/>
    <col min="165" max="165" width="33" bestFit="1" customWidth="1"/>
    <col min="166" max="166" width="23.88671875" bestFit="1" customWidth="1"/>
    <col min="167" max="167" width="43.5546875" bestFit="1" customWidth="1"/>
    <col min="168" max="168" width="24.5546875" bestFit="1" customWidth="1"/>
    <col min="169" max="169" width="36.44140625" bestFit="1" customWidth="1"/>
    <col min="170" max="170" width="14.33203125" bestFit="1" customWidth="1"/>
    <col min="171" max="171" width="34.44140625" bestFit="1" customWidth="1"/>
    <col min="172" max="172" width="16.44140625" bestFit="1" customWidth="1"/>
    <col min="173" max="173" width="49.77734375" bestFit="1" customWidth="1"/>
    <col min="174" max="174" width="24.109375" bestFit="1" customWidth="1"/>
    <col min="175" max="175" width="24.77734375" bestFit="1" customWidth="1"/>
    <col min="176" max="176" width="21.88671875" bestFit="1" customWidth="1"/>
    <col min="177" max="177" width="36.44140625" bestFit="1" customWidth="1"/>
    <col min="178" max="178" width="31.88671875" bestFit="1" customWidth="1"/>
    <col min="179" max="179" width="23.6640625" bestFit="1" customWidth="1"/>
    <col min="180" max="180" width="14.44140625" bestFit="1" customWidth="1"/>
    <col min="181" max="181" width="21.109375" bestFit="1" customWidth="1"/>
    <col min="182" max="182" width="54.33203125" bestFit="1" customWidth="1"/>
    <col min="183" max="183" width="35.6640625" bestFit="1" customWidth="1"/>
    <col min="184" max="184" width="39.44140625" bestFit="1" customWidth="1"/>
    <col min="185" max="185" width="35.6640625" bestFit="1" customWidth="1"/>
    <col min="186" max="186" width="45.5546875" bestFit="1" customWidth="1"/>
    <col min="187" max="187" width="20.5546875" bestFit="1" customWidth="1"/>
    <col min="188" max="188" width="45.6640625" bestFit="1" customWidth="1"/>
    <col min="189" max="189" width="45.21875" bestFit="1" customWidth="1"/>
    <col min="190" max="190" width="35.6640625" bestFit="1" customWidth="1"/>
    <col min="191" max="191" width="38.88671875" bestFit="1" customWidth="1"/>
    <col min="192" max="192" width="47.33203125" bestFit="1" customWidth="1"/>
    <col min="193" max="193" width="39.77734375" bestFit="1" customWidth="1"/>
    <col min="194" max="194" width="44.88671875" bestFit="1" customWidth="1"/>
    <col min="195" max="195" width="41.5546875" bestFit="1" customWidth="1"/>
    <col min="196" max="196" width="40.5546875" bestFit="1" customWidth="1"/>
    <col min="197" max="197" width="35.77734375" bestFit="1" customWidth="1"/>
    <col min="198" max="198" width="35" bestFit="1" customWidth="1"/>
    <col min="199" max="199" width="29" bestFit="1" customWidth="1"/>
    <col min="200" max="200" width="44.109375" bestFit="1" customWidth="1"/>
    <col min="201" max="201" width="37.21875" bestFit="1" customWidth="1"/>
    <col min="202" max="202" width="31.5546875" bestFit="1" customWidth="1"/>
    <col min="203" max="203" width="43.21875" bestFit="1" customWidth="1"/>
    <col min="204" max="204" width="25.77734375" bestFit="1" customWidth="1"/>
    <col min="205" max="205" width="31.109375" bestFit="1" customWidth="1"/>
    <col min="206" max="206" width="37.44140625" bestFit="1" customWidth="1"/>
    <col min="207" max="207" width="33.44140625" bestFit="1" customWidth="1"/>
    <col min="208" max="208" width="7.6640625" bestFit="1" customWidth="1"/>
    <col min="209" max="209" width="51.109375" bestFit="1" customWidth="1"/>
    <col min="210" max="210" width="39.6640625" bestFit="1" customWidth="1"/>
    <col min="211" max="211" width="62.88671875" bestFit="1" customWidth="1"/>
    <col min="212" max="212" width="54.6640625" bestFit="1" customWidth="1"/>
    <col min="213" max="213" width="29.6640625" bestFit="1" customWidth="1"/>
    <col min="214" max="214" width="33.33203125" bestFit="1" customWidth="1"/>
    <col min="215" max="215" width="30.77734375" bestFit="1" customWidth="1"/>
    <col min="216" max="216" width="49" bestFit="1" customWidth="1"/>
    <col min="217" max="217" width="35.5546875" bestFit="1" customWidth="1"/>
    <col min="218" max="218" width="32.33203125" bestFit="1" customWidth="1"/>
    <col min="219" max="219" width="40.21875" bestFit="1" customWidth="1"/>
    <col min="220" max="220" width="43.109375" bestFit="1" customWidth="1"/>
    <col min="221" max="221" width="40.6640625" bestFit="1" customWidth="1"/>
    <col min="222" max="222" width="44.5546875" bestFit="1" customWidth="1"/>
    <col min="223" max="223" width="43.109375" bestFit="1" customWidth="1"/>
    <col min="224" max="224" width="28.77734375" bestFit="1" customWidth="1"/>
    <col min="225" max="225" width="28" bestFit="1" customWidth="1"/>
    <col min="226" max="226" width="44.5546875" bestFit="1" customWidth="1"/>
    <col min="227" max="227" width="36.33203125" bestFit="1" customWidth="1"/>
    <col min="228" max="228" width="46" bestFit="1" customWidth="1"/>
    <col min="229" max="229" width="43.77734375" bestFit="1" customWidth="1"/>
    <col min="230" max="230" width="43" bestFit="1" customWidth="1"/>
    <col min="231" max="231" width="37.21875" bestFit="1" customWidth="1"/>
    <col min="232" max="232" width="35.33203125" bestFit="1" customWidth="1"/>
    <col min="233" max="233" width="19.77734375" bestFit="1" customWidth="1"/>
    <col min="234" max="234" width="15.21875" bestFit="1" customWidth="1"/>
    <col min="235" max="235" width="28.21875" bestFit="1" customWidth="1"/>
    <col min="236" max="236" width="48" bestFit="1" customWidth="1"/>
    <col min="237" max="237" width="50.77734375" bestFit="1" customWidth="1"/>
    <col min="238" max="238" width="33.77734375" bestFit="1" customWidth="1"/>
    <col min="239" max="239" width="43.5546875" bestFit="1" customWidth="1"/>
    <col min="240" max="240" width="37.5546875" bestFit="1" customWidth="1"/>
    <col min="241" max="241" width="46.6640625" bestFit="1" customWidth="1"/>
    <col min="242" max="242" width="46.33203125" bestFit="1" customWidth="1"/>
    <col min="243" max="243" width="49.109375" bestFit="1" customWidth="1"/>
    <col min="244" max="244" width="51.33203125" bestFit="1" customWidth="1"/>
    <col min="245" max="245" width="48.77734375" bestFit="1" customWidth="1"/>
    <col min="246" max="246" width="29.109375" bestFit="1" customWidth="1"/>
    <col min="247" max="247" width="47.109375" bestFit="1" customWidth="1"/>
    <col min="248" max="248" width="28.5546875" bestFit="1" customWidth="1"/>
    <col min="249" max="249" width="46.88671875" bestFit="1" customWidth="1"/>
    <col min="250" max="250" width="35" bestFit="1" customWidth="1"/>
    <col min="251" max="251" width="36.33203125" bestFit="1" customWidth="1"/>
    <col min="252" max="252" width="36.6640625" bestFit="1" customWidth="1"/>
    <col min="253" max="253" width="52.21875" bestFit="1" customWidth="1"/>
    <col min="254" max="254" width="39.21875" bestFit="1" customWidth="1"/>
    <col min="255" max="255" width="42.21875" bestFit="1" customWidth="1"/>
    <col min="256" max="256" width="40.33203125" bestFit="1" customWidth="1"/>
    <col min="257" max="257" width="23.21875" bestFit="1" customWidth="1"/>
    <col min="258" max="258" width="34.6640625" bestFit="1" customWidth="1"/>
    <col min="259" max="259" width="50.5546875" bestFit="1" customWidth="1"/>
    <col min="260" max="260" width="47.77734375" bestFit="1" customWidth="1"/>
    <col min="261" max="261" width="53.21875" bestFit="1" customWidth="1"/>
    <col min="262" max="262" width="50.6640625" bestFit="1" customWidth="1"/>
    <col min="263" max="263" width="43.109375" bestFit="1" customWidth="1"/>
    <col min="264" max="264" width="53.6640625" bestFit="1" customWidth="1"/>
    <col min="265" max="265" width="36.77734375" bestFit="1" customWidth="1"/>
    <col min="266" max="266" width="52.44140625" bestFit="1" customWidth="1"/>
    <col min="267" max="267" width="41.5546875" bestFit="1" customWidth="1"/>
    <col min="268" max="268" width="48.109375" bestFit="1" customWidth="1"/>
    <col min="269" max="269" width="35.33203125" bestFit="1" customWidth="1"/>
    <col min="270" max="270" width="43.5546875" bestFit="1" customWidth="1"/>
    <col min="271" max="271" width="25.5546875" bestFit="1" customWidth="1"/>
    <col min="272" max="272" width="32.109375" bestFit="1" customWidth="1"/>
    <col min="273" max="273" width="55.5546875" bestFit="1" customWidth="1"/>
    <col min="274" max="274" width="42.6640625" bestFit="1" customWidth="1"/>
    <col min="275" max="275" width="21" bestFit="1" customWidth="1"/>
    <col min="276" max="276" width="57.6640625" bestFit="1" customWidth="1"/>
    <col min="277" max="277" width="30.5546875" bestFit="1" customWidth="1"/>
    <col min="278" max="278" width="25.88671875" bestFit="1" customWidth="1"/>
    <col min="279" max="279" width="22" bestFit="1" customWidth="1"/>
    <col min="280" max="280" width="48.5546875" bestFit="1" customWidth="1"/>
    <col min="281" max="281" width="49.5546875" bestFit="1" customWidth="1"/>
    <col min="282" max="282" width="36.88671875" bestFit="1" customWidth="1"/>
    <col min="283" max="283" width="46.109375" bestFit="1" customWidth="1"/>
    <col min="284" max="284" width="18.77734375" bestFit="1" customWidth="1"/>
    <col min="285" max="285" width="34.5546875" bestFit="1" customWidth="1"/>
    <col min="286" max="286" width="44.6640625" bestFit="1" customWidth="1"/>
    <col min="287" max="287" width="14.5546875" bestFit="1" customWidth="1"/>
    <col min="288" max="288" width="11.33203125" bestFit="1" customWidth="1"/>
  </cols>
  <sheetData>
    <row r="1" spans="1:6" x14ac:dyDescent="0.25">
      <c r="A1" s="36" t="s">
        <v>641</v>
      </c>
      <c r="B1" s="36" t="s">
        <v>632</v>
      </c>
    </row>
    <row r="2" spans="1:6" x14ac:dyDescent="0.25">
      <c r="A2" s="36" t="s">
        <v>631</v>
      </c>
      <c r="B2" t="s">
        <v>350</v>
      </c>
      <c r="C2" t="s">
        <v>338</v>
      </c>
      <c r="D2" t="s">
        <v>341</v>
      </c>
      <c r="E2" t="s">
        <v>330</v>
      </c>
      <c r="F2" t="s">
        <v>317</v>
      </c>
    </row>
    <row r="3" spans="1:6" x14ac:dyDescent="0.25">
      <c r="A3" s="37" t="s">
        <v>318</v>
      </c>
      <c r="B3" s="38">
        <v>72</v>
      </c>
      <c r="C3" s="38">
        <v>73</v>
      </c>
      <c r="D3" s="38">
        <v>72</v>
      </c>
      <c r="E3" s="38">
        <v>71</v>
      </c>
      <c r="F3" s="38">
        <v>288</v>
      </c>
    </row>
    <row r="4" spans="1:6" x14ac:dyDescent="0.25">
      <c r="A4" s="37" t="s">
        <v>319</v>
      </c>
      <c r="B4" s="38">
        <v>71</v>
      </c>
      <c r="C4" s="38">
        <v>74</v>
      </c>
      <c r="D4" s="38">
        <v>71</v>
      </c>
      <c r="E4" s="38">
        <v>71</v>
      </c>
      <c r="F4" s="38">
        <v>287</v>
      </c>
    </row>
    <row r="5" spans="1:6" x14ac:dyDescent="0.25">
      <c r="A5" s="37" t="s">
        <v>320</v>
      </c>
      <c r="B5" s="38">
        <v>72</v>
      </c>
      <c r="C5" s="38">
        <v>72</v>
      </c>
      <c r="D5" s="38">
        <v>71</v>
      </c>
      <c r="E5" s="38">
        <v>71</v>
      </c>
      <c r="F5" s="38">
        <v>286</v>
      </c>
    </row>
    <row r="6" spans="1:6" x14ac:dyDescent="0.25">
      <c r="A6" s="37" t="s">
        <v>321</v>
      </c>
      <c r="B6" s="38">
        <v>72</v>
      </c>
      <c r="C6" s="38">
        <v>72</v>
      </c>
      <c r="D6" s="38">
        <v>71</v>
      </c>
      <c r="E6" s="38">
        <v>71</v>
      </c>
      <c r="F6" s="38">
        <v>286</v>
      </c>
    </row>
    <row r="7" spans="1:6" x14ac:dyDescent="0.25">
      <c r="A7" s="37" t="s">
        <v>322</v>
      </c>
      <c r="B7" s="38">
        <v>100</v>
      </c>
      <c r="C7" s="38">
        <v>72</v>
      </c>
      <c r="D7" s="38">
        <v>43</v>
      </c>
      <c r="E7" s="38">
        <v>71</v>
      </c>
      <c r="F7" s="38">
        <v>286</v>
      </c>
    </row>
    <row r="8" spans="1:6" x14ac:dyDescent="0.25">
      <c r="A8" s="37" t="s">
        <v>323</v>
      </c>
      <c r="B8" s="38">
        <v>71</v>
      </c>
      <c r="C8" s="38">
        <v>72</v>
      </c>
      <c r="D8" s="38">
        <v>71</v>
      </c>
      <c r="E8" s="38">
        <v>72</v>
      </c>
      <c r="F8" s="38">
        <v>286</v>
      </c>
    </row>
    <row r="9" spans="1:6" x14ac:dyDescent="0.25">
      <c r="A9" s="37" t="s">
        <v>324</v>
      </c>
      <c r="B9" s="38">
        <v>71</v>
      </c>
      <c r="C9" s="38">
        <v>72</v>
      </c>
      <c r="D9" s="38">
        <v>72</v>
      </c>
      <c r="E9" s="38">
        <v>71</v>
      </c>
      <c r="F9" s="38">
        <v>286</v>
      </c>
    </row>
    <row r="10" spans="1:6" x14ac:dyDescent="0.25">
      <c r="A10" s="37" t="s">
        <v>317</v>
      </c>
      <c r="B10" s="38">
        <v>529</v>
      </c>
      <c r="C10" s="38">
        <v>507</v>
      </c>
      <c r="D10" s="38">
        <v>471</v>
      </c>
      <c r="E10" s="38">
        <v>498</v>
      </c>
      <c r="F10" s="38">
        <v>2005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D36BF-88B7-473A-B707-69A52184FEDC}">
  <dimension ref="A3:F13"/>
  <sheetViews>
    <sheetView topLeftCell="A12" zoomScale="130" zoomScaleNormal="100" workbookViewId="0">
      <selection activeCell="B4" sqref="B4"/>
    </sheetView>
  </sheetViews>
  <sheetFormatPr defaultRowHeight="13.2" x14ac:dyDescent="0.25"/>
  <cols>
    <col min="1" max="1" width="44.33203125" bestFit="1" customWidth="1"/>
    <col min="2" max="2" width="16.21875" bestFit="1" customWidth="1"/>
    <col min="3" max="3" width="9.109375" bestFit="1" customWidth="1"/>
    <col min="4" max="4" width="5.77734375" bestFit="1" customWidth="1"/>
    <col min="5" max="5" width="25.109375" bestFit="1" customWidth="1"/>
    <col min="6" max="6" width="11.33203125" bestFit="1" customWidth="1"/>
  </cols>
  <sheetData>
    <row r="3" spans="1:6" x14ac:dyDescent="0.25">
      <c r="A3" s="36" t="s">
        <v>633</v>
      </c>
      <c r="B3" s="36" t="s">
        <v>632</v>
      </c>
    </row>
    <row r="4" spans="1:6" x14ac:dyDescent="0.25">
      <c r="A4" s="36" t="s">
        <v>631</v>
      </c>
      <c r="B4" t="s">
        <v>645</v>
      </c>
      <c r="C4" t="s">
        <v>646</v>
      </c>
      <c r="D4" t="s">
        <v>647</v>
      </c>
      <c r="E4" t="s">
        <v>649</v>
      </c>
      <c r="F4" t="s">
        <v>317</v>
      </c>
    </row>
    <row r="5" spans="1:6" x14ac:dyDescent="0.25">
      <c r="A5" s="37" t="s">
        <v>21</v>
      </c>
      <c r="B5" s="38">
        <v>12</v>
      </c>
      <c r="C5" s="38">
        <v>11</v>
      </c>
      <c r="D5" s="38">
        <v>163</v>
      </c>
      <c r="E5" s="38">
        <v>31</v>
      </c>
      <c r="F5" s="38">
        <v>217</v>
      </c>
    </row>
    <row r="6" spans="1:6" x14ac:dyDescent="0.25">
      <c r="A6" s="37" t="s">
        <v>13</v>
      </c>
      <c r="B6" s="38">
        <v>21</v>
      </c>
      <c r="C6" s="38">
        <v>16</v>
      </c>
      <c r="D6" s="38">
        <v>221</v>
      </c>
      <c r="E6" s="38">
        <v>43</v>
      </c>
      <c r="F6" s="38">
        <v>301</v>
      </c>
    </row>
    <row r="7" spans="1:6" x14ac:dyDescent="0.25">
      <c r="A7" s="37" t="s">
        <v>19</v>
      </c>
      <c r="B7" s="38">
        <v>22</v>
      </c>
      <c r="C7" s="38">
        <v>22</v>
      </c>
      <c r="D7" s="38">
        <v>274</v>
      </c>
      <c r="E7" s="38">
        <v>53</v>
      </c>
      <c r="F7" s="38">
        <v>371</v>
      </c>
    </row>
    <row r="8" spans="1:6" x14ac:dyDescent="0.25">
      <c r="A8" s="37" t="s">
        <v>25</v>
      </c>
      <c r="B8" s="38">
        <v>14</v>
      </c>
      <c r="C8" s="38">
        <v>17</v>
      </c>
      <c r="D8" s="38">
        <v>227</v>
      </c>
      <c r="E8" s="38">
        <v>43</v>
      </c>
      <c r="F8" s="38">
        <v>301</v>
      </c>
    </row>
    <row r="9" spans="1:6" x14ac:dyDescent="0.25">
      <c r="A9" s="37" t="s">
        <v>23</v>
      </c>
      <c r="B9" s="38">
        <v>20</v>
      </c>
      <c r="C9" s="38">
        <v>13</v>
      </c>
      <c r="D9" s="38">
        <v>178</v>
      </c>
      <c r="E9" s="38">
        <v>36</v>
      </c>
      <c r="F9" s="38">
        <v>247</v>
      </c>
    </row>
    <row r="10" spans="1:6" x14ac:dyDescent="0.25">
      <c r="A10" s="37" t="s">
        <v>17</v>
      </c>
      <c r="B10" s="38">
        <v>15</v>
      </c>
      <c r="C10" s="38">
        <v>18</v>
      </c>
      <c r="D10" s="38">
        <v>195</v>
      </c>
      <c r="E10" s="38">
        <v>38</v>
      </c>
      <c r="F10" s="38">
        <v>266</v>
      </c>
    </row>
    <row r="11" spans="1:6" x14ac:dyDescent="0.25">
      <c r="A11" s="37" t="s">
        <v>15</v>
      </c>
      <c r="B11" s="38">
        <v>5</v>
      </c>
      <c r="C11" s="38">
        <v>7</v>
      </c>
      <c r="D11" s="38">
        <v>162</v>
      </c>
      <c r="E11" s="38">
        <v>29</v>
      </c>
      <c r="F11" s="38">
        <v>203</v>
      </c>
    </row>
    <row r="12" spans="1:6" x14ac:dyDescent="0.25">
      <c r="A12" s="37" t="s">
        <v>11</v>
      </c>
      <c r="B12" s="38">
        <v>3</v>
      </c>
      <c r="C12" s="38">
        <v>5</v>
      </c>
      <c r="D12" s="38">
        <v>76</v>
      </c>
      <c r="E12" s="38">
        <v>15</v>
      </c>
      <c r="F12" s="38">
        <v>99</v>
      </c>
    </row>
    <row r="13" spans="1:6" x14ac:dyDescent="0.25">
      <c r="A13" s="37" t="s">
        <v>317</v>
      </c>
      <c r="B13" s="38">
        <v>112</v>
      </c>
      <c r="C13" s="38">
        <v>109</v>
      </c>
      <c r="D13" s="38">
        <v>1496</v>
      </c>
      <c r="E13" s="38">
        <v>288</v>
      </c>
      <c r="F13" s="38">
        <v>2005</v>
      </c>
    </row>
  </sheetData>
  <conditionalFormatting sqref="A3:E3 A4:A288 C4:E4">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5C20D-A533-4875-871A-8FAA26993133}">
  <dimension ref="A1:B6"/>
  <sheetViews>
    <sheetView workbookViewId="0">
      <selection activeCell="N11" sqref="N11"/>
    </sheetView>
  </sheetViews>
  <sheetFormatPr defaultRowHeight="13.2" x14ac:dyDescent="0.25"/>
  <cols>
    <col min="1" max="1" width="13.5546875" bestFit="1" customWidth="1"/>
    <col min="2" max="2" width="15.77734375" bestFit="1" customWidth="1"/>
  </cols>
  <sheetData>
    <row r="1" spans="1:2" x14ac:dyDescent="0.25">
      <c r="A1" s="36" t="s">
        <v>631</v>
      </c>
      <c r="B1" t="s">
        <v>648</v>
      </c>
    </row>
    <row r="2" spans="1:2" x14ac:dyDescent="0.25">
      <c r="A2" s="37" t="s">
        <v>350</v>
      </c>
      <c r="B2" s="38">
        <v>374.68620037807182</v>
      </c>
    </row>
    <row r="3" spans="1:2" x14ac:dyDescent="0.25">
      <c r="A3" s="37" t="s">
        <v>338</v>
      </c>
      <c r="B3" s="38">
        <v>413.68836291913215</v>
      </c>
    </row>
    <row r="4" spans="1:2" x14ac:dyDescent="0.25">
      <c r="A4" s="37" t="s">
        <v>341</v>
      </c>
      <c r="B4" s="38">
        <v>390.8365180467091</v>
      </c>
    </row>
    <row r="5" spans="1:2" x14ac:dyDescent="0.25">
      <c r="A5" s="37" t="s">
        <v>330</v>
      </c>
      <c r="B5" s="38">
        <v>365.43775100401604</v>
      </c>
    </row>
    <row r="6" spans="1:2" x14ac:dyDescent="0.25">
      <c r="A6" s="37" t="s">
        <v>317</v>
      </c>
      <c r="B6" s="38">
        <v>386.04538653366586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5CFD1-D129-4458-A2A7-762720786F2A}">
  <dimension ref="A1:B6"/>
  <sheetViews>
    <sheetView workbookViewId="0">
      <selection activeCell="B6" sqref="B6"/>
    </sheetView>
  </sheetViews>
  <sheetFormatPr defaultRowHeight="13.2" x14ac:dyDescent="0.25"/>
  <cols>
    <col min="1" max="1" width="17.21875" bestFit="1" customWidth="1"/>
    <col min="2" max="2" width="17.5546875" bestFit="1" customWidth="1"/>
  </cols>
  <sheetData>
    <row r="1" spans="1:2" x14ac:dyDescent="0.25">
      <c r="A1" t="s">
        <v>633</v>
      </c>
    </row>
    <row r="2" spans="1:2" x14ac:dyDescent="0.25">
      <c r="A2" s="38">
        <v>2005</v>
      </c>
    </row>
    <row r="6" spans="1:2" x14ac:dyDescent="0.25">
      <c r="B6">
        <f>GETPIVOTDATA("OrgCode",$A$1)</f>
        <v>2005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E3189-10BA-4343-84A2-B45742BDE59C}">
  <dimension ref="A1:N12"/>
  <sheetViews>
    <sheetView workbookViewId="0">
      <selection activeCell="C3" sqref="C3"/>
    </sheetView>
  </sheetViews>
  <sheetFormatPr defaultRowHeight="13.2" x14ac:dyDescent="0.25"/>
  <cols>
    <col min="1" max="1" width="17.5546875" bestFit="1" customWidth="1"/>
    <col min="2" max="2" width="16.21875" bestFit="1" customWidth="1"/>
    <col min="3" max="3" width="13.44140625" bestFit="1" customWidth="1"/>
    <col min="4" max="4" width="18.109375" bestFit="1" customWidth="1"/>
    <col min="5" max="5" width="11.33203125" bestFit="1" customWidth="1"/>
    <col min="6" max="6" width="15.109375" bestFit="1" customWidth="1"/>
    <col min="7" max="7" width="14.6640625" bestFit="1" customWidth="1"/>
    <col min="8" max="8" width="9.77734375" bestFit="1" customWidth="1"/>
    <col min="9" max="9" width="25.44140625" bestFit="1" customWidth="1"/>
    <col min="10" max="10" width="23.33203125" bestFit="1" customWidth="1"/>
    <col min="11" max="11" width="19.5546875" bestFit="1" customWidth="1"/>
    <col min="12" max="12" width="31.5546875" bestFit="1" customWidth="1"/>
    <col min="13" max="13" width="7" bestFit="1" customWidth="1"/>
    <col min="14" max="15" width="11.33203125" bestFit="1" customWidth="1"/>
  </cols>
  <sheetData>
    <row r="1" spans="1:14" x14ac:dyDescent="0.25">
      <c r="A1" s="36" t="s">
        <v>315</v>
      </c>
      <c r="B1" t="s">
        <v>330</v>
      </c>
    </row>
    <row r="3" spans="1:14" x14ac:dyDescent="0.25">
      <c r="A3" s="36" t="s">
        <v>641</v>
      </c>
      <c r="B3" s="36" t="s">
        <v>632</v>
      </c>
    </row>
    <row r="4" spans="1:14" x14ac:dyDescent="0.25">
      <c r="A4" s="36" t="s">
        <v>631</v>
      </c>
      <c r="B4" t="s">
        <v>332</v>
      </c>
      <c r="C4" t="s">
        <v>359</v>
      </c>
      <c r="D4" t="s">
        <v>380</v>
      </c>
      <c r="E4" t="s">
        <v>388</v>
      </c>
      <c r="F4" t="s">
        <v>408</v>
      </c>
      <c r="G4" t="s">
        <v>425</v>
      </c>
      <c r="H4" t="s">
        <v>487</v>
      </c>
      <c r="I4" t="s">
        <v>491</v>
      </c>
      <c r="J4" t="s">
        <v>496</v>
      </c>
      <c r="K4" t="s">
        <v>530</v>
      </c>
      <c r="L4" t="s">
        <v>573</v>
      </c>
      <c r="M4" t="s">
        <v>33</v>
      </c>
      <c r="N4" t="s">
        <v>317</v>
      </c>
    </row>
    <row r="5" spans="1:14" x14ac:dyDescent="0.25">
      <c r="A5" s="37" t="s">
        <v>318</v>
      </c>
      <c r="B5" s="38">
        <v>5</v>
      </c>
      <c r="C5" s="38">
        <v>5</v>
      </c>
      <c r="D5" s="38">
        <v>3</v>
      </c>
      <c r="E5" s="38">
        <v>8</v>
      </c>
      <c r="F5" s="38">
        <v>5</v>
      </c>
      <c r="G5" s="38">
        <v>8</v>
      </c>
      <c r="H5" s="38"/>
      <c r="I5" s="38">
        <v>2</v>
      </c>
      <c r="J5" s="38">
        <v>8</v>
      </c>
      <c r="K5" s="38">
        <v>13</v>
      </c>
      <c r="L5" s="38">
        <v>13</v>
      </c>
      <c r="M5" s="38">
        <v>1</v>
      </c>
      <c r="N5" s="38">
        <v>71</v>
      </c>
    </row>
    <row r="6" spans="1:14" x14ac:dyDescent="0.25">
      <c r="A6" s="37" t="s">
        <v>319</v>
      </c>
      <c r="B6" s="38">
        <v>6</v>
      </c>
      <c r="C6" s="38">
        <v>5</v>
      </c>
      <c r="D6" s="38">
        <v>2</v>
      </c>
      <c r="E6" s="38">
        <v>8</v>
      </c>
      <c r="F6" s="38">
        <v>4</v>
      </c>
      <c r="G6" s="38">
        <v>6</v>
      </c>
      <c r="H6" s="38"/>
      <c r="I6" s="38">
        <v>2</v>
      </c>
      <c r="J6" s="38">
        <v>7</v>
      </c>
      <c r="K6" s="38">
        <v>15</v>
      </c>
      <c r="L6" s="38">
        <v>14</v>
      </c>
      <c r="M6" s="38">
        <v>2</v>
      </c>
      <c r="N6" s="38">
        <v>71</v>
      </c>
    </row>
    <row r="7" spans="1:14" x14ac:dyDescent="0.25">
      <c r="A7" s="37" t="s">
        <v>320</v>
      </c>
      <c r="B7" s="38">
        <v>5</v>
      </c>
      <c r="C7" s="38">
        <v>5</v>
      </c>
      <c r="D7" s="38">
        <v>3</v>
      </c>
      <c r="E7" s="38">
        <v>7</v>
      </c>
      <c r="F7" s="38">
        <v>6</v>
      </c>
      <c r="G7" s="38">
        <v>8</v>
      </c>
      <c r="H7" s="38"/>
      <c r="I7" s="38">
        <v>2</v>
      </c>
      <c r="J7" s="38">
        <v>6</v>
      </c>
      <c r="K7" s="38">
        <v>14</v>
      </c>
      <c r="L7" s="38">
        <v>14</v>
      </c>
      <c r="M7" s="38">
        <v>1</v>
      </c>
      <c r="N7" s="38">
        <v>71</v>
      </c>
    </row>
    <row r="8" spans="1:14" x14ac:dyDescent="0.25">
      <c r="A8" s="37" t="s">
        <v>321</v>
      </c>
      <c r="B8" s="38">
        <v>4</v>
      </c>
      <c r="C8" s="38">
        <v>4</v>
      </c>
      <c r="D8" s="38">
        <v>3</v>
      </c>
      <c r="E8" s="38">
        <v>8</v>
      </c>
      <c r="F8" s="38">
        <v>5</v>
      </c>
      <c r="G8" s="38">
        <v>6</v>
      </c>
      <c r="H8" s="38"/>
      <c r="I8" s="38">
        <v>2</v>
      </c>
      <c r="J8" s="38">
        <v>8</v>
      </c>
      <c r="K8" s="38">
        <v>16</v>
      </c>
      <c r="L8" s="38">
        <v>14</v>
      </c>
      <c r="M8" s="38">
        <v>1</v>
      </c>
      <c r="N8" s="38">
        <v>71</v>
      </c>
    </row>
    <row r="9" spans="1:14" x14ac:dyDescent="0.25">
      <c r="A9" s="37" t="s">
        <v>322</v>
      </c>
      <c r="B9" s="38">
        <v>4</v>
      </c>
      <c r="C9" s="38">
        <v>4</v>
      </c>
      <c r="D9" s="38">
        <v>3</v>
      </c>
      <c r="E9" s="38">
        <v>8</v>
      </c>
      <c r="F9" s="38">
        <v>5</v>
      </c>
      <c r="G9" s="38">
        <v>6</v>
      </c>
      <c r="H9" s="38">
        <v>1</v>
      </c>
      <c r="I9" s="38">
        <v>2</v>
      </c>
      <c r="J9" s="38">
        <v>5</v>
      </c>
      <c r="K9" s="38">
        <v>15</v>
      </c>
      <c r="L9" s="38">
        <v>16</v>
      </c>
      <c r="M9" s="38">
        <v>2</v>
      </c>
      <c r="N9" s="38">
        <v>71</v>
      </c>
    </row>
    <row r="10" spans="1:14" x14ac:dyDescent="0.25">
      <c r="A10" s="37" t="s">
        <v>323</v>
      </c>
      <c r="B10" s="38">
        <v>6</v>
      </c>
      <c r="C10" s="38">
        <v>5</v>
      </c>
      <c r="D10" s="38">
        <v>2</v>
      </c>
      <c r="E10" s="38">
        <v>7</v>
      </c>
      <c r="F10" s="38">
        <v>4</v>
      </c>
      <c r="G10" s="38">
        <v>6</v>
      </c>
      <c r="H10" s="38"/>
      <c r="I10" s="38">
        <v>2</v>
      </c>
      <c r="J10" s="38">
        <v>8</v>
      </c>
      <c r="K10" s="38">
        <v>16</v>
      </c>
      <c r="L10" s="38">
        <v>15</v>
      </c>
      <c r="M10" s="38">
        <v>1</v>
      </c>
      <c r="N10" s="38">
        <v>72</v>
      </c>
    </row>
    <row r="11" spans="1:14" x14ac:dyDescent="0.25">
      <c r="A11" s="37" t="s">
        <v>324</v>
      </c>
      <c r="B11" s="38">
        <v>6</v>
      </c>
      <c r="C11" s="38">
        <v>6</v>
      </c>
      <c r="D11" s="38"/>
      <c r="E11" s="38">
        <v>7</v>
      </c>
      <c r="F11" s="38">
        <v>4</v>
      </c>
      <c r="G11" s="38">
        <v>6</v>
      </c>
      <c r="H11" s="38">
        <v>1</v>
      </c>
      <c r="I11" s="38">
        <v>3</v>
      </c>
      <c r="J11" s="38">
        <v>9</v>
      </c>
      <c r="K11" s="38">
        <v>14</v>
      </c>
      <c r="L11" s="38">
        <v>14</v>
      </c>
      <c r="M11" s="38">
        <v>1</v>
      </c>
      <c r="N11" s="38">
        <v>71</v>
      </c>
    </row>
    <row r="12" spans="1:14" x14ac:dyDescent="0.25">
      <c r="A12" s="37" t="s">
        <v>317</v>
      </c>
      <c r="B12" s="38">
        <v>36</v>
      </c>
      <c r="C12" s="38">
        <v>34</v>
      </c>
      <c r="D12" s="38">
        <v>16</v>
      </c>
      <c r="E12" s="38">
        <v>53</v>
      </c>
      <c r="F12" s="38">
        <v>33</v>
      </c>
      <c r="G12" s="38">
        <v>46</v>
      </c>
      <c r="H12" s="38">
        <v>2</v>
      </c>
      <c r="I12" s="38">
        <v>15</v>
      </c>
      <c r="J12" s="38">
        <v>51</v>
      </c>
      <c r="K12" s="38">
        <v>103</v>
      </c>
      <c r="L12" s="38">
        <v>100</v>
      </c>
      <c r="M12" s="38">
        <v>9</v>
      </c>
      <c r="N12" s="38">
        <v>498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6835D-C24C-473D-AB8E-A9A12179AA9E}">
  <sheetPr>
    <pageSetUpPr fitToPage="1"/>
  </sheetPr>
  <dimension ref="A1:D25"/>
  <sheetViews>
    <sheetView workbookViewId="0">
      <selection activeCell="D25" sqref="D25"/>
    </sheetView>
  </sheetViews>
  <sheetFormatPr defaultRowHeight="13.2" x14ac:dyDescent="0.25"/>
  <cols>
    <col min="1" max="1" width="13.33203125" bestFit="1" customWidth="1"/>
    <col min="2" max="2" width="17.21875" bestFit="1" customWidth="1"/>
  </cols>
  <sheetData>
    <row r="1" spans="1:2" x14ac:dyDescent="0.25">
      <c r="A1" s="36" t="s">
        <v>631</v>
      </c>
      <c r="B1" t="s">
        <v>633</v>
      </c>
    </row>
    <row r="2" spans="1:2" x14ac:dyDescent="0.25">
      <c r="A2" s="37" t="s">
        <v>318</v>
      </c>
      <c r="B2" s="38">
        <v>288</v>
      </c>
    </row>
    <row r="3" spans="1:2" x14ac:dyDescent="0.25">
      <c r="A3" s="37" t="s">
        <v>319</v>
      </c>
      <c r="B3" s="38">
        <v>287</v>
      </c>
    </row>
    <row r="4" spans="1:2" x14ac:dyDescent="0.25">
      <c r="A4" s="37" t="s">
        <v>320</v>
      </c>
      <c r="B4" s="38">
        <v>286</v>
      </c>
    </row>
    <row r="5" spans="1:2" x14ac:dyDescent="0.25">
      <c r="A5" s="37" t="s">
        <v>321</v>
      </c>
      <c r="B5" s="38">
        <v>286</v>
      </c>
    </row>
    <row r="6" spans="1:2" x14ac:dyDescent="0.25">
      <c r="A6" s="37" t="s">
        <v>322</v>
      </c>
      <c r="B6" s="38">
        <v>286</v>
      </c>
    </row>
    <row r="7" spans="1:2" x14ac:dyDescent="0.25">
      <c r="A7" s="37" t="s">
        <v>323</v>
      </c>
      <c r="B7" s="38">
        <v>286</v>
      </c>
    </row>
    <row r="8" spans="1:2" x14ac:dyDescent="0.25">
      <c r="A8" s="37" t="s">
        <v>324</v>
      </c>
      <c r="B8" s="38">
        <v>286</v>
      </c>
    </row>
    <row r="9" spans="1:2" x14ac:dyDescent="0.25">
      <c r="A9" s="37" t="s">
        <v>317</v>
      </c>
      <c r="B9" s="38">
        <v>2005</v>
      </c>
    </row>
    <row r="25" spans="4:4" x14ac:dyDescent="0.25">
      <c r="D25">
        <f>GETPIVOTDATA("OrgCode",$A$1)</f>
        <v>2005</v>
      </c>
    </row>
  </sheetData>
  <pageMargins left="0.7" right="0.7" top="0.75" bottom="0.75" header="0.3" footer="0.3"/>
  <pageSetup scale="59"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Original Data</vt:lpstr>
      <vt:lpstr>Dashboard</vt:lpstr>
      <vt:lpstr>High Performing Org Based on VP</vt:lpstr>
      <vt:lpstr>Monthly Quartile Composition</vt:lpstr>
      <vt:lpstr>Monthly Performance Movement Tr</vt:lpstr>
      <vt:lpstr>Average VPD Count By Quartile</vt:lpstr>
      <vt:lpstr>Total Org Analysed</vt:lpstr>
      <vt:lpstr>Benchmark group distribut</vt:lpstr>
      <vt:lpstr>Records submitted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2025-07-25T00:03:10Z</dcterms:created>
  <dcterms:modified xsi:type="dcterms:W3CDTF">2025-07-28T15:23:53Z</dcterms:modified>
</cp:coreProperties>
</file>